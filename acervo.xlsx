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tonio.junior\PycharmProjects\TermosdeResponsabilidade\"/>
    </mc:Choice>
  </mc:AlternateContent>
  <xr:revisionPtr revIDLastSave="0" documentId="13_ncr:1_{3936D5B3-8AFF-4251-BD4A-732E0DFA8F90}" xr6:coauthVersionLast="47" xr6:coauthVersionMax="47" xr10:uidLastSave="{00000000-0000-0000-0000-000000000000}"/>
  <bookViews>
    <workbookView xWindow="-120" yWindow="-120" windowWidth="29040" windowHeight="17520" autoFilterDateGrouping="0" xr2:uid="{00000000-000D-0000-FFFF-FFFF00000000}"/>
  </bookViews>
  <sheets>
    <sheet name="acervo" sheetId="1" r:id="rId1"/>
    <sheet name="responsavel" sheetId="3" r:id="rId2"/>
    <sheet name="ccustos" sheetId="2" r:id="rId3"/>
    <sheet name="Planilha1" sheetId="4" state="hidden" r:id="rId4"/>
  </sheets>
  <definedNames>
    <definedName name="_xlnm._FilterDatabase" localSheetId="0" hidden="1">acervo!$A$1:$J$3142</definedName>
    <definedName name="_xlnm._FilterDatabase" localSheetId="2" hidden="1">ccustos!$A$1:$B$101</definedName>
    <definedName name="_xlnm._FilterDatabase" localSheetId="1" hidden="1">responsavel!$A$1:$F$31</definedName>
    <definedName name="_xlnm.Print_Area" localSheetId="0">acervo!$A$1:$I$2942</definedName>
    <definedName name="custos">ccustos!$A:$B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18" i="1" l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1290" i="1"/>
  <c r="J1294" i="1"/>
  <c r="J265" i="1"/>
  <c r="J6" i="1"/>
  <c r="J7" i="1"/>
  <c r="J375" i="1"/>
  <c r="J414" i="1"/>
  <c r="J428" i="1"/>
  <c r="J436" i="1"/>
  <c r="J454" i="1"/>
  <c r="J471" i="1"/>
  <c r="J482" i="1"/>
  <c r="J492" i="1"/>
  <c r="J549" i="1"/>
  <c r="J572" i="1"/>
  <c r="J615" i="1"/>
  <c r="J57" i="1"/>
  <c r="J20" i="1"/>
  <c r="J60" i="1"/>
  <c r="J62" i="1"/>
  <c r="J23" i="1"/>
  <c r="J24" i="1"/>
  <c r="J63" i="1"/>
  <c r="J26" i="1"/>
  <c r="J64" i="1"/>
  <c r="J28" i="1"/>
  <c r="J66" i="1"/>
  <c r="J68" i="1"/>
  <c r="J69" i="1"/>
  <c r="J70" i="1"/>
  <c r="J71" i="1"/>
  <c r="J34" i="1"/>
  <c r="J72" i="1"/>
  <c r="J73" i="1"/>
  <c r="J76" i="1"/>
  <c r="J77" i="1"/>
  <c r="J1297" i="1"/>
  <c r="J78" i="1"/>
  <c r="J79" i="1"/>
  <c r="J80" i="1"/>
  <c r="J81" i="1"/>
  <c r="J44" i="1"/>
  <c r="J45" i="1"/>
  <c r="J82" i="1"/>
  <c r="J84" i="1"/>
  <c r="J85" i="1"/>
  <c r="J86" i="1"/>
  <c r="J87" i="1"/>
  <c r="J123" i="1"/>
  <c r="J151" i="1"/>
  <c r="J166" i="1"/>
  <c r="J54" i="1"/>
  <c r="J168" i="1"/>
  <c r="J56" i="1"/>
  <c r="J196" i="1"/>
  <c r="J58" i="1"/>
  <c r="J59" i="1"/>
  <c r="J198" i="1"/>
  <c r="J61" i="1"/>
  <c r="J199" i="1"/>
  <c r="J2" i="1"/>
  <c r="J201" i="1"/>
  <c r="J65" i="1"/>
  <c r="J202" i="1"/>
  <c r="J67" i="1"/>
  <c r="J203" i="1"/>
  <c r="J205" i="1"/>
  <c r="J206" i="1"/>
  <c r="J207" i="1"/>
  <c r="J208" i="1"/>
  <c r="J209" i="1"/>
  <c r="J74" i="1"/>
  <c r="J75" i="1"/>
  <c r="J210" i="1"/>
  <c r="J211" i="1"/>
  <c r="J214" i="1"/>
  <c r="J215" i="1"/>
  <c r="J216" i="1"/>
  <c r="J217" i="1"/>
  <c r="J220" i="1"/>
  <c r="J83" i="1"/>
  <c r="J221" i="1"/>
  <c r="J248" i="1"/>
  <c r="J249" i="1"/>
  <c r="J2399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371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66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3" i="1"/>
  <c r="J167" i="1"/>
  <c r="J1902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620" i="1"/>
  <c r="J197" i="1"/>
  <c r="J637" i="1"/>
  <c r="J643" i="1"/>
  <c r="J200" i="1"/>
  <c r="J668" i="1"/>
  <c r="J669" i="1"/>
  <c r="J677" i="1"/>
  <c r="J204" i="1"/>
  <c r="J693" i="1"/>
  <c r="J711" i="1"/>
  <c r="J719" i="1"/>
  <c r="J752" i="1"/>
  <c r="J753" i="1"/>
  <c r="J793" i="1"/>
  <c r="J823" i="1"/>
  <c r="J212" i="1"/>
  <c r="J213" i="1"/>
  <c r="J1286" i="1"/>
  <c r="J1287" i="1"/>
  <c r="J52" i="1"/>
  <c r="J836" i="1"/>
  <c r="J218" i="1"/>
  <c r="J219" i="1"/>
  <c r="J1928" i="1"/>
  <c r="J267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838" i="1"/>
  <c r="J4" i="1"/>
  <c r="J5" i="1"/>
  <c r="J8" i="1"/>
  <c r="J9" i="1"/>
  <c r="J10" i="1"/>
  <c r="J11" i="1"/>
  <c r="J12" i="1"/>
  <c r="J13" i="1"/>
  <c r="J14" i="1"/>
  <c r="J15" i="1"/>
  <c r="J16" i="1"/>
  <c r="J17" i="1"/>
  <c r="J18" i="1"/>
  <c r="J19" i="1"/>
  <c r="J21" i="1"/>
  <c r="J22" i="1"/>
  <c r="J25" i="1"/>
  <c r="J27" i="1"/>
  <c r="J29" i="1"/>
  <c r="J30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403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1940" i="1"/>
  <c r="J320" i="1"/>
  <c r="J321" i="1"/>
  <c r="J847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1372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900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1298" i="1"/>
  <c r="J429" i="1"/>
  <c r="J430" i="1"/>
  <c r="J431" i="1"/>
  <c r="J432" i="1"/>
  <c r="J433" i="1"/>
  <c r="J434" i="1"/>
  <c r="J435" i="1"/>
  <c r="J930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31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1740" i="1"/>
  <c r="J472" i="1"/>
  <c r="J473" i="1"/>
  <c r="J474" i="1"/>
  <c r="J475" i="1"/>
  <c r="J476" i="1"/>
  <c r="J477" i="1"/>
  <c r="J478" i="1"/>
  <c r="J479" i="1"/>
  <c r="J480" i="1"/>
  <c r="J481" i="1"/>
  <c r="J1944" i="1"/>
  <c r="J483" i="1"/>
  <c r="J484" i="1"/>
  <c r="J485" i="1"/>
  <c r="J486" i="1"/>
  <c r="J487" i="1"/>
  <c r="J488" i="1"/>
  <c r="J489" i="1"/>
  <c r="J490" i="1"/>
  <c r="J491" i="1"/>
  <c r="J1948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135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1741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268" i="1"/>
  <c r="J616" i="1"/>
  <c r="J617" i="1"/>
  <c r="J618" i="1"/>
  <c r="J619" i="1"/>
  <c r="J1454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1950" i="1"/>
  <c r="J638" i="1"/>
  <c r="J639" i="1"/>
  <c r="J640" i="1"/>
  <c r="J641" i="1"/>
  <c r="J642" i="1"/>
  <c r="J1681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1794" i="1"/>
  <c r="J1373" i="1"/>
  <c r="J670" i="1"/>
  <c r="J671" i="1"/>
  <c r="J672" i="1"/>
  <c r="J673" i="1"/>
  <c r="J674" i="1"/>
  <c r="J675" i="1"/>
  <c r="J676" i="1"/>
  <c r="J1462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941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1683" i="1"/>
  <c r="J712" i="1"/>
  <c r="J713" i="1"/>
  <c r="J714" i="1"/>
  <c r="J715" i="1"/>
  <c r="J716" i="1"/>
  <c r="J717" i="1"/>
  <c r="J718" i="1"/>
  <c r="J32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1469" i="1"/>
  <c r="J160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958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3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2907" i="1"/>
  <c r="J837" i="1"/>
  <c r="J1375" i="1"/>
  <c r="J839" i="1"/>
  <c r="J840" i="1"/>
  <c r="J841" i="1"/>
  <c r="J842" i="1"/>
  <c r="J843" i="1"/>
  <c r="J844" i="1"/>
  <c r="J845" i="1"/>
  <c r="J846" i="1"/>
  <c r="J1742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2003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2005" i="1"/>
  <c r="J931" i="1"/>
  <c r="J932" i="1"/>
  <c r="J933" i="1"/>
  <c r="J934" i="1"/>
  <c r="J935" i="1"/>
  <c r="J936" i="1"/>
  <c r="J937" i="1"/>
  <c r="J938" i="1"/>
  <c r="J939" i="1"/>
  <c r="J940" i="1"/>
  <c r="J2006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2393" i="1"/>
  <c r="J959" i="1"/>
  <c r="J960" i="1"/>
  <c r="J961" i="1"/>
  <c r="J962" i="1"/>
  <c r="J963" i="1"/>
  <c r="J964" i="1"/>
  <c r="J965" i="1"/>
  <c r="J1684" i="1"/>
  <c r="J1706" i="1"/>
  <c r="J968" i="1"/>
  <c r="J969" i="1"/>
  <c r="J970" i="1"/>
  <c r="J971" i="1"/>
  <c r="J972" i="1"/>
  <c r="J973" i="1"/>
  <c r="J974" i="1"/>
  <c r="J975" i="1"/>
  <c r="J976" i="1"/>
  <c r="J977" i="1"/>
  <c r="J978" i="1"/>
  <c r="J1743" i="1"/>
  <c r="J1711" i="1"/>
  <c r="J981" i="1"/>
  <c r="J982" i="1"/>
  <c r="J983" i="1"/>
  <c r="J984" i="1"/>
  <c r="J985" i="1"/>
  <c r="J986" i="1"/>
  <c r="J987" i="1"/>
  <c r="J988" i="1"/>
  <c r="J966" i="1"/>
  <c r="J990" i="1"/>
  <c r="J991" i="1"/>
  <c r="J967" i="1"/>
  <c r="J993" i="1"/>
  <c r="J994" i="1"/>
  <c r="J995" i="1"/>
  <c r="J996" i="1"/>
  <c r="J997" i="1"/>
  <c r="J296" i="1"/>
  <c r="J999" i="1"/>
  <c r="J1000" i="1"/>
  <c r="J1001" i="1"/>
  <c r="J1002" i="1"/>
  <c r="J1003" i="1"/>
  <c r="J2007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475" i="1"/>
  <c r="J1061" i="1"/>
  <c r="J1062" i="1"/>
  <c r="J1063" i="1"/>
  <c r="J1064" i="1"/>
  <c r="J1065" i="1"/>
  <c r="J1066" i="1"/>
  <c r="J1650" i="1"/>
  <c r="J1068" i="1"/>
  <c r="J1476" i="1"/>
  <c r="J1495" i="1"/>
  <c r="J1513" i="1"/>
  <c r="J1072" i="1"/>
  <c r="J1528" i="1"/>
  <c r="J1530" i="1"/>
  <c r="J1604" i="1"/>
  <c r="J1076" i="1"/>
  <c r="J1077" i="1"/>
  <c r="J1078" i="1"/>
  <c r="J1608" i="1"/>
  <c r="J1624" i="1"/>
  <c r="J1632" i="1"/>
  <c r="J1082" i="1"/>
  <c r="J1083" i="1"/>
  <c r="J1084" i="1"/>
  <c r="J1085" i="1"/>
  <c r="J1086" i="1"/>
  <c r="J1087" i="1"/>
  <c r="J1088" i="1"/>
  <c r="J1089" i="1"/>
  <c r="J1377" i="1"/>
  <c r="J1091" i="1"/>
  <c r="J1092" i="1"/>
  <c r="J1093" i="1"/>
  <c r="J319" i="1"/>
  <c r="J1095" i="1"/>
  <c r="J1096" i="1"/>
  <c r="J1097" i="1"/>
  <c r="J1098" i="1"/>
  <c r="J2404" i="1"/>
  <c r="J2405" i="1"/>
  <c r="J2629" i="1"/>
  <c r="J2631" i="1"/>
  <c r="J1103" i="1"/>
  <c r="J1104" i="1"/>
  <c r="J2632" i="1"/>
  <c r="J1106" i="1"/>
  <c r="J2008" i="1"/>
  <c r="J2022" i="1"/>
  <c r="J2027" i="1"/>
  <c r="J2038" i="1"/>
  <c r="J2040" i="1"/>
  <c r="J2042" i="1"/>
  <c r="J2043" i="1"/>
  <c r="J2055" i="1"/>
  <c r="J2059" i="1"/>
  <c r="J1116" i="1"/>
  <c r="J2060" i="1"/>
  <c r="J979" i="1"/>
  <c r="J2061" i="1"/>
  <c r="J2062" i="1"/>
  <c r="J2063" i="1"/>
  <c r="J2064" i="1"/>
  <c r="J980" i="1"/>
  <c r="J1124" i="1"/>
  <c r="J1125" i="1"/>
  <c r="J989" i="1"/>
  <c r="J1127" i="1"/>
  <c r="J1128" i="1"/>
  <c r="J1129" i="1"/>
  <c r="J2065" i="1"/>
  <c r="J2069" i="1"/>
  <c r="J2075" i="1"/>
  <c r="J2076" i="1"/>
  <c r="J1134" i="1"/>
  <c r="J1135" i="1"/>
  <c r="J1136" i="1"/>
  <c r="J1806" i="1"/>
  <c r="J1138" i="1"/>
  <c r="J1139" i="1"/>
  <c r="J1140" i="1"/>
  <c r="J1141" i="1"/>
  <c r="J35" i="1"/>
  <c r="J1143" i="1"/>
  <c r="J1144" i="1"/>
  <c r="J1145" i="1"/>
  <c r="J1865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378" i="1"/>
  <c r="J2080" i="1"/>
  <c r="J1177" i="1"/>
  <c r="J1178" i="1"/>
  <c r="J992" i="1"/>
  <c r="J36" i="1"/>
  <c r="J1712" i="1"/>
  <c r="J998" i="1"/>
  <c r="J1004" i="1"/>
  <c r="J1184" i="1"/>
  <c r="J1185" i="1"/>
  <c r="J1060" i="1"/>
  <c r="J1187" i="1"/>
  <c r="J1188" i="1"/>
  <c r="J1189" i="1"/>
  <c r="J2081" i="1"/>
  <c r="J2082" i="1"/>
  <c r="J2084" i="1"/>
  <c r="J2086" i="1"/>
  <c r="J2087" i="1"/>
  <c r="J1744" i="1"/>
  <c r="J1607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713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37" i="1"/>
  <c r="J1231" i="1"/>
  <c r="J1232" i="1"/>
  <c r="J1233" i="1"/>
  <c r="J1234" i="1"/>
  <c r="J2107" i="1"/>
  <c r="J1558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745" i="1"/>
  <c r="J1252" i="1"/>
  <c r="J1253" i="1"/>
  <c r="J1254" i="1"/>
  <c r="J1255" i="1"/>
  <c r="J1067" i="1"/>
  <c r="J1069" i="1"/>
  <c r="J1258" i="1"/>
  <c r="J1576" i="1"/>
  <c r="J1260" i="1"/>
  <c r="J1261" i="1"/>
  <c r="J1262" i="1"/>
  <c r="J1263" i="1"/>
  <c r="J1264" i="1"/>
  <c r="J1265" i="1"/>
  <c r="J1070" i="1"/>
  <c r="J1267" i="1"/>
  <c r="J1268" i="1"/>
  <c r="J1269" i="1"/>
  <c r="J2108" i="1"/>
  <c r="J1271" i="1"/>
  <c r="J2633" i="1"/>
  <c r="J1714" i="1"/>
  <c r="J1715" i="1"/>
  <c r="J1275" i="1"/>
  <c r="J1276" i="1"/>
  <c r="J1277" i="1"/>
  <c r="J1278" i="1"/>
  <c r="J1279" i="1"/>
  <c r="J1716" i="1"/>
  <c r="J1281" i="1"/>
  <c r="J1282" i="1"/>
  <c r="J1718" i="1"/>
  <c r="J1284" i="1"/>
  <c r="J1719" i="1"/>
  <c r="J1720" i="1"/>
  <c r="J1721" i="1"/>
  <c r="J1722" i="1"/>
  <c r="J1289" i="1"/>
  <c r="J1723" i="1"/>
  <c r="J1291" i="1"/>
  <c r="J1292" i="1"/>
  <c r="J1293" i="1"/>
  <c r="J38" i="1"/>
  <c r="J1295" i="1"/>
  <c r="J1296" i="1"/>
  <c r="J1379" i="1"/>
  <c r="J1380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250" i="1"/>
  <c r="J1360" i="1"/>
  <c r="J251" i="1"/>
  <c r="J1362" i="1"/>
  <c r="J252" i="1"/>
  <c r="J253" i="1"/>
  <c r="J1365" i="1"/>
  <c r="J254" i="1"/>
  <c r="J1367" i="1"/>
  <c r="J255" i="1"/>
  <c r="J256" i="1"/>
  <c r="J1370" i="1"/>
  <c r="J1640" i="1"/>
  <c r="J1645" i="1"/>
  <c r="J1649" i="1"/>
  <c r="J1374" i="1"/>
  <c r="J1746" i="1"/>
  <c r="J1376" i="1"/>
  <c r="J1747" i="1"/>
  <c r="J1748" i="1"/>
  <c r="J1749" i="1"/>
  <c r="J1750" i="1"/>
  <c r="J1751" i="1"/>
  <c r="J1382" i="1"/>
  <c r="J1071" i="1"/>
  <c r="J1752" i="1"/>
  <c r="J1753" i="1"/>
  <c r="J1386" i="1"/>
  <c r="J1387" i="1"/>
  <c r="J1754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866" i="1"/>
  <c r="J1403" i="1"/>
  <c r="J1404" i="1"/>
  <c r="J1405" i="1"/>
  <c r="J1406" i="1"/>
  <c r="J1407" i="1"/>
  <c r="J1408" i="1"/>
  <c r="J1409" i="1"/>
  <c r="J257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073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2634" i="1"/>
  <c r="J1445" i="1"/>
  <c r="J1446" i="1"/>
  <c r="J1447" i="1"/>
  <c r="J1448" i="1"/>
  <c r="J1449" i="1"/>
  <c r="J1450" i="1"/>
  <c r="J1451" i="1"/>
  <c r="J1381" i="1"/>
  <c r="J1453" i="1"/>
  <c r="J1597" i="1"/>
  <c r="J1455" i="1"/>
  <c r="J1456" i="1"/>
  <c r="J1457" i="1"/>
  <c r="J1458" i="1"/>
  <c r="J1459" i="1"/>
  <c r="J1460" i="1"/>
  <c r="J1461" i="1"/>
  <c r="J258" i="1"/>
  <c r="J1463" i="1"/>
  <c r="J1464" i="1"/>
  <c r="J1465" i="1"/>
  <c r="J1466" i="1"/>
  <c r="J1467" i="1"/>
  <c r="J1468" i="1"/>
  <c r="J2908" i="1"/>
  <c r="J1470" i="1"/>
  <c r="J1471" i="1"/>
  <c r="J1472" i="1"/>
  <c r="J1473" i="1"/>
  <c r="J1474" i="1"/>
  <c r="J322" i="1"/>
  <c r="J1383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598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2129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259" i="1"/>
  <c r="J1529" i="1"/>
  <c r="J2942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867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361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39" i="1"/>
  <c r="J40" i="1"/>
  <c r="J41" i="1"/>
  <c r="J1600" i="1"/>
  <c r="J42" i="1"/>
  <c r="J1755" i="1"/>
  <c r="J1756" i="1"/>
  <c r="J1757" i="1"/>
  <c r="J1758" i="1"/>
  <c r="J2394" i="1"/>
  <c r="J1363" i="1"/>
  <c r="J2220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2224" i="1"/>
  <c r="J1625" i="1"/>
  <c r="J1626" i="1"/>
  <c r="J1627" i="1"/>
  <c r="J1628" i="1"/>
  <c r="J1629" i="1"/>
  <c r="J1630" i="1"/>
  <c r="J1631" i="1"/>
  <c r="J1724" i="1"/>
  <c r="J1633" i="1"/>
  <c r="J1634" i="1"/>
  <c r="J1635" i="1"/>
  <c r="J1636" i="1"/>
  <c r="J1637" i="1"/>
  <c r="J1638" i="1"/>
  <c r="J1639" i="1"/>
  <c r="J1364" i="1"/>
  <c r="J1641" i="1"/>
  <c r="J1642" i="1"/>
  <c r="J1643" i="1"/>
  <c r="J1644" i="1"/>
  <c r="J1074" i="1"/>
  <c r="J1646" i="1"/>
  <c r="J1647" i="1"/>
  <c r="J1648" i="1"/>
  <c r="J1759" i="1"/>
  <c r="J1366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760" i="1"/>
  <c r="J1682" i="1"/>
  <c r="J53" i="1"/>
  <c r="J55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2226" i="1"/>
  <c r="J1707" i="1"/>
  <c r="J1708" i="1"/>
  <c r="J1709" i="1"/>
  <c r="J1710" i="1"/>
  <c r="J1075" i="1"/>
  <c r="J1079" i="1"/>
  <c r="J1080" i="1"/>
  <c r="J1081" i="1"/>
  <c r="J1090" i="1"/>
  <c r="J1094" i="1"/>
  <c r="J1717" i="1"/>
  <c r="J1099" i="1"/>
  <c r="J1100" i="1"/>
  <c r="J1101" i="1"/>
  <c r="J1102" i="1"/>
  <c r="J1105" i="1"/>
  <c r="J1107" i="1"/>
  <c r="J1108" i="1"/>
  <c r="J1109" i="1"/>
  <c r="J1110" i="1"/>
  <c r="J1111" i="1"/>
  <c r="J1112" i="1"/>
  <c r="J1113" i="1"/>
  <c r="J1114" i="1"/>
  <c r="J1115" i="1"/>
  <c r="J1117" i="1"/>
  <c r="J1118" i="1"/>
  <c r="J1119" i="1"/>
  <c r="J1120" i="1"/>
  <c r="J1121" i="1"/>
  <c r="J1122" i="1"/>
  <c r="J1123" i="1"/>
  <c r="J1126" i="1"/>
  <c r="J1130" i="1"/>
  <c r="J1131" i="1"/>
  <c r="J1132" i="1"/>
  <c r="J1133" i="1"/>
  <c r="J1137" i="1"/>
  <c r="J1142" i="1"/>
  <c r="J1146" i="1"/>
  <c r="J1175" i="1"/>
  <c r="J1176" i="1"/>
  <c r="J1179" i="1"/>
  <c r="J1180" i="1"/>
  <c r="J1181" i="1"/>
  <c r="J1182" i="1"/>
  <c r="J1183" i="1"/>
  <c r="J1186" i="1"/>
  <c r="J1190" i="1"/>
  <c r="J1191" i="1"/>
  <c r="J1192" i="1"/>
  <c r="J1193" i="1"/>
  <c r="J1194" i="1"/>
  <c r="J1195" i="1"/>
  <c r="J1196" i="1"/>
  <c r="J1217" i="1"/>
  <c r="J1230" i="1"/>
  <c r="J1764" i="1"/>
  <c r="J1725" i="1"/>
  <c r="J1726" i="1"/>
  <c r="J1767" i="1"/>
  <c r="J1384" i="1"/>
  <c r="J1769" i="1"/>
  <c r="J1770" i="1"/>
  <c r="J1771" i="1"/>
  <c r="J1235" i="1"/>
  <c r="J1773" i="1"/>
  <c r="J1774" i="1"/>
  <c r="J1775" i="1"/>
  <c r="J1776" i="1"/>
  <c r="J1777" i="1"/>
  <c r="J1778" i="1"/>
  <c r="J1779" i="1"/>
  <c r="J1780" i="1"/>
  <c r="J43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410" i="1"/>
  <c r="J1795" i="1"/>
  <c r="J1796" i="1"/>
  <c r="J1797" i="1"/>
  <c r="J1798" i="1"/>
  <c r="J1799" i="1"/>
  <c r="J1800" i="1"/>
  <c r="J1801" i="1"/>
  <c r="J1802" i="1"/>
  <c r="J1803" i="1"/>
  <c r="J1804" i="1"/>
  <c r="J1805" i="1"/>
  <c r="J123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599" i="1"/>
  <c r="J1601" i="1"/>
  <c r="J1602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727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2265" i="1"/>
  <c r="J1898" i="1"/>
  <c r="J1728" i="1"/>
  <c r="J1900" i="1"/>
  <c r="J1901" i="1"/>
  <c r="J1251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761" i="1"/>
  <c r="J1929" i="1"/>
  <c r="J1930" i="1"/>
  <c r="J1931" i="1"/>
  <c r="J1932" i="1"/>
  <c r="J1933" i="1"/>
  <c r="J1934" i="1"/>
  <c r="J1935" i="1"/>
  <c r="J1936" i="1"/>
  <c r="J1937" i="1"/>
  <c r="J1938" i="1"/>
  <c r="J1939" i="1"/>
  <c r="J1729" i="1"/>
  <c r="J1941" i="1"/>
  <c r="J1942" i="1"/>
  <c r="J1943" i="1"/>
  <c r="J46" i="1"/>
  <c r="J1945" i="1"/>
  <c r="J1946" i="1"/>
  <c r="J1947" i="1"/>
  <c r="J1730" i="1"/>
  <c r="J1949" i="1"/>
  <c r="J2694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272" i="1"/>
  <c r="J2004" i="1"/>
  <c r="J2298" i="1"/>
  <c r="J2302" i="1"/>
  <c r="J2303" i="1"/>
  <c r="J2307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47" i="1"/>
  <c r="J2023" i="1"/>
  <c r="J2024" i="1"/>
  <c r="J2025" i="1"/>
  <c r="J2026" i="1"/>
  <c r="J1762" i="1"/>
  <c r="J2028" i="1"/>
  <c r="J2029" i="1"/>
  <c r="J2030" i="1"/>
  <c r="J2031" i="1"/>
  <c r="J2032" i="1"/>
  <c r="J2033" i="1"/>
  <c r="J2034" i="1"/>
  <c r="J2035" i="1"/>
  <c r="J2036" i="1"/>
  <c r="J2037" i="1"/>
  <c r="J2744" i="1"/>
  <c r="J2039" i="1"/>
  <c r="J1256" i="1"/>
  <c r="J2041" i="1"/>
  <c r="J1257" i="1"/>
  <c r="J264" i="1"/>
  <c r="J2044" i="1"/>
  <c r="J2045" i="1"/>
  <c r="J2046" i="1"/>
  <c r="J2047" i="1"/>
  <c r="J2048" i="1"/>
  <c r="J2049" i="1"/>
  <c r="J2050" i="1"/>
  <c r="J2051" i="1"/>
  <c r="J2052" i="1"/>
  <c r="J2053" i="1"/>
  <c r="J2054" i="1"/>
  <c r="J1259" i="1"/>
  <c r="J2056" i="1"/>
  <c r="J2057" i="1"/>
  <c r="J2058" i="1"/>
  <c r="J2765" i="1"/>
  <c r="J2327" i="1"/>
  <c r="J2334" i="1"/>
  <c r="J2339" i="1"/>
  <c r="J2366" i="1"/>
  <c r="J2371" i="1"/>
  <c r="J2372" i="1"/>
  <c r="J2066" i="1"/>
  <c r="J2067" i="1"/>
  <c r="J2068" i="1"/>
  <c r="J260" i="1"/>
  <c r="J2070" i="1"/>
  <c r="J2071" i="1"/>
  <c r="J2072" i="1"/>
  <c r="J2073" i="1"/>
  <c r="J2074" i="1"/>
  <c r="J1605" i="1"/>
  <c r="J1606" i="1"/>
  <c r="J2077" i="1"/>
  <c r="J2078" i="1"/>
  <c r="J2079" i="1"/>
  <c r="J2374" i="1"/>
  <c r="J1444" i="1"/>
  <c r="J1452" i="1"/>
  <c r="J2083" i="1"/>
  <c r="J2770" i="1"/>
  <c r="J2085" i="1"/>
  <c r="J261" i="1"/>
  <c r="J262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48" i="1"/>
  <c r="J49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1763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1368" i="1"/>
  <c r="J2221" i="1"/>
  <c r="J2222" i="1"/>
  <c r="J2223" i="1"/>
  <c r="J50" i="1"/>
  <c r="J2225" i="1"/>
  <c r="J1385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1880" i="1"/>
  <c r="J2266" i="1"/>
  <c r="J2267" i="1"/>
  <c r="J2268" i="1"/>
  <c r="J2269" i="1"/>
  <c r="J2270" i="1"/>
  <c r="J2271" i="1"/>
  <c r="J1765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1388" i="1"/>
  <c r="J2299" i="1"/>
  <c r="J2300" i="1"/>
  <c r="J2301" i="1"/>
  <c r="J2873" i="1"/>
  <c r="J2901" i="1"/>
  <c r="J2304" i="1"/>
  <c r="J2305" i="1"/>
  <c r="J2306" i="1"/>
  <c r="J1731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904" i="1"/>
  <c r="J2328" i="1"/>
  <c r="J2329" i="1"/>
  <c r="J2330" i="1"/>
  <c r="J2331" i="1"/>
  <c r="J2332" i="1"/>
  <c r="J2333" i="1"/>
  <c r="J1732" i="1"/>
  <c r="J2335" i="1"/>
  <c r="J2336" i="1"/>
  <c r="J2337" i="1"/>
  <c r="J2338" i="1"/>
  <c r="J1402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905" i="1"/>
  <c r="J2367" i="1"/>
  <c r="J2368" i="1"/>
  <c r="J2369" i="1"/>
  <c r="J2370" i="1"/>
  <c r="J1766" i="1"/>
  <c r="J1266" i="1"/>
  <c r="J2373" i="1"/>
  <c r="J1897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1270" i="1"/>
  <c r="J2392" i="1"/>
  <c r="J1369" i="1"/>
  <c r="J2395" i="1"/>
  <c r="J2396" i="1"/>
  <c r="J2397" i="1"/>
  <c r="J2398" i="1"/>
  <c r="J2906" i="1"/>
  <c r="J2400" i="1"/>
  <c r="J2401" i="1"/>
  <c r="J2402" i="1"/>
  <c r="J1733" i="1"/>
  <c r="J1734" i="1"/>
  <c r="J173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1736" i="1"/>
  <c r="J2630" i="1"/>
  <c r="J1737" i="1"/>
  <c r="J1738" i="1"/>
  <c r="J1899" i="1"/>
  <c r="J1768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1772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1781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51" i="1"/>
  <c r="J2766" i="1"/>
  <c r="J2767" i="1"/>
  <c r="J2768" i="1"/>
  <c r="J2769" i="1"/>
  <c r="J263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1272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1739" i="1"/>
  <c r="J2902" i="1"/>
  <c r="J2903" i="1"/>
  <c r="J1273" i="1"/>
  <c r="J1274" i="1"/>
  <c r="J1280" i="1"/>
  <c r="J1283" i="1"/>
  <c r="J1285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1427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500" i="1"/>
  <c r="J2612" i="1"/>
  <c r="J1288" i="1"/>
</calcChain>
</file>

<file path=xl/sharedStrings.xml><?xml version="1.0" encoding="utf-8"?>
<sst xmlns="http://schemas.openxmlformats.org/spreadsheetml/2006/main" count="19343" uniqueCount="1749">
  <si>
    <t>S3 - DEPÓSITO RAMPA</t>
  </si>
  <si>
    <t>S3 - GARAGEM</t>
  </si>
  <si>
    <t>S2 - ARQUIVO DESLIZANTE</t>
  </si>
  <si>
    <t>S1 - SALA DE MALAS</t>
  </si>
  <si>
    <t>S2 - CORREDOR</t>
  </si>
  <si>
    <t>S3 - VESTIÁRIO FEMININO</t>
  </si>
  <si>
    <t>S3 - DEPÓSITO SEPAT</t>
  </si>
  <si>
    <t>CFC</t>
  </si>
  <si>
    <t>S2 - OFICINA</t>
  </si>
  <si>
    <t>S3 - SALA TERCEIRIZAÇÃO</t>
  </si>
  <si>
    <t>S2 - GARAGEM</t>
  </si>
  <si>
    <t>14 - CASA DE MÁQUINAS</t>
  </si>
  <si>
    <t>13 - CORREDOR</t>
  </si>
  <si>
    <t>S1 - SEPROT</t>
  </si>
  <si>
    <t>13 - PLENÁRIO</t>
  </si>
  <si>
    <t>11 - REFEITÓRIO</t>
  </si>
  <si>
    <t>S3 - REFEITÓRIO</t>
  </si>
  <si>
    <t>12 - MUSEU</t>
  </si>
  <si>
    <t>T - RECEPÇÃO</t>
  </si>
  <si>
    <t>S2 - ARQUIVO CENTRAL</t>
  </si>
  <si>
    <t>03 - CGTI</t>
  </si>
  <si>
    <t>10 - COTEC - SALA DE REUNIÃO</t>
  </si>
  <si>
    <t>10 - COTEC</t>
  </si>
  <si>
    <t>10 - CCI - SALA DE REUNIÃO</t>
  </si>
  <si>
    <t>S1 - BRIGADA</t>
  </si>
  <si>
    <t>10 - VP - TÉCNICA</t>
  </si>
  <si>
    <t>07 - COLOG</t>
  </si>
  <si>
    <t>10 - CCI</t>
  </si>
  <si>
    <t>09 - COPI</t>
  </si>
  <si>
    <t>07 - COAD</t>
  </si>
  <si>
    <t>08 - COFIS</t>
  </si>
  <si>
    <t>02 - DECOM</t>
  </si>
  <si>
    <t>07 - DECONT</t>
  </si>
  <si>
    <t>09 - COPI - SALA DE REUNIÃO</t>
  </si>
  <si>
    <t>08 - COFIS - SALA DE REUNIÃO</t>
  </si>
  <si>
    <t>11 - COPA</t>
  </si>
  <si>
    <t>08 - SALA DE TRANSIÇÃO</t>
  </si>
  <si>
    <t>05 - PROJUR</t>
  </si>
  <si>
    <t>09 - CDPROF - SALA DE REUNIÃO</t>
  </si>
  <si>
    <t>09 - COREG</t>
  </si>
  <si>
    <t>09 - VP P. INSTITUCIONAL</t>
  </si>
  <si>
    <t>13 - PLENÁRIO - COPA</t>
  </si>
  <si>
    <t>11 - CORREDOR</t>
  </si>
  <si>
    <t>S3 - SALA DE DESCANSO E TV</t>
  </si>
  <si>
    <t>08 - VP - FISCALIZAÇÃO</t>
  </si>
  <si>
    <t>02 - CORREDOR</t>
  </si>
  <si>
    <t>10 - VP - CONTROLE INTERNO</t>
  </si>
  <si>
    <t>09 - CDPROF</t>
  </si>
  <si>
    <t>07 - DEPES</t>
  </si>
  <si>
    <t>07 - COAD - SALA DE REUNIÃO</t>
  </si>
  <si>
    <t>10 - CORREDOR</t>
  </si>
  <si>
    <t>09 - VP - REGISTRO</t>
  </si>
  <si>
    <t>09 - COREG - SALA DE REUNIÃO</t>
  </si>
  <si>
    <t>07 - DELIC</t>
  </si>
  <si>
    <t>07 - DEFIN</t>
  </si>
  <si>
    <t>07 - DEPAD</t>
  </si>
  <si>
    <t>S2 - ALMOXARIFADO</t>
  </si>
  <si>
    <t>03 - CORREDOR</t>
  </si>
  <si>
    <t>08 - CORREDOR</t>
  </si>
  <si>
    <t>S1 -  GARAGEM</t>
  </si>
  <si>
    <t>07 - DEGEP</t>
  </si>
  <si>
    <t>07 - CORREDOR</t>
  </si>
  <si>
    <t>S1 - SETRAN</t>
  </si>
  <si>
    <t>T - AUDITÓRIO</t>
  </si>
  <si>
    <t>09 - CORREDOR</t>
  </si>
  <si>
    <t>S1 - TELEFONIA</t>
  </si>
  <si>
    <t>07 - VP ADMINISTRATIVA</t>
  </si>
  <si>
    <t>09 - VP - D. PROFISSIONAL</t>
  </si>
  <si>
    <t>S1 - CENTRAL TELEFÔNICA</t>
  </si>
  <si>
    <t>05 - CORREDOR</t>
  </si>
  <si>
    <t>05 - BIBLIOTECA</t>
  </si>
  <si>
    <t>04 - CORREDOR</t>
  </si>
  <si>
    <t>S1 - CORREDOR</t>
  </si>
  <si>
    <t>04 - SALA DA DIRETORIA</t>
  </si>
  <si>
    <t>T - SALA DE JARDINAGEM</t>
  </si>
  <si>
    <t>S1 - CENTRAL ELÉTRICA</t>
  </si>
  <si>
    <t>T - CORREDOR</t>
  </si>
  <si>
    <t>S1 - SALA DO GERADOR</t>
  </si>
  <si>
    <t>03 - CPD</t>
  </si>
  <si>
    <t>S1 - ESTUFA</t>
  </si>
  <si>
    <t>04 - SALA ABRACICON</t>
  </si>
  <si>
    <t>07 - SEPAT</t>
  </si>
  <si>
    <t>S3 - VESTIÁRIO MASCULINO</t>
  </si>
  <si>
    <t>06 - GABINETE</t>
  </si>
  <si>
    <t>S1 - CASA DE MÁQUINAS</t>
  </si>
  <si>
    <t>SEPAT</t>
  </si>
  <si>
    <t>DECOM</t>
  </si>
  <si>
    <t>CGTI</t>
  </si>
  <si>
    <t>DEINF</t>
  </si>
  <si>
    <t>DEMIDIA</t>
  </si>
  <si>
    <t>SEBIB</t>
  </si>
  <si>
    <t>COAD</t>
  </si>
  <si>
    <t>COLOG</t>
  </si>
  <si>
    <t>DECONT</t>
  </si>
  <si>
    <t>DEFIN</t>
  </si>
  <si>
    <t>DEGEP</t>
  </si>
  <si>
    <t>DELIC</t>
  </si>
  <si>
    <t>DEPAD</t>
  </si>
  <si>
    <t>DEPES</t>
  </si>
  <si>
    <t>COFIS</t>
  </si>
  <si>
    <t>CDPROF</t>
  </si>
  <si>
    <t>COPI</t>
  </si>
  <si>
    <t>COREG</t>
  </si>
  <si>
    <t>CCI</t>
  </si>
  <si>
    <t>COTEC</t>
  </si>
  <si>
    <t>DEINFRA</t>
  </si>
  <si>
    <t>PROJUR</t>
  </si>
  <si>
    <t>SETRAN</t>
  </si>
  <si>
    <t>SEPROT</t>
  </si>
  <si>
    <t>SEGED</t>
  </si>
  <si>
    <t>email</t>
  </si>
  <si>
    <t>Prezada</t>
  </si>
  <si>
    <t>jaqueline.elmiro@cfc.org.br</t>
  </si>
  <si>
    <t>Prezado</t>
  </si>
  <si>
    <t>crbuzzin@cfc.org.br</t>
  </si>
  <si>
    <t>andrearosa@cfc.org.br</t>
  </si>
  <si>
    <t>eunice@cfc.org.br</t>
  </si>
  <si>
    <t>franciele@cfc.org.br</t>
  </si>
  <si>
    <t>paularocha@cfc.org.br</t>
  </si>
  <si>
    <t>ludmello@cfc.org.br</t>
  </si>
  <si>
    <t>edsonrodrigues@cfc.org.br</t>
  </si>
  <si>
    <t>thiago.gomes@cfc.org.br</t>
  </si>
  <si>
    <t>angela.fazion@cfc.org.br</t>
  </si>
  <si>
    <t>cristeixeira@cfc.org.br</t>
  </si>
  <si>
    <t>rogerio.r@cfc.org.br</t>
  </si>
  <si>
    <t>bruno.gomes@cfc.org.br</t>
  </si>
  <si>
    <t>julianemachado@cfc.org.br</t>
  </si>
  <si>
    <t>fabriciosantos@cfc.org.br</t>
  </si>
  <si>
    <t>ruialexandre@cfc.org.br</t>
  </si>
  <si>
    <t>gilsoncastro@cfc.org.br</t>
  </si>
  <si>
    <t>elys.tevania@cfc.org.br</t>
  </si>
  <si>
    <t>rodrigomagalhaes@cfc.org.br</t>
  </si>
  <si>
    <t>luciafigueiredo@cfc.org.br</t>
  </si>
  <si>
    <t>janaina.b@cfc.org.br</t>
  </si>
  <si>
    <t>antonio.junior@cfc.org.br</t>
  </si>
  <si>
    <t>giselisouza@cfc.org.br</t>
  </si>
  <si>
    <t>wesley@cfc.org.br</t>
  </si>
  <si>
    <t>GABIN</t>
  </si>
  <si>
    <t>ccustos</t>
  </si>
  <si>
    <t>localizacao</t>
  </si>
  <si>
    <t>tratamento</t>
  </si>
  <si>
    <t>responsavel</t>
  </si>
  <si>
    <t>janaina.carvalho@cfc.org.br</t>
  </si>
  <si>
    <t>complemento</t>
  </si>
  <si>
    <t>descricao</t>
  </si>
  <si>
    <t>situacao</t>
  </si>
  <si>
    <t>numero</t>
  </si>
  <si>
    <t>matricula</t>
  </si>
  <si>
    <t>funcao</t>
  </si>
  <si>
    <t xml:space="preserve">Prezada </t>
  </si>
  <si>
    <t>rafaella@cfc.org.br</t>
  </si>
  <si>
    <t>classificacao</t>
  </si>
  <si>
    <t>data_entrada</t>
  </si>
  <si>
    <t>valor_compra</t>
  </si>
  <si>
    <t>valor_atual</t>
  </si>
  <si>
    <t>JAQUELINE RODRIGUES PORTELA ELMIRO</t>
  </si>
  <si>
    <t>CESAR ROBERTO BUZZIN</t>
  </si>
  <si>
    <t>JANAINA ANGELICA SARMENTO F. DE L. DE CARVALHO</t>
  </si>
  <si>
    <t>ANDREA RODRIGUES ROSA</t>
  </si>
  <si>
    <t>EUNICE ROSA DE MELO DOS SANTOS</t>
  </si>
  <si>
    <t>FRANCIELE CARINI</t>
  </si>
  <si>
    <t>PAULA MARIA ROCHA E SILVA</t>
  </si>
  <si>
    <t>LUDMILA DE MELLO CORREA SILVA</t>
  </si>
  <si>
    <t>EDSON CASSIO MIRANDA RODRIGUES PEREIRA</t>
  </si>
  <si>
    <t>THIAGO LUIS GOMES</t>
  </si>
  <si>
    <t>ANGELA MARIA FAZION PEREIRA</t>
  </si>
  <si>
    <t>RUI ALEXANDRE PAULINO TEIXEIRA</t>
  </si>
  <si>
    <t>CRISTINA MARIA TEIXEIRA DE OLIVEIRA</t>
  </si>
  <si>
    <t>ROGERIO RIBEIRO DA SILVA</t>
  </si>
  <si>
    <t>BRUNO DE ARAUJO GOMES</t>
  </si>
  <si>
    <t>JULIANE MACHADO MELO</t>
  </si>
  <si>
    <t>FABRICIO PEREIRA DOS SANTOS</t>
  </si>
  <si>
    <t>RAFAELLA LAMOUNIER MESQUITA</t>
  </si>
  <si>
    <t>GILSON LUIZ DE CASTRO</t>
  </si>
  <si>
    <t>RODRIGO MAGALHÃES DE OLIVEIRA</t>
  </si>
  <si>
    <t>LUCIA HELENA ALVES DE FIGUEIREDO</t>
  </si>
  <si>
    <t>JANAINA DE ARAUJO NERY BEZERRA</t>
  </si>
  <si>
    <t>ANTONIO RODRIGUES DE SOUSA JUNIOR</t>
  </si>
  <si>
    <t>GISELI CARDOSO DE SOUZA</t>
  </si>
  <si>
    <t>WESLEY SANTOS DE SOUZA</t>
  </si>
  <si>
    <t>ADRIANA DA SILVA GUIMARÃES</t>
  </si>
  <si>
    <t>adrianaguimaraes@cfc.org.br</t>
  </si>
  <si>
    <t>02 - DEMIDIA</t>
  </si>
  <si>
    <t>SOFTWARES</t>
  </si>
  <si>
    <t>CGGE</t>
  </si>
  <si>
    <t>08 - CGGE</t>
  </si>
  <si>
    <t>08 - CGGE - SALA DE REUNIÃO</t>
  </si>
  <si>
    <t>08 - SALA VP - VIGGE</t>
  </si>
  <si>
    <t>CCOM</t>
  </si>
  <si>
    <t>daniel.guerra@cfc.org.br</t>
  </si>
  <si>
    <t>TERMOS INDIVIDUAIS</t>
  </si>
  <si>
    <t>MOBILIARIO PARA ALIENAÇÃO 2024</t>
  </si>
  <si>
    <t>BENS TI PARA ALIENAÇÃO 2024</t>
  </si>
  <si>
    <t>ESCRITÓRIO CFC - ARACAJU/SE</t>
  </si>
  <si>
    <t>Número do bem</t>
  </si>
  <si>
    <t>Descrição</t>
  </si>
  <si>
    <t>Mesa oval bege</t>
  </si>
  <si>
    <t>Cadeira fixa bege</t>
  </si>
  <si>
    <t>Mesa de canto – madeira</t>
  </si>
  <si>
    <t>Mesa quadrada – madeira</t>
  </si>
  <si>
    <t>Poltrona azul</t>
  </si>
  <si>
    <t>Monitor HP</t>
  </si>
  <si>
    <t>Localização Anterior</t>
  </si>
  <si>
    <t>04  - SALA DE REUNIÃO</t>
  </si>
  <si>
    <t>MOBILIÁRIO PARA ALIENAÇÃO</t>
  </si>
  <si>
    <t>02 - CCOM</t>
  </si>
  <si>
    <t>03 - DEINF.</t>
  </si>
  <si>
    <t>04 - STUDIO DEMIDIA</t>
  </si>
  <si>
    <t>10 - DEINT</t>
  </si>
  <si>
    <t>S3 - DEPÓSITO MATERIAL LIMPEZA</t>
  </si>
  <si>
    <t>02 - DECOM.</t>
  </si>
  <si>
    <t>04 - DIGEO</t>
  </si>
  <si>
    <t>S2 - DEPÓSITO DIGEO</t>
  </si>
  <si>
    <t>04 - DIEPG</t>
  </si>
  <si>
    <t>coordenadora</t>
  </si>
  <si>
    <t>gerente</t>
  </si>
  <si>
    <t>coordenador</t>
  </si>
  <si>
    <t>RICARDO DA SILVA CARVALHO</t>
  </si>
  <si>
    <t>ricardo.carvalho@cfc.org.br</t>
  </si>
  <si>
    <t>DIGEO</t>
  </si>
  <si>
    <t>diretora</t>
  </si>
  <si>
    <t>DIGEO_4</t>
  </si>
  <si>
    <t>DIEPG</t>
  </si>
  <si>
    <t>prezada</t>
  </si>
  <si>
    <t>ELYS TEVANIA ALVES DE SOUZA  CARVALHO</t>
  </si>
  <si>
    <t>layana.campos@cfc.org.br</t>
  </si>
  <si>
    <t>chefe gabinete</t>
  </si>
  <si>
    <t>procurador-chefe</t>
  </si>
  <si>
    <t>supervisora</t>
  </si>
  <si>
    <t>supervisor</t>
  </si>
  <si>
    <t xml:space="preserve">DANIEL AMARAL GUERRA </t>
  </si>
  <si>
    <t xml:space="preserve">coordenador </t>
  </si>
  <si>
    <t xml:space="preserve">04 - DIGEO </t>
  </si>
  <si>
    <t>04 - DIGEO ALA NORTE</t>
  </si>
  <si>
    <t>TERMOS INDIVIDUAIS</t>
  </si>
  <si>
    <t>LAYANA TYARA CAMPOS DERTÔNIO</t>
  </si>
  <si>
    <t>ATIVO</t>
  </si>
  <si>
    <t>CADEIRA</t>
  </si>
  <si>
    <t>CADEIRA DE FERRO PATINA COM ALMOFADAS</t>
  </si>
  <si>
    <t>MÓVEIS E UTENSÍLIOS DE ESCRITÓRIO</t>
  </si>
  <si>
    <t>31/12/1996</t>
  </si>
  <si>
    <t>MESA</t>
  </si>
  <si>
    <t>PARA DATILOGRAFIA LAMINADO NA COR MARROM</t>
  </si>
  <si>
    <t>06/12/2012</t>
  </si>
  <si>
    <t>01/01/2002</t>
  </si>
  <si>
    <t>CADEIRA GIRATORIA COR VINHO COM BRACOS E RODAS</t>
  </si>
  <si>
    <t>31/01/1996</t>
  </si>
  <si>
    <t>CADEIRA GIRATORIA COR VERMELHA COM BRACOS E RODAS</t>
  </si>
  <si>
    <t>APARELHO / MESA DE SOM</t>
  </si>
  <si>
    <t>STANER MOD. EQUALIZE</t>
  </si>
  <si>
    <t>MÁQUINAS E EQUIPAMENTOS</t>
  </si>
  <si>
    <t>16/04/2007</t>
  </si>
  <si>
    <t>AMPLIFICADOR NASHIVILLE SERIE NA1600 TR 00744</t>
  </si>
  <si>
    <t>30/09/1996</t>
  </si>
  <si>
    <t>AMPLIFICADOR DE SOM</t>
  </si>
  <si>
    <t>AMPLIFICADOR DE AUDIO;TIMES ONE;JX240;2K56JU27976;</t>
  </si>
  <si>
    <t>04 - CCOM STUDIO</t>
  </si>
  <si>
    <t>10/12/2010</t>
  </si>
  <si>
    <t>AMPLIFICADOR DE AUDIO;SHURE;FP16A;SN;</t>
  </si>
  <si>
    <t>EQUALIZADOR DE SOM</t>
  </si>
  <si>
    <t>EQUALIZADOR GRAPHIC;FBQ;FBQ3102;L0258477668;</t>
  </si>
  <si>
    <t>AMPLIFICADOR MARCA STANER MOD PA2000</t>
  </si>
  <si>
    <t>08/02/2002</t>
  </si>
  <si>
    <t>AMPLICADOR DE A AUDIO;AUDICOM;PROXL;</t>
  </si>
  <si>
    <t>AMPLIFICADOR STANER PA1000 264 WRMS SERIE 00383-A</t>
  </si>
  <si>
    <t>04/04/2000</t>
  </si>
  <si>
    <t>EQUIPAMENTO DE AUDIO COMPLETO PARA O PLENÁRIO DO CFC</t>
  </si>
  <si>
    <t>25/01/2006</t>
  </si>
  <si>
    <t>AMPLIFICADOR DE AUDIO;TIMES ONE;JX240;2K56JV27977;</t>
  </si>
  <si>
    <t>RACK</t>
  </si>
  <si>
    <t>RACK DE MADEIRA C 2 PORTAS;SI;SI;60X60X170;</t>
  </si>
  <si>
    <t>MESA EM MADEIRA PARA REFEICAO</t>
  </si>
  <si>
    <t>01/09/1996</t>
  </si>
  <si>
    <t>MESA EM MADEIRA PARA APOIO TAMANHO 2,2 X 1,20</t>
  </si>
  <si>
    <t>01/01/1999</t>
  </si>
  <si>
    <t>MESA PARA REUNIAO REDONDA LAMINADO FREIJO 81x200cm</t>
  </si>
  <si>
    <t>28/02/1996</t>
  </si>
  <si>
    <t>CADEIRA GIRATÓRIA, SEM BRAÇOS, COR VEMELHA, MARCA TECNO2000</t>
  </si>
  <si>
    <t>01/05/2003</t>
  </si>
  <si>
    <t>POLTRONA GIRATÓRIA COM APOIO PARA OS BRAÇOS COR BEGE</t>
  </si>
  <si>
    <t>09/06/1998</t>
  </si>
  <si>
    <t>POLTRONA GIROFLEX COM APOIO PARA OS BRAÇOS COR MARROM</t>
  </si>
  <si>
    <t>31/03/2010</t>
  </si>
  <si>
    <t>POLTRONA GIROFLEX COM APOIO PARA OS BRAÇOS COR MARROM,</t>
  </si>
  <si>
    <t>POLTRONA GIROFLEX COM APOIO PARA OS BRAÇOS, EM COURO MARROM</t>
  </si>
  <si>
    <t>MESA DE TRABALHO RETANGULAR NA COR BEGE</t>
  </si>
  <si>
    <t>11/03/2005</t>
  </si>
  <si>
    <t>21/11/1997</t>
  </si>
  <si>
    <t>MESA PARA MAQUINA DE DATILOGRAFIA</t>
  </si>
  <si>
    <t>27/11/1998</t>
  </si>
  <si>
    <t>MESA PARA TELEFONE REVESTIDA EM LAMINADO FREIJO</t>
  </si>
  <si>
    <t>26/07/1996</t>
  </si>
  <si>
    <t>MESA DE REUNIÃO EM MDF NA COR BEGE</t>
  </si>
  <si>
    <t>19/09/1998</t>
  </si>
  <si>
    <t>BALCÃO</t>
  </si>
  <si>
    <t>BALCAO DE MADEIRA COM 2 PORTAS COR TABACO</t>
  </si>
  <si>
    <t>29/11/2010</t>
  </si>
  <si>
    <t>BALCÃO DE MADEIRA COM 2 PORTAS COR TABACO</t>
  </si>
  <si>
    <t>19/09/1996</t>
  </si>
  <si>
    <t>BALCÃO EM MADEIRA COM 2 PORTAS COR TABACO</t>
  </si>
  <si>
    <t>BANCADA</t>
  </si>
  <si>
    <t>BANCADA DE  DE MADEIRA C/ESTRUTURA  CROMADA;600X55X110;</t>
  </si>
  <si>
    <t>POLTRONA FIXA COM BRACO COR BEGE</t>
  </si>
  <si>
    <t>EM PROCESSO DE LOCALIZAÇÃO</t>
  </si>
  <si>
    <t>POLTRONA FIXA COM BRACOS NA COR BEGE</t>
  </si>
  <si>
    <t>15/05/2000</t>
  </si>
  <si>
    <t>ARMARIO</t>
  </si>
  <si>
    <t>ARMARIO EM MADEIRA, BAIXO, 2 PORTAS REF. E1AR0820</t>
  </si>
  <si>
    <t>08/07/1998</t>
  </si>
  <si>
    <t>MESA DE REUNIAO REDONDA COR OVO</t>
  </si>
  <si>
    <t>CADEIRA FIXA DE COURO COM APOIO PARA OS BRAÇOS GIROFLEX</t>
  </si>
  <si>
    <t>18/02/2010</t>
  </si>
  <si>
    <t>POLTRONA GIRATORIA DE COURO COM APOIO PARA OS BRAÇOS</t>
  </si>
  <si>
    <t>TELEFONE</t>
  </si>
  <si>
    <t>TELEFONE DIGITAL ALCATEL MODELO 4029 SERIAL H0500609432201</t>
  </si>
  <si>
    <t>25/02/2008</t>
  </si>
  <si>
    <t>REFRIGERADOR</t>
  </si>
  <si>
    <t>REFRIGERADOR FRIGOBAR, MARCA CONSUL 76,5 LITROS, BRANCO, 220</t>
  </si>
  <si>
    <t>UTENSÍLIOS DE COPA E COZINHA</t>
  </si>
  <si>
    <t>11/04/2006</t>
  </si>
  <si>
    <t>TELEVISÃO</t>
  </si>
  <si>
    <t>TELEVISOR LCD 32" PHILIPS</t>
  </si>
  <si>
    <t>29/10/2009</t>
  </si>
  <si>
    <t>MESA DE MADEIRA C TAMPO EM ACRILICO;GIROFLEX;220X110X75;</t>
  </si>
  <si>
    <t>17/12/2009</t>
  </si>
  <si>
    <t>SOFÁ</t>
  </si>
  <si>
    <t>SOFA 02 LUGARES EM COURO MARROM 1,84X100X122;</t>
  </si>
  <si>
    <t>ESTAÇÃO DE TRABALHO</t>
  </si>
  <si>
    <t>ESTAÇÃO DE TRABALHO C/ 04 MODULOS 3,20 X 2,20 X 0,75</t>
  </si>
  <si>
    <t>02/12/2010</t>
  </si>
  <si>
    <t>ESTAÇÃO DE TRABALHO COM 4 MESAS MEDINDO 1,60 X 1,20</t>
  </si>
  <si>
    <t>26/12/2001</t>
  </si>
  <si>
    <t>POLTRONA GIRATORIA, COM BRACO, RODIZIOS - REFORMADA</t>
  </si>
  <si>
    <t>MONITOR</t>
  </si>
  <si>
    <t>MONITOR LCD 17" SAMSUNG SYNCMASTER 740N HA17HXCLC21580KBR</t>
  </si>
  <si>
    <t>EQUIPAMENTOS DE PROCESSAMENTO DE DADOS</t>
  </si>
  <si>
    <t>07/02/2007</t>
  </si>
  <si>
    <t>GAVETEIRO</t>
  </si>
  <si>
    <t>GAVETEIRO VOLANTE COM 04 GAVETAS</t>
  </si>
  <si>
    <t>29/04/2003</t>
  </si>
  <si>
    <t>MONITOR LCD 17" SAMSUNG SYNCMASTER 740N HA17HXCLC21188ZBR</t>
  </si>
  <si>
    <t>POLTRONA GIRATORIA COM APOIO PARA OS BRAÇOS, COR BEGE</t>
  </si>
  <si>
    <t>17/10/2006</t>
  </si>
  <si>
    <t>16/10/1998</t>
  </si>
  <si>
    <t>MESA EM L, 03 PARTES COR OVO, PAINEL FRONTAL</t>
  </si>
  <si>
    <t>14/12/1998</t>
  </si>
  <si>
    <t>GAVETEIRO VOLANTE COM 4 GAVETAS</t>
  </si>
  <si>
    <t>MONITOR SANSUNG,19" MODELO 940B PLUS</t>
  </si>
  <si>
    <t>04/01/2008</t>
  </si>
  <si>
    <t>GAVETEIROS VOLANTES COM 04 GAVETAS 400X520X680</t>
  </si>
  <si>
    <t>23/10/2006</t>
  </si>
  <si>
    <t>GAVETEIRO VOLANTE COM 4 GAVETAS, COR CREME 0,46 X 0,58</t>
  </si>
  <si>
    <t>MONITOR LCD 17" SAMSUNG SYNCMASTER 740N HA17HXCLC21582YBR</t>
  </si>
  <si>
    <t>MONITOR LCD 17" SAMSUNG SYNCMASTER 740N HA17HXCLC26590ZBR</t>
  </si>
  <si>
    <t>MESA DE APOIO COR CREME MEDINDO 0,80 X 0,60 X 0,75</t>
  </si>
  <si>
    <t>ARMARIO DE MADEIRA REVESTIDO EM FORMICA BEGE</t>
  </si>
  <si>
    <t>30/10/1998</t>
  </si>
  <si>
    <t>ALCATEL SERIE 9 MODELO 4029 SERIAL H0500506320396</t>
  </si>
  <si>
    <t>CADEIRA VERSA EM COURO MARROM</t>
  </si>
  <si>
    <t>MESA DE CENTRO;SI;SI;50X50X45;</t>
  </si>
  <si>
    <t>POLTRONA EXECUTIVA GIROFLEX COM BRAÇOS MOD: F8L76S64C1</t>
  </si>
  <si>
    <t>MESA DE MADEIRA C/TAMPO EM ACRILICO;SI;220X110X75;</t>
  </si>
  <si>
    <t>MESA DE APOIO COR CREME MEDINDO 0,80 X 0,60 X 0,74</t>
  </si>
  <si>
    <t>ARMARIO ALTO - FECHADO C/PRATELEIRA E SUP.P/PASTA</t>
  </si>
  <si>
    <t>TELA DE PROJEÇÃO</t>
  </si>
  <si>
    <t>SAMSUNG PLUS 19" SERIAL HA19HXOPA00437</t>
  </si>
  <si>
    <t>19/03/2008</t>
  </si>
  <si>
    <t>ESTAÇÃO DE TRABALHO COM QUATRO MESAS DE 1,60 X 1,20</t>
  </si>
  <si>
    <t>ARMARIO EM MADEIRA, BAIXO, 2 PORTAS REF. E1AR0840</t>
  </si>
  <si>
    <t>ARMARIO EM MADEIRA, ALTO, 2 PORTAS REF. E1AR0840</t>
  </si>
  <si>
    <t>15/03/2012</t>
  </si>
  <si>
    <t>MESA EM L, 03 PARTES COR OVO, GAVETEIRO MARCA GIROFLEX</t>
  </si>
  <si>
    <t>POLTRONA FIXA COM APOIO PARA OS BRACOS COR BEGE</t>
  </si>
  <si>
    <t>TELEFONE DIGITAL MARCA ALCATEL MODELO 4029</t>
  </si>
  <si>
    <t>POLTRONA GIRATORIA C BRACOS ESTOF COURO;GIROFLEX;</t>
  </si>
  <si>
    <t>30/11/2010</t>
  </si>
  <si>
    <t>GAVETEIRO VOLANTE COM 4 GAVETAS COR CREME</t>
  </si>
  <si>
    <t>GAVETEIRO VOLANTE COM 4 GAVETAS, COR CREME 0,41 X 0,52</t>
  </si>
  <si>
    <t>CADEIRA GIRATORIA BAIXA E.PT DATILO II GAS E/C PN.VERMELHA</t>
  </si>
  <si>
    <t>CADEIRA GIRATORIA BAIXA E.PT DATILO II GAS E/C PN.V</t>
  </si>
  <si>
    <t>ILUMINAÇÃO</t>
  </si>
  <si>
    <t>KIT ILUMINAÇÃO - 2TRIPÉS E 2 REFLETORES</t>
  </si>
  <si>
    <t>23/03/2010</t>
  </si>
  <si>
    <t>ARMARIO PARA COPA COM 04 PORTAS E 02 PRATELEIRAS</t>
  </si>
  <si>
    <t>31/07/1996</t>
  </si>
  <si>
    <t>ARMARIO EM FORMICA CINZA</t>
  </si>
  <si>
    <t>31/10/1996</t>
  </si>
  <si>
    <t>FILTRO DE ÁGUA</t>
  </si>
  <si>
    <t>PURIFICADOR, FR 600, IBBL, 220 V NS 734P08844</t>
  </si>
  <si>
    <t>19/11/2007</t>
  </si>
  <si>
    <t>MESA PARA ESTUDO ESTRUTURA DE ACO TAMPO RETANGULAR</t>
  </si>
  <si>
    <t>MESA DE FERRO CROMADO COM TAMPO DE MADEIRA</t>
  </si>
  <si>
    <t>MESA PARA DATILOGRAFICA COM MARMORE</t>
  </si>
  <si>
    <t>31/12/1975</t>
  </si>
  <si>
    <t>ARMARIO ALTO 02 PORTAS COR OVO</t>
  </si>
  <si>
    <t>DE JANTAR SEM BRAÇO EM MADEIRA PUA C/ ESTOFAMENTO ACOLCHOADO</t>
  </si>
  <si>
    <t>CADEIRA FIXA DE JANTAR SEM BRAÇOS, EM MADEIRA PUA ACOLCHOADA</t>
  </si>
  <si>
    <t>MESA DE MADEIRA C/ TAMPO DE VIDRO;SI;SI;80X80X80;</t>
  </si>
  <si>
    <t>03/12/2010</t>
  </si>
  <si>
    <t>ESTANTE</t>
  </si>
  <si>
    <t>ESTANTE / RACK EM MADEIRA COR MARROM 4 PRATELEIRAS</t>
  </si>
  <si>
    <t>24/03/2000</t>
  </si>
  <si>
    <t>POLTRONA FIXA, PRETO CHARME COM APOIO PARA OS BRAÇOS</t>
  </si>
  <si>
    <t>MESA DE CENTRO REDONDA C/TAMPO DE VIDRO 0,90 X 0,90 X 0,40</t>
  </si>
  <si>
    <t>MESA DE CANTO REDONDA C/ TAMPO DE VIDRO</t>
  </si>
  <si>
    <t>MESA DE CANTO REDONDA PEQUENA C/ TAMPO DE CRISTAL 60X6 12MM</t>
  </si>
  <si>
    <t>MESA DE CANTO EM MADEIRA C/ TAMPO DE VIDRO;SI;SI;100X100X45;</t>
  </si>
  <si>
    <t>SOFA 3 LUGARES, EM CORINO COR MARROM</t>
  </si>
  <si>
    <t>SOFA 03 LUGARES EM COURO COR PRETO</t>
  </si>
  <si>
    <t>01/12/2010</t>
  </si>
  <si>
    <t>SOFA 03 LUGARES, CORINO NA COR MARROM</t>
  </si>
  <si>
    <t>01/06/1996</t>
  </si>
  <si>
    <t>MESA LATERAL MOGNO RAIZ DE IMBUIA C/APLIQUES LATAO</t>
  </si>
  <si>
    <t>18/06/1996</t>
  </si>
  <si>
    <t>MESA DE CENTRO QUADRADA MODELO PHILADELFIA EM MADEIRA IMBUIA</t>
  </si>
  <si>
    <t>MESA LATERAL MEIA LUA, EM MOGNO COR MARROM, TAMPO DE VIDRO</t>
  </si>
  <si>
    <t>MESA LATERAL EM MOGNO COR MARROM, COM 01 TAMPO DE VIDRO</t>
  </si>
  <si>
    <t>MESA DE CENTRO EM FERRO COM TAMPO DE VIDRO;SI;SI;100X100X45;</t>
  </si>
  <si>
    <t>POLTRONA GIRATORIA CAPITONE REVESTIM. CAMURCA BEGE</t>
  </si>
  <si>
    <t>30/06/1996</t>
  </si>
  <si>
    <t>POLTRONA MADEIRA DE LEI CAMURCA SINTETICA COR ROSA</t>
  </si>
  <si>
    <t>MESA EM INOX TAMANHO 40 X 40 CM</t>
  </si>
  <si>
    <t>01/01/2000</t>
  </si>
  <si>
    <t>REFRIGERADOR HORIZONTAL  INDUSTRIAL COM 02 PORTA(S)</t>
  </si>
  <si>
    <t>CARRINHO</t>
  </si>
  <si>
    <t>CARRINHO PARA CHA INOX</t>
  </si>
  <si>
    <t>28/07/1998</t>
  </si>
  <si>
    <t>REFRIGERADOR BRASTEMP DUPLEX 439 L BRANCO</t>
  </si>
  <si>
    <t>BALCAO EM INOX COM ARMÁRIO EM MADEIR 04 PORTA</t>
  </si>
  <si>
    <t>CARRINHO PARA CHÁ INOX COM 3 BANDEJAS</t>
  </si>
  <si>
    <t>18/02/2002</t>
  </si>
  <si>
    <t>BANCADA INOX;BRASINOX;200X80X90;</t>
  </si>
  <si>
    <t>COIFA INDUSTRIAL</t>
  </si>
  <si>
    <t>COIFA INDUSTRIAL;BRASINOX;SI;250X140;</t>
  </si>
  <si>
    <t>BALCAO INOX;BRASINOX;250X80X90;</t>
  </si>
  <si>
    <t>BALCAO INOX C/ 02 CUBAS;BRASINOX;200X80X90;</t>
  </si>
  <si>
    <t>PRATELEIRA INOX;BRASINOX;SI;250X50;</t>
  </si>
  <si>
    <t>BALCAO INOX C/ 01 CUBA;BRASINOX;250X80X90;</t>
  </si>
  <si>
    <t>BALCAO INOX COM 1 CUBA E ARMÁRIO EM MADEIRA 3 PORTAS</t>
  </si>
  <si>
    <t>REFRIGERADOR HORIZONTAL INDUSTRIAL C/ 02 PORTA(S);BRASINOX;S</t>
  </si>
  <si>
    <t>ARMARIO DE MADEIRA REVESTIDO EM FORMICA C/ 03 PORTA(S);150X5</t>
  </si>
  <si>
    <t>ARMARIO DE MADEIRA REVESTIDO EM FORMICA C/ 04 PORTA(S);BRASI</t>
  </si>
  <si>
    <t>POLTRONA FIXA COM BRACOS NA COR AZUL</t>
  </si>
  <si>
    <t>31/08/1996</t>
  </si>
  <si>
    <t>CADEIRA FIXA REVESTIDO COM ESTOFADO AZUL</t>
  </si>
  <si>
    <t>PURIFICADOR, FR 600, IBBL, 220 V 738P090090</t>
  </si>
  <si>
    <t>TELEVISOR PHILIPS LCD 32"</t>
  </si>
  <si>
    <t>FRIGOBAR CONSUL 80 LITROS</t>
  </si>
  <si>
    <t>02/02/2004</t>
  </si>
  <si>
    <t>BALCÃO / ARMÁRIO DE PAREDE, COM 4 PORTAS DESLIZANTES</t>
  </si>
  <si>
    <t>POLTRONA FIXA DE COURVIM C/ BRACOS E RODIZIOS TRASEIROS;GIRO</t>
  </si>
  <si>
    <t>POLTRONA GIRATORIA DE COURVIM C/ BRACOS E RODIZIOS;GIROFLEX;</t>
  </si>
  <si>
    <t>SOFA 02 LUGARES EM COURO MISTO COR MARROM</t>
  </si>
  <si>
    <t>TELEFONE DIGITAL ALCATEL MODELO 4029 SERIAL H0500609950295</t>
  </si>
  <si>
    <t>GAVETEIRO VOLANTE, 3 GAVETAS, COR OVO</t>
  </si>
  <si>
    <t>ARMARIO EM MADEIRA,BAIXO, 2 PORTAS REF. E1AR0840</t>
  </si>
  <si>
    <t>CADEIRA GIRATORIA SEM BRACO COR BEGE</t>
  </si>
  <si>
    <t>MESA EM L, 03 PARTES COR OVO MARCA GIROFLEX</t>
  </si>
  <si>
    <t>10/06/2003</t>
  </si>
  <si>
    <t>TELEFONE DIGITAL ALCATEL MODELO 4029 SERIAL H0500609949666</t>
  </si>
  <si>
    <t>ESTAÇÃO DE TRABALHO (MESA ORGANICA,CONEXAO,PAINEL)</t>
  </si>
  <si>
    <t>MONITOR SAMSUNG 19", SYNCMASTER 940BPLUS</t>
  </si>
  <si>
    <t>ARMARIO BAIXO 2 PORTAS, COR OVO REF. E1AR0820</t>
  </si>
  <si>
    <t>02/06/2000</t>
  </si>
  <si>
    <t>CADEIRA TIPO POLTRONA GIROFLEX COR BEGE</t>
  </si>
  <si>
    <t>MONITOR SAMSUNG 19" MODELO 940BPLUS SÉRIE HA19HXNP900275L-BR</t>
  </si>
  <si>
    <t>GAVETEIROS VOLANTES COM 04 GAVETAS</t>
  </si>
  <si>
    <t>GAVETEIROS VOLANTES COM 04 GAVETAS COR CREME</t>
  </si>
  <si>
    <t>POLTRONA GIRATÓRIA COM APOIO PARA OS BRAÇOS, COR BEGE</t>
  </si>
  <si>
    <t>RACK DE PAREDE PARA INSTALAÇÃO DE SUITCHES</t>
  </si>
  <si>
    <t>13/05/2005</t>
  </si>
  <si>
    <t>SWITCH</t>
  </si>
  <si>
    <t>SWITCHES CONCENTRADOR DE COMUNICACAO COM 24 PORTAS</t>
  </si>
  <si>
    <t>24/05/2005</t>
  </si>
  <si>
    <t>FRAGMENTADORA DE PAPEL</t>
  </si>
  <si>
    <t>FRAGMENTADORA DE PAPEL MARDA KOBRA MODELO 26054</t>
  </si>
  <si>
    <t>16/06/2003</t>
  </si>
  <si>
    <t>FRAGMENTADORA DE PAPEL MENNO MOD.CS200 SR.99265476</t>
  </si>
  <si>
    <t>19/06/2000</t>
  </si>
  <si>
    <t>CADEIRA GIRATÓRIA SEM APOIO PARA OS BRAÇOS, COR VERMELHA</t>
  </si>
  <si>
    <t>ESTAÇÃO DE TRABALHO (MESA,CONEXAO,PAINEL 80)</t>
  </si>
  <si>
    <t>MESA DE MADEIRA OVAL PARA REUNIÃO COR CREME</t>
  </si>
  <si>
    <t>MESA DE CENTRO COR MARROM/CHOCOLATE, 0,50 X 0,50 X 0,45</t>
  </si>
  <si>
    <t>CADEIRA VERSA DE COURO MARROM</t>
  </si>
  <si>
    <t>MESA DE MADEIRA P/REUNIAO COM TAMPO ACRILICO;SI;SI;290X110X7</t>
  </si>
  <si>
    <t>MESA BAIXA COM RODÍZIOS COR OVO</t>
  </si>
  <si>
    <t>ARMÁRIO DE MADEIRA REVESTIDO EM FORMICA C/ 04 PORTA(S);400X6</t>
  </si>
  <si>
    <t>PURIFICADOR, FR 600, IBBL, 220 V 738P090092</t>
  </si>
  <si>
    <t>TELEVISOR LCD 32;PHILIPS;SI;</t>
  </si>
  <si>
    <t>MESA DE MADEIRA REVESTIDA EM FORMICA, MARCA GIROFLEX</t>
  </si>
  <si>
    <t>17/02/2009</t>
  </si>
  <si>
    <t>SOFA VERSÁTIL 02 LUGARES EM CORINO NA COR MARROM</t>
  </si>
  <si>
    <t>TELEFONE DIGITAL ALCATEL MODELO 4029 SERIAL H0500524387895</t>
  </si>
  <si>
    <t>24/04/2008</t>
  </si>
  <si>
    <t>POLTRONA GIRATORIA EM COURO, COM BRAÇOS, COR LARANJA</t>
  </si>
  <si>
    <t>POLTRONA FIXA EM COURO, COM BRAÇOS, COR LARANJA</t>
  </si>
  <si>
    <t>TELEVISOR LCD PHILIPS 32"</t>
  </si>
  <si>
    <t>MESA DE MADEIRA REVESTIDA EM FORMICA</t>
  </si>
  <si>
    <t>TELEFONE DIGITAL ALCATEL MODELO 4029 SERIAL H0500609432206</t>
  </si>
  <si>
    <t>SOFA 02 LUGARES EM CORINO MARROM 1,84X100X122;</t>
  </si>
  <si>
    <t>CADEIRA GIRATORIA DE COURO C/ BRACOS E RODIZIOS;GIROFLEX;</t>
  </si>
  <si>
    <t>CADEIRA FIXA DE COURO C/ BRACOS;GIROFLEX;</t>
  </si>
  <si>
    <t>TELA DE PROJECAO MOTORIZADA MEDINDO 2,00 X 1,60</t>
  </si>
  <si>
    <t>MESA PARA MÁQUINA DE DATILOGRAFIA</t>
  </si>
  <si>
    <t>ARMARIO BAIXO COM 2 PORTAS COR CREME</t>
  </si>
  <si>
    <t>MESA DE APOIO, COR CREME MEDINDO 0,80 X 0,60 X 0,74</t>
  </si>
  <si>
    <t>MONITOR SAMSUNG LCD 19" MODELO 940BPLUS - SN HA19HX0P900072K</t>
  </si>
  <si>
    <t>TELEFONE DIGITAL ALCATEL MODELO 4029 SERIAL H0500609432202</t>
  </si>
  <si>
    <t>MESA EM L 03 PARTE NA COR OVO COM GAVETEIRO FIXO</t>
  </si>
  <si>
    <t>GAVETEIRO VOLANTE COM 04 GAVETAS COR CREME</t>
  </si>
  <si>
    <t>GAVETEIRO VOLANTE COM 4 GAVETAS, COR CREME, MARCA METALBASE</t>
  </si>
  <si>
    <t>MONITOR LCD 17" SAMSUNG SYNCMASTER 740N HA17HXCLC28249F-BR</t>
  </si>
  <si>
    <t>ARMARIO BAIXO COM 2 PORTAS</t>
  </si>
  <si>
    <t>16/06/1998</t>
  </si>
  <si>
    <t>ARMARIO ALTO 2 PORTAS, COR OVO REF. E1AR0840</t>
  </si>
  <si>
    <t>LEITURA OPTICA</t>
  </si>
  <si>
    <t>EQUIPAMENTO DE LEITURA OPTICA MODELO LMO-68R SERIE Nr. 68316</t>
  </si>
  <si>
    <t>02/08/2001</t>
  </si>
  <si>
    <t>3COM 5500G EI Nº SERIE 9KAF8HK21D00</t>
  </si>
  <si>
    <t>25/01/2008</t>
  </si>
  <si>
    <t>MESA EM L, COR CREME MEDINDO 1,60 X 1,20 X 0,74</t>
  </si>
  <si>
    <t>GAVETEIRO VOLANTE COM 4 GAVETAS, COR CREME, 0,42 X 0,52</t>
  </si>
  <si>
    <t>ESTAÇÃO DE TRABALHO C/ 04 MODULOS 3,20 X 2,40 X 0,75</t>
  </si>
  <si>
    <t>ARMÁRIO ALTO, EM MADEIRA, 2 PORTAS, COR BEGE, 0,80 X 1,60</t>
  </si>
  <si>
    <t>MONITOR LCD 17" SAMSUNG SYNCMASTER 740N HA17HXCLC28390ZBR</t>
  </si>
  <si>
    <t>CADEIRA GIRATORIA SEM BRAÇO COR VERMELHA</t>
  </si>
  <si>
    <t>01/07/2012</t>
  </si>
  <si>
    <t>POLTRONA FIXA COM BRACO VERMELHA</t>
  </si>
  <si>
    <t>TELEFONE DIGITAL ALCATEL MODELO 4029 SERIAL TEC00931100341</t>
  </si>
  <si>
    <t>19/03/2010</t>
  </si>
  <si>
    <t>PURIFICADOR, FR 600, IBBL, 220 V SERIE 739P090771</t>
  </si>
  <si>
    <t>MESA DE DATILOGRAFIA 80CM EM MADEIRA</t>
  </si>
  <si>
    <t>31/12/1978</t>
  </si>
  <si>
    <t>POLTRONA FIXA COM APOIO PARA OS BRAÇOS COR BEGE</t>
  </si>
  <si>
    <t>CADEIRA GIRATORIA, VERMELHA, SEM BRACOS, COM RODIZIOS</t>
  </si>
  <si>
    <t>CADEIRA GIRATORIA SEM BRACO VERMELHA</t>
  </si>
  <si>
    <t>CADEIRA GIRATÓRIA, TECIDO NA COR VERMELHO, MARCA TECNO2000</t>
  </si>
  <si>
    <t>MESA DE CENTRO, EM MADEIRA COR MARROM, 0,50 X 0,50 X 0,45</t>
  </si>
  <si>
    <t>LONGARINA DE 3 LUGARES COR VERMELHA MARCA TECNO2000</t>
  </si>
  <si>
    <t>ARMARIO EM MADEIRA, BAIXO, 2 PORTAS REFERÊNCIA E1AR0820</t>
  </si>
  <si>
    <t>ARMARIO EM MADEIRA, ALTO, 2 PORTAS, REFERÊNCIA E1AR0840</t>
  </si>
  <si>
    <t>MESA ORGANICA 1,60 X 1,20</t>
  </si>
  <si>
    <t>POLTRONA GIRATÓRIA, COM APOIO PARA OS BRAÇOS COR BEGE</t>
  </si>
  <si>
    <t>GAVETEIRO VOLANTE COM 4 GAVETAS, COR BEGE, MARCA METALBASE</t>
  </si>
  <si>
    <t>09/08/2012</t>
  </si>
  <si>
    <t>ESTAÇÃO DE TRABALHO COR CREME MEDINDO 3,20 X 2,40 X 0,74</t>
  </si>
  <si>
    <t>31/10/2006</t>
  </si>
  <si>
    <t>MESA EM L, 03 PARTES COR OVO, GAVET.FIXO/TECLADO</t>
  </si>
  <si>
    <t>ARMARIO ALTO COM 8 PORTAS, COR CREME</t>
  </si>
  <si>
    <t>ARMARIO ALTO - FECHADO (COM 3 PRATELEIRAS)</t>
  </si>
  <si>
    <t>POLTRONA GIRATÓRIA, COM APOIO P/BRAÇOS, COR BEGE, GIROFLEX</t>
  </si>
  <si>
    <t>GAVETEIRO VOLANTE COM 3 GAVETAS, COR BEGE, MARCA SECURIT</t>
  </si>
  <si>
    <t>31/12/1984</t>
  </si>
  <si>
    <t>09/10/1996</t>
  </si>
  <si>
    <t>MONITOR SAMSUNG 19" MODELO 940BPLUS SÉRIE HA19HXOP900177</t>
  </si>
  <si>
    <t>MONITOR SAMSUNG 19" MODELO 940BPLUS SÉRIE HA19HXNP900079N-BR</t>
  </si>
  <si>
    <t>TELEFONE DIGITAL ALCATEL MODELO 4029 SERIAL H0500609431879</t>
  </si>
  <si>
    <t>TELEFONE DIGITAL ALCATEL MODELO 4029 SERIAL H0500609431806</t>
  </si>
  <si>
    <t>SWITCH C/ 24 PORTA(S);3COM;4226T;</t>
  </si>
  <si>
    <t>ARMARIO ALTO 2 PORTAS,COR OVO REF E1AR0840 P/PASTA</t>
  </si>
  <si>
    <t>CADEIRA GIRATORIA SEM BRACOS, COR BEGE MARCA GIROFLEX</t>
  </si>
  <si>
    <t>CADEIRA GIRATÓRIA SEM APOIO PARA OS BRAÇOS</t>
  </si>
  <si>
    <t>CADEIRA GIRATORIA SEM BRACO COR BEGE - REFORMADA</t>
  </si>
  <si>
    <t>CADEIRA GIRATÓRIA SEM APOIO PARA OS BRAÇOS COR BEGE</t>
  </si>
  <si>
    <t>MESA DE REUNIAO OVAL, TAMPO EM MADEIRA NA COR CREME</t>
  </si>
  <si>
    <t>MESA REDONDA DE MADEIRA REVESTIDA EM FORMICA, GIROFLEX</t>
  </si>
  <si>
    <t>ARMARIO BAIXO - FECHADO COM PRATELEIRA</t>
  </si>
  <si>
    <t>ARMARIO ALTO, DUAS PORTAS, MARCA METALBASE</t>
  </si>
  <si>
    <t>MONITOR LCD 17" SAMSUNG SYNCMASTER 740N HA17HXCLC28376MBR</t>
  </si>
  <si>
    <t>CADEIRA GIRATORIA SEM BRACOS, COR BEGE</t>
  </si>
  <si>
    <t>31/07/2012</t>
  </si>
  <si>
    <t>ESTAÇÃO DE TRABALHO COM 4 MODULOS</t>
  </si>
  <si>
    <t>ESTAÇÃO DE TRABALHO COM 4 MESAS DE 1,60 X 1,20</t>
  </si>
  <si>
    <t>MESA DE CENTRO COR TABACO MEDINDO 0,50 X 0,50 X 0,45</t>
  </si>
  <si>
    <t>CADEIRA FIXA DE COURO MARROM;</t>
  </si>
  <si>
    <t>PURIFICADOR, FR 600, IBBL, 220 V NS 744P093044</t>
  </si>
  <si>
    <t>MESA DE CENTRO 50X50X45;</t>
  </si>
  <si>
    <t>MESA DE MADEIRA REVESTIDA EM FORMICA GIROFLEX</t>
  </si>
  <si>
    <t>MESA DE MADEIRA REVESTIDA EM FORMICA MARCA GIROFLEX</t>
  </si>
  <si>
    <t>MESA DE APOIO COR CINZA CLARO MEDINDO 1,60 X 0,76 X 0,73</t>
  </si>
  <si>
    <t>MESA DE SOM BEHRINGER XENYX X2222 USB SN: N1003462AOL</t>
  </si>
  <si>
    <t>17/08/2010</t>
  </si>
  <si>
    <t>MESA DE AUDIO TRENDNET, TK1603R</t>
  </si>
  <si>
    <t>ARMARIO DE MADEIRA REVESTIDO MELAMINICO</t>
  </si>
  <si>
    <t>ARMARIO DE MADEIRA REVESTIDO MELAMINICO 0,90 X 0,55 X 0,70</t>
  </si>
  <si>
    <t>BANCADA DE MADEIRA REVESTIDO EM MELAMINICO, GIROFLEX</t>
  </si>
  <si>
    <t>TELEVISOR LCD 32;PHILIPS;32PFL340378;6673;</t>
  </si>
  <si>
    <t>TELEFONE DIGITAL ALCATEL MODELO 4029 SERIAL H0500609432221</t>
  </si>
  <si>
    <t>ARMARIO ALTO PARA PASTA SUSPENSA E AZ</t>
  </si>
  <si>
    <t>16/07/2002</t>
  </si>
  <si>
    <t>SOFA 02 LUGARES EM COURO MISTO, COR MARROM</t>
  </si>
  <si>
    <t>BALCAO DE MADEIRA COM 3 PORTAS DESLIZANTES</t>
  </si>
  <si>
    <t>CADEIRA GIRATORIA DE COURO COM APOIO PARA BRACOS</t>
  </si>
  <si>
    <t>CADEIRA FIXA DE COURO COM BRACOS, LARANJA, MARCA GIROFLEX</t>
  </si>
  <si>
    <t>CADEIRA FIXA VERSA DE COURO MARROM;</t>
  </si>
  <si>
    <t>CADEIRA FIXA VERSA DE COURO MARROM</t>
  </si>
  <si>
    <t>MESA EM L, 03 PARTES COR OVO, GAVETEIRO FIXO</t>
  </si>
  <si>
    <t>POLTRONA GIRATORIA COM BRACO COR BEGE</t>
  </si>
  <si>
    <t>POLTRONA FIXA COM BRACO COR BEGE, MARCA GIROFLEX</t>
  </si>
  <si>
    <t>MESA DE REUNIAO EM MAIDEIRA, OVAL, COR BEGE 2,00 X 1,00</t>
  </si>
  <si>
    <t>ARMARIO EM MADEIRA REVESTIDA EM FORMICA 03 PORTAS</t>
  </si>
  <si>
    <t>MONITOR SAMSUNG 19" MODELO 940BPLUS SÉRIE HA19XHP801149M-BR</t>
  </si>
  <si>
    <t>MESA EM L 03 PARTE NA COR OVO COM GAVETEIRO FIXO, 2,1 X 1,9</t>
  </si>
  <si>
    <t>TELEFONE DIGITAL ALCATEL MODELO 4029 SERIAL H0500609432204</t>
  </si>
  <si>
    <t>TELEFONE DIGITAL ALCATEL MODELO 4029 SERIAL FCN00828602041</t>
  </si>
  <si>
    <t>MESA EM L, 03 PARTES COR OVO, GAVETEIRO FIXO, 3 GAVETAS</t>
  </si>
  <si>
    <t>MESA DE REUNIAO OVAL, EM MADEIRA NA COR CREME 2,00 X 1,00</t>
  </si>
  <si>
    <t>MESA EM L, 3 PARTES COR OVO, GAVETEIRO FIXO, 2 GAVETAS</t>
  </si>
  <si>
    <t>MONITOR SAMSUNG 19" MODELO 940BPLUS SÉRIE HA19HXGP801239M-BR</t>
  </si>
  <si>
    <t>GAVETEIRO VOLANTE COM 4 GAVETAS, COR CREME, 0,41 X 0,52</t>
  </si>
  <si>
    <t>ESTAÇÃO DE TRABALHO 4 PARTES COM DIVISÓRIA EM VIDRO</t>
  </si>
  <si>
    <t>GAVETEIRO VOLANTE COM 4 GAVETAS, COR CREME, 0,46 X 0,58</t>
  </si>
  <si>
    <t>IMPRESSORA</t>
  </si>
  <si>
    <t>IMPRESSORA HP LASER DUPLEX, MODELO F2015 DN</t>
  </si>
  <si>
    <t>12/04/2007</t>
  </si>
  <si>
    <t>MONITOR SAMSUNG 19" MODELO 940BPLUS SÉRIE HA19HXHP900108</t>
  </si>
  <si>
    <t>POLTRONA GIRATORIA COM APOIO PARA OS BRACOS COR BEGE</t>
  </si>
  <si>
    <t>MESA DE MADEIRA COM TAMPO EM ACRILICO</t>
  </si>
  <si>
    <t>BALCAO DE MADEIRA COM 4 PORTAS DESLIZANTES</t>
  </si>
  <si>
    <t>30/03/2010</t>
  </si>
  <si>
    <t>TELEVISOR LCD 32;PHILIPS;32PFL340378;</t>
  </si>
  <si>
    <t>TELEFONE DIGITAL ALCATEL MODELO 4029 SERIAL H0500609432198</t>
  </si>
  <si>
    <t>SOFA 02 LUGARES EM CORINO MARROM1,84X100X122;</t>
  </si>
  <si>
    <t>POLTRONA GIRATORIA EM COURO COM APOIO PARA BRACOS, GIROFLEX</t>
  </si>
  <si>
    <t>CADEIRA FIXA DE COURO COM APOIO PARA OS BRACOS, GIROFLEX;</t>
  </si>
  <si>
    <t>BALCÃO DE MADEIRA COM 4 PORTAS DESLIZANTES</t>
  </si>
  <si>
    <t>TELA DE PROJEÇÃOMARCA MOTORIZADA MARCA PLASTILUX</t>
  </si>
  <si>
    <t>MONITOR LCD 17" SAMSUNG SYNCMASTER 740N  HA17HXCLC26674E-BR</t>
  </si>
  <si>
    <t>POLTRONA FIXA, COM APOIO PARA OS BRAÇOS COR BEGE</t>
  </si>
  <si>
    <t>MONITOR LCD 17" SAMSUNG SYNCMASTER 740N HA17HXCLC21584PBR</t>
  </si>
  <si>
    <t>TELEFONE DIGITAL ALCATEL MODELO 4029 SERIAL TC01023901550</t>
  </si>
  <si>
    <t>MONITOR LCD 17" SAMSUNG SYNCMASTER 740N HA17HXCLC21192HBR</t>
  </si>
  <si>
    <t>POLTRONA FIXA, COM APOIO PARA OS BRAÇOS, TECIDO NA COR BEGE</t>
  </si>
  <si>
    <t>ARMARIO BAIXO 2 PORTAS, COR CREME MARCA METALBASE</t>
  </si>
  <si>
    <t>MESA EM L, 03 PARTES COR OVO, MARCA GIROFLEX</t>
  </si>
  <si>
    <t>POLTRONA FIXA COM BRACO REFORMADA PARA A COR BEGE</t>
  </si>
  <si>
    <t>TELEFONE DIGITAL ALCATEL MODELO 4029 SERIAL H0500609431809</t>
  </si>
  <si>
    <t>ARMARIO PARA ARQUIVO DE PASTA AZ (5,15X2,30X0,65)</t>
  </si>
  <si>
    <t>GAVETEIRO VOLANTE COM 4 GAVETAS, MARCA METALBASE</t>
  </si>
  <si>
    <t>ARMARIO ALTO, 2 PORTAS, COR CREME, MARCA METALBASE</t>
  </si>
  <si>
    <t>ESTAÇÃO DE TRABALHO COM 4 MODULOS 2,90 X 1,60 X 0,75</t>
  </si>
  <si>
    <t>ESTAÇÃO DE TRABALHO (4 MESAS ORGANICAS,CONEXAO,PAINEL)</t>
  </si>
  <si>
    <t>CADEIRA GIRATÓRIA, SEM APOIO PARA OS BRAÇOS COR BEGE</t>
  </si>
  <si>
    <t>TELEFONE ALCATEL SERIE 9 MODELO 4029 SERIAL H0500609950426</t>
  </si>
  <si>
    <t>MESA PARA MICRO COMPUTADOR EM MADEIRA COR OVO</t>
  </si>
  <si>
    <t>ARMARIO BAIXO, EM MADEIRA, 2 PORTAS, COR CREME 0,80 X 0,54</t>
  </si>
  <si>
    <t>POLTRONA FIXA, COM APOIO PARA OS BRAÇOS</t>
  </si>
  <si>
    <t>ARMARIO BAIXO, DUAS PORTAS, COR CREME, MARCA METALBASE</t>
  </si>
  <si>
    <t>TELEFONE ALCATEL SERIE 9 MODELO 4029 SERIAL FCN00717304249</t>
  </si>
  <si>
    <t>MESA DE REUNIAO</t>
  </si>
  <si>
    <t>MESA DE MADEIRA REVESTIDA EM FORMICA;SI;SI;50X50X45;</t>
  </si>
  <si>
    <t>CADEIRA FIXA DE COURVIM VERSA</t>
  </si>
  <si>
    <t>TELEFONE DIGITAL ALCATEL MODELO 4029 SERIAL H0500609432203</t>
  </si>
  <si>
    <t>MESA EM L, 03 PARTES COR OVO, GAVETEIRO FIXO 2 GAVETAS</t>
  </si>
  <si>
    <t>GAVETEIRO VOLANTE COM 4 GAVETAS MARCA METALBASE</t>
  </si>
  <si>
    <t>ARMARIO ALTO 2 PORTAS, COR CREME</t>
  </si>
  <si>
    <t>MONITOR LCD 17" SAMSUNG SYNCMASTER 740N HA17HXCLC21222RBR</t>
  </si>
  <si>
    <t>MESA DE MADEIRA REVESTIDA EM FORMICA COR CREME</t>
  </si>
  <si>
    <t>10/10/2010</t>
  </si>
  <si>
    <t>ARMARIO BAIXO 2 PORTAS, COR CREME</t>
  </si>
  <si>
    <t>GAVETEIRO VOLANTE COM 04</t>
  </si>
  <si>
    <t>GAVETEIRO VOLANTE, 3 GAVETAS COR OVO</t>
  </si>
  <si>
    <t>ARMARIO BAIXO EM MADEIRA, 2 PORTAS GIROFLEX</t>
  </si>
  <si>
    <t>ARMARIO BAIXO, COR CINZA, MEDINDO 0,80 X 0,50 X 1,07</t>
  </si>
  <si>
    <t>15/07/2002</t>
  </si>
  <si>
    <t>SOFA 03 LUGARES EM TECIDO CAMURÇA COR MARROM</t>
  </si>
  <si>
    <t>MESA EM L, COR CREME MEDINDO 1,60 X 1,20  X0,74, METALBASE</t>
  </si>
  <si>
    <t>TELEFONE DIGITAL ALCATEL MODELO 4029 SERIAL H0500609431854</t>
  </si>
  <si>
    <t>MONITOR SAMSUNG 19", MODELO 940B TFL-LCD PLUS</t>
  </si>
  <si>
    <t>POLTRONA FIXA, COM APOIO PARA OS BRACOS, COR BEGE,</t>
  </si>
  <si>
    <t>POLTRONA FIXA COM APOIO PARA OS BRACOS COR BEGE, MARCA GIROF</t>
  </si>
  <si>
    <t>ARMARIO BAIXO COM 2 PORTAS MEDINDO 0,80 X 0,50 X 0,74</t>
  </si>
  <si>
    <t>ARMARIO EM MADEIRA, ALTO, 2 PORTAS REF. E1AR0840, GIROFLEX</t>
  </si>
  <si>
    <t>ARMARIO EM MADEIRA, BAIXO, 2 PORTAS, MARCA BRADIV</t>
  </si>
  <si>
    <t>GAVETEIRO VOLANTE COM 04 GAVETAS, MEDINDO 0,42 X 0,57 X 0,59</t>
  </si>
  <si>
    <t>MESA EM L, 03 PARTES COR OVO, GAVETEIRO FIXO, GIROFLEX</t>
  </si>
  <si>
    <t>POLTRONA FIXA, COM BRACO, COR VERMELHA, MARCA TECNO2000</t>
  </si>
  <si>
    <t>ELTRONICO, MODELO PT 1950, MARCA BROTHER</t>
  </si>
  <si>
    <t>14/08/2007</t>
  </si>
  <si>
    <t>TELEFONE DIGITAL ALCATEL MODELO 4029 SERIAL H0500609949973</t>
  </si>
  <si>
    <t>RACK METALICO;SI;SI;50X50X60;</t>
  </si>
  <si>
    <t>SWITCH BASELINE 2226-SFP PLUS</t>
  </si>
  <si>
    <t>MONITOR LCD 17" SAMSUNG SYNCMASTER 740N HA17HXCP420056K-BR</t>
  </si>
  <si>
    <t>CARRINHO PARA MAQUINA DATILOGRAFIA REF. S1MM0605Q</t>
  </si>
  <si>
    <t>TELEFONE DIGITAL ALCATEL MODELO 4029 SERIAL TEC00929600337</t>
  </si>
  <si>
    <t>BALCAO DE MADEIRA COM 2 PORTAS MEDINDO 0,80 X 0,60 X 0,70</t>
  </si>
  <si>
    <t>MESA EM L, ORGANICA, COR ÉBANO MEDINDO 2,30 X 1,90 X 0,74</t>
  </si>
  <si>
    <t>26/11/2008</t>
  </si>
  <si>
    <t>05/10/2007</t>
  </si>
  <si>
    <t>POLTRONA FIXA ESTRUTURA EM ACO TUBULAR, BEGE, C/DUAS RODAS</t>
  </si>
  <si>
    <t>REFRIGERADOR BRASTEMP XRX48D FOSTFREE INOX 432 LITROS</t>
  </si>
  <si>
    <t>27/03/2007</t>
  </si>
  <si>
    <t>ARMARIO DE COZINHA 6 PORTAS 4 GAVETAS BRANCO</t>
  </si>
  <si>
    <t>04/04/2007</t>
  </si>
  <si>
    <t>CADEIRA GIRATÓRIA COM BRAÇOS, COR ROYALE VINHO MODELO 955</t>
  </si>
  <si>
    <t>TELEFONE DIGITAL ALCATEL MODELO 4029 SERIAL H0500609431865</t>
  </si>
  <si>
    <t>TELEFONE DIGITAL ALCATEL MODELO 4029 SERIAL H0500609432229</t>
  </si>
  <si>
    <t>TELEFONE DIGITAL ALCATEL MODELO 4029 SERIAL H0500703370388</t>
  </si>
  <si>
    <t>TELEFONE DIGITAL ALCATEL MODELO 4029 SERIAL FCN00719807288</t>
  </si>
  <si>
    <t>TELEFONE DIGITAL ALCATEL MODELO 4029 SERIAL H050060949957</t>
  </si>
  <si>
    <t>GAVETEIRO VOLANTE, 4 GAVETAS COR TABACO 0,50 X 0,46 X 0,63</t>
  </si>
  <si>
    <t>BALCAO DE MADEIRA C 2 PORTAS RV MELAMINICO;ALBERFLEX;80X50X8</t>
  </si>
  <si>
    <t>ARMARIO DE MADEIRA REVESTIDO EM FORMICA COM 2 PORTAS</t>
  </si>
  <si>
    <t>ARMARIO DE MADEIRA REVESTIDO EM FORMICA C/ 04 PORTA(S);40X40</t>
  </si>
  <si>
    <t>ESTANTE  EM FÓRMICA TEXTURIZADA COM PRATELEIRAS</t>
  </si>
  <si>
    <t>CADEIRA GIRATORIA SEM APOIO PARA OS BRAÇOS, COR VERMELHA</t>
  </si>
  <si>
    <t>SOFA COM 2 LUGARES ESTOFADO EM COURO, COR MARROM</t>
  </si>
  <si>
    <t>MESA DE CENTRO, QUADRADA TAMPO DE VIDRO 1,00 X 1,00 X 0,35</t>
  </si>
  <si>
    <t>MESA EM MADEIRA COM DETALHES EM MARMORE EM CURVA</t>
  </si>
  <si>
    <t>04 - SALA DIRETORIA</t>
  </si>
  <si>
    <t>ARMARIO ALTO, 2 PORTAS, EM MADEIRA FREIJO</t>
  </si>
  <si>
    <t>S2 - DEPÓSITO DECER</t>
  </si>
  <si>
    <t>CADEIRA FIXA COM BRACOS REVESTIDA EM COURO AZUL</t>
  </si>
  <si>
    <t>MESA PARA TELEFONE AGLOMERADO FREIJO</t>
  </si>
  <si>
    <t>POLTRONA GIRATORIA MODELO AERON CAE123AWCAJ MARCA GIROFLEX</t>
  </si>
  <si>
    <t>10/02/2004</t>
  </si>
  <si>
    <t>ARMARIO ALTO 02 PORTAS MARCA MARELLI COR OVO</t>
  </si>
  <si>
    <t>16/10/1997</t>
  </si>
  <si>
    <t>MESA PARA REUNIAO COM TAMPO EM MARMORE MEDINDO 3 X 1,30</t>
  </si>
  <si>
    <t>16/07/1996</t>
  </si>
  <si>
    <t>TELA DE PROJECAO DE TETO, MOTORIZADA, 1,80 X 1,80</t>
  </si>
  <si>
    <t>30/04/2010</t>
  </si>
  <si>
    <t>ARQUIVO</t>
  </si>
  <si>
    <t>ARQUIVO PARA PASTA SUSPENSA, EM MADEIRA 4 GAVETAS, COR CREME</t>
  </si>
  <si>
    <t>CADEIRA FIXA DE SECRETARIA 04 PES NA COR VERMELHA</t>
  </si>
  <si>
    <t>17/10/1997</t>
  </si>
  <si>
    <t>MONITOR SAMSUNG 19" MODELO 940BPLUS SÉRIE HA19HXNPB00196</t>
  </si>
  <si>
    <t>MONITOR SAMSUNG 19" MODELO 940BPLUS SÉRIE HA19HXHP801287</t>
  </si>
  <si>
    <t>03 PARTES COR OVO, GAVETEIRO FIXO OBSOLETO-BEM P/DOACAO</t>
  </si>
  <si>
    <t>TELEFONE DIGITAL ALCATEL MODELO 4029 SERIAL H0500609950233</t>
  </si>
  <si>
    <t>CADEIRA FIXA, ASSENTO EM COURVIM, ENCOSTO TELADO, COR PRETA</t>
  </si>
  <si>
    <t>MESA EM L;SI;200X60X75;</t>
  </si>
  <si>
    <t>QUADRO</t>
  </si>
  <si>
    <t>TELA DE SAO MATEUS COM MOLDURA MADEIRA JACARANDA</t>
  </si>
  <si>
    <t>MUSEU E OBRAS DE ARTE</t>
  </si>
  <si>
    <t>18/07/1996</t>
  </si>
  <si>
    <t>POLTRONA GIRATÓRIA COM BRAÇO COR BEGE</t>
  </si>
  <si>
    <t>TELEFONE DIGITAL ALCATEL MODELO 4029 SERIAL TEC00931100331</t>
  </si>
  <si>
    <t>CADEIRA FIXA COR BEGE MOD. 955</t>
  </si>
  <si>
    <t>ARMARIO DE MADEIRA REVESTIDO EM FORMICA 4 PORTAS GIROFLEX</t>
  </si>
  <si>
    <t>ARMÁRIO BAIXO COM 3 GAVETAS COR CHOCOLATE</t>
  </si>
  <si>
    <t>19/12/2009</t>
  </si>
  <si>
    <t>TELEVISOR LCD 32;PHILIPS;32PFL340378;6997;</t>
  </si>
  <si>
    <t>TELEVISOR LCD 32;PHILIPS;32PFL340378;2724;</t>
  </si>
  <si>
    <t>MESA DE ACO COM TAMPO DE VIDRO, MEDINDO 1,50,X,0,60,X,0,80</t>
  </si>
  <si>
    <t>MESA REDONDA PARA BIBLIOTECA DIAMETRO 1,30, COR PRETA</t>
  </si>
  <si>
    <t>ARQUIVO DESLIZANTE DE ACO COM 6 MODULOS, COR MARROM</t>
  </si>
  <si>
    <t>ESTANTE DE ACO, DUPLA FACE, 6 PRATELEIRAS, MODELO BC243</t>
  </si>
  <si>
    <t>13/12/1995</t>
  </si>
  <si>
    <t>RACK DE AÇO PARA INSTALAÇÃO DE SUITCHES, CINZA CLARO(PAREDE)</t>
  </si>
  <si>
    <t>BANCO 3 LUGARES COR PRETO LAMBARI, ASSENTO EM COURO MISTO</t>
  </si>
  <si>
    <t>PURIFICADOR DE ÁGUA IBBL MODELO FR 600, SÉRIE 738P090090</t>
  </si>
  <si>
    <t>SCANNER</t>
  </si>
  <si>
    <t>SCANNER DEPARTAMENTAL HP G2710 SÉRIE CN87YA50YB</t>
  </si>
  <si>
    <t>CADEIRA GIRATORIA SEM BRACO NA COR BEGE</t>
  </si>
  <si>
    <t>SWITCHES MARCA 3COM COM 24 PORTAS 10/100</t>
  </si>
  <si>
    <t>18/05/2005</t>
  </si>
  <si>
    <t>IMPRESSORA TÉRMICA MODELO PT 1950 MARCA BROTHER</t>
  </si>
  <si>
    <t>SWITCHES (CONCENTRADOR DE COMUNICACAO), 3COM</t>
  </si>
  <si>
    <t>18/10/2002</t>
  </si>
  <si>
    <t>MONITOR LCD 22;DELL;P2210T;1535A;</t>
  </si>
  <si>
    <t>MONITOR LCD 22;DELL;P2210T;3210A;</t>
  </si>
  <si>
    <t>VIDEO CONFERÊNCIA</t>
  </si>
  <si>
    <t>VIDEO CONFERÊNCIA PRINCIPAL POLYCOM VSX 8000</t>
  </si>
  <si>
    <t>23/01/2008</t>
  </si>
  <si>
    <t>VIDEO CONFERÊNCIA REMOTA POLYCOM VSX5000</t>
  </si>
  <si>
    <t>29/04/2008</t>
  </si>
  <si>
    <t>TELEVISOR LCD LG 42" MODELO 42PC5RV SERIAL 712AZKABN549</t>
  </si>
  <si>
    <t>29/01/2008</t>
  </si>
  <si>
    <t>TELEVISOR LCD LG 42" MODELO 42PC5RV SERIAL 712AZNKBN671</t>
  </si>
  <si>
    <t>MESA DE REUNIAO 2,00 X 1,00</t>
  </si>
  <si>
    <t>MONITOR SAMSUNG 19" MODELO 940BPLUS SÉRIE HA19HXGP800950</t>
  </si>
  <si>
    <t>SWITCHES (CONCENTRADOR DE COMUNICACAO), MODELO 4.400, 3COM</t>
  </si>
  <si>
    <t>MESA EM L, COR OVO</t>
  </si>
  <si>
    <t>COM BRACO, RODIZIOS, COR BEGE, MARCA TECNO2000</t>
  </si>
  <si>
    <t>MÁQUINA FOTOGRAFICA</t>
  </si>
  <si>
    <t>MÁQUINA FOTOGRÁFICA CANON DS 126211 SN: 2320801026</t>
  </si>
  <si>
    <t>08/10/2010</t>
  </si>
  <si>
    <t>PURIFICADOR, FR 600, IBBL, 220 V</t>
  </si>
  <si>
    <t>MESA PARA TELEFONE REVESTIDO AGLOMERADO FREIJO</t>
  </si>
  <si>
    <t>MESA DE APOIO COR CINZA CLARO</t>
  </si>
  <si>
    <t>10/08/2012</t>
  </si>
  <si>
    <t>MODELO L226WT LG 22'</t>
  </si>
  <si>
    <t>17/01/2008</t>
  </si>
  <si>
    <t>MONITOR SAMSUNG 19" MODELO 940BPLUS SÉRIE HA19HXNP900416R-BR</t>
  </si>
  <si>
    <t>CADEIRA GIRATORIA SEM APOIO PARA OS BRACOS COR BEGE</t>
  </si>
  <si>
    <t>ARMARIO ALTO 2 PORTAS, COR OVO REF. E1AR0840, MARCA GIROFLEX</t>
  </si>
  <si>
    <t>ESTAÇÃO DE TRABALHO 4 MÓDULOS</t>
  </si>
  <si>
    <t>MONITOR LCD 17" SAMSUNG SYNCMASTER 740N HA17HXCLC21168ZBR</t>
  </si>
  <si>
    <t>MESA EM L, COR CREME MEDINDO 1,60 X 1,20  X0,74</t>
  </si>
  <si>
    <t>MESA EM L COR OVO</t>
  </si>
  <si>
    <t>MESA DE DATILOGRAFIA, COR OVO COM RODAS 0,60 x 0,45 X 0,66</t>
  </si>
  <si>
    <t>PURIFICADOR, FR 600, IBBL, 220 V NS 738PO90096</t>
  </si>
  <si>
    <t>MONITOR SAMSUNG MODELO T220</t>
  </si>
  <si>
    <t>SEM APOIO PARA OS BRAÇOS , COR VERMELHA.</t>
  </si>
  <si>
    <t>MESA DE TRABALHO</t>
  </si>
  <si>
    <t>POLTRONA FIXA, COM APOIO PARA OS BRAÇOS, COR BEGE, GIROFLEX</t>
  </si>
  <si>
    <t>MESA ORGÂNICA</t>
  </si>
  <si>
    <t>MONITOR SAMSUNG 19" MODELO 940BPLUS SÉRIE HA19HXHP800574</t>
  </si>
  <si>
    <t>MESA EM L, TRÊS PARTES COM DUAS GAVETAS, COR OVO</t>
  </si>
  <si>
    <t>MESA EM L</t>
  </si>
  <si>
    <t>MESA EM L MEDINDO 1,60 X 1,20</t>
  </si>
  <si>
    <t>MESA DE REUNIAO C/TAMPO EM GRANITO, 4,00 X 1,45 X 0,75</t>
  </si>
  <si>
    <t>SUPORTE</t>
  </si>
  <si>
    <t>QUADRO BRANCO EM MADEIRA, ESTRUTURA EM ALUMÍNIO, COM RODAS</t>
  </si>
  <si>
    <t>26/07/2007</t>
  </si>
  <si>
    <t>BALCÃO REVESTIDO COM LAMINADO, COR MARROM, TAMPO DE VIDRO</t>
  </si>
  <si>
    <t>SOFA 02 LUGARES EM COURO;SI;SI;</t>
  </si>
  <si>
    <t>SOFA 2 LUGARES EM COURO NA COR MARROM ESCURO</t>
  </si>
  <si>
    <t>MESA QUADRADA AÇO VIDRO 100x100</t>
  </si>
  <si>
    <t>SOFA 2 LUGARES EM TECIDO NA COR MARROM ESCURO</t>
  </si>
  <si>
    <t>SOFA / POLTRONA FIXO COM BRACOS ESTOFADO, TECIDO NA COR BEGE</t>
  </si>
  <si>
    <t>POLTRONA ZAPF ALTA PRESIDENTE</t>
  </si>
  <si>
    <t>MESA COM TAMPO EM GRANITO MEDINDO 2,85 X 1,10 X 0,77</t>
  </si>
  <si>
    <t>ESTANTE EM MOGNO COM 8 PORTAS GAVETAS, MED. 6,0 X 0,6 X 2,30</t>
  </si>
  <si>
    <t>CABIDEIRO</t>
  </si>
  <si>
    <t>CABIDEIRO EM MADEIRA PARA PALETO, 1 GAVETA, COR MARROM</t>
  </si>
  <si>
    <t>18/06/2000</t>
  </si>
  <si>
    <t>TELEVISOR LCD 26" SAMSUNG LN-26R51B</t>
  </si>
  <si>
    <t>APARELHO TELEFONICO PLANTRONICS MODELO T.100</t>
  </si>
  <si>
    <t>BANCO FIXO COM ASSENTO GIRATÓRIO, ESTOFADO EM COURO MARROM</t>
  </si>
  <si>
    <t>MESA DE MADEIRA REDONDA, TAMPO DE VIDRO MEDINDO 1 X 1 X 0,77</t>
  </si>
  <si>
    <t>MONITOR LCD 17" SAMSUNG SYNCMASTER 740N HA17HXCLC29841B-BR</t>
  </si>
  <si>
    <t>BALCAO DE MADEIRA COM 2 PORTAS MEDINDO 0,80 X 0,60 X 0,74</t>
  </si>
  <si>
    <t>ESTANTE DE ACO COM 06 PRATELEIRAS MARCA AMAPA</t>
  </si>
  <si>
    <t>13/03/1995</t>
  </si>
  <si>
    <t>GERADOR</t>
  </si>
  <si>
    <t>GRUPO GERADOR STEMAC 230 KVA</t>
  </si>
  <si>
    <t>03/01/2002</t>
  </si>
  <si>
    <t>ARMARIO TIPO MAPOTECA COM 06 GAVETAS EM ACO, CINZA</t>
  </si>
  <si>
    <t>26/10/1998</t>
  </si>
  <si>
    <t>COMPUTADOR</t>
  </si>
  <si>
    <t>HP MODELO DC 5750 SFF</t>
  </si>
  <si>
    <t>09/04/2007</t>
  </si>
  <si>
    <t>MESA DE MADEIRA, REVESTIMENTO FORMICA MED. 170x75</t>
  </si>
  <si>
    <t>RACK EM MADEIRA MED. 1,20x0,74x0,60</t>
  </si>
  <si>
    <t>14/09/2000</t>
  </si>
  <si>
    <t>SWICHT C/ 24 PORTAS;3COM;</t>
  </si>
  <si>
    <t>RACK METALICO;SI;SI;80X70X90;</t>
  </si>
  <si>
    <t>RACK METALICO;SI;SI;80X60X70;</t>
  </si>
  <si>
    <t>MESA ORGANICA EM L 1,60 X 1,20</t>
  </si>
  <si>
    <t>ESTANTE EM ACO COM 06 PRATELEIRAS NA COR CINZA</t>
  </si>
  <si>
    <t>18/02/2001</t>
  </si>
  <si>
    <t>22/01/2001</t>
  </si>
  <si>
    <t>FILMADORA</t>
  </si>
  <si>
    <t>Filmadora Sony HVR-HD1000U</t>
  </si>
  <si>
    <t>POLTRONA GIRATORIA COM BRACOS, TECIDO COR BEGE</t>
  </si>
  <si>
    <t>POLTRONA GIRATÓRIA, COM APOIO PARA OS BRAÇOS</t>
  </si>
  <si>
    <t>POLTRONA GIRATORIA COM BRACOS, TECIDO COR BEGE, GIROFLEX</t>
  </si>
  <si>
    <t>SOFA 02 LUGARES, CARISMA</t>
  </si>
  <si>
    <t>SOFA 03 LUGARES, CARISMA</t>
  </si>
  <si>
    <t>SOFA 2 LUGARES CARISMA</t>
  </si>
  <si>
    <t>ABAJUR</t>
  </si>
  <si>
    <t>ABAJUR EM ACO INOX MEZANNINO</t>
  </si>
  <si>
    <t>MESA DE CENTRO SARINEM 107 DIAMETRO</t>
  </si>
  <si>
    <t>CONJUNTO DE CADEIRAS PARA AUDITORIO, 13 CADEIRAS</t>
  </si>
  <si>
    <t>12/12/1995</t>
  </si>
  <si>
    <t>PURIFICADOR, FR 600, IBBL, 220 V SERIAL 734PC88413</t>
  </si>
  <si>
    <t>RETA 80 X 60 DOADO</t>
  </si>
  <si>
    <t>BANCADA DE  DE MADEIRA;140X60X5;</t>
  </si>
  <si>
    <t>PURIFICADOR, FR 600, IBBL, 220 V NS 739P090767</t>
  </si>
  <si>
    <t>MESA PARA TELEFONE LAMINADO FREIJO COM RODIZIOS</t>
  </si>
  <si>
    <t>ARMARIO EM MADEIRA ALTO, COR OVO</t>
  </si>
  <si>
    <t>ARMARIO BAIXO, 2 PORTAS COR OVO</t>
  </si>
  <si>
    <t>ARMARIO EM MADEIRA BAIXO 2 PORTAS</t>
  </si>
  <si>
    <t>GAVETEIRO VOLANTE COR OVO</t>
  </si>
  <si>
    <t>POLTRONA FIXA, COM APOIO PARA OS BRACOS, COR BEGE</t>
  </si>
  <si>
    <t>MESA EM L, 03 PARTES COR OVO</t>
  </si>
  <si>
    <t>MONITOR SANSUNG 17"</t>
  </si>
  <si>
    <t>COM BRACO, RODIZIOS, COR BEGE MARCA TECNO2000</t>
  </si>
  <si>
    <t>FRIGOBAR CONSUL COMPACTO 80L, BRANCO SÉRIE JM5370782</t>
  </si>
  <si>
    <t>SWICH 3COM 24 PORTAS MOD 3CR17250-91</t>
  </si>
  <si>
    <t>14/08/2008</t>
  </si>
  <si>
    <t>RACK 19" 30' SX660MM, REGUA 10TOM, E 05 PATH PANEL</t>
  </si>
  <si>
    <t>13/10/1999</t>
  </si>
  <si>
    <t>RACK METALICO;SI;SI;60X120X200;</t>
  </si>
  <si>
    <t>RACK KROMA PARA TV EM MADEIRA INVENIZADO NA COR ESCURA</t>
  </si>
  <si>
    <t>14/10/2004</t>
  </si>
  <si>
    <t>HD</t>
  </si>
  <si>
    <t>DRIVE EXTERNO SDLT 600 300/600 GB - A7519B SN: ALK270042</t>
  </si>
  <si>
    <t>16/03/2009</t>
  </si>
  <si>
    <t>SERVIDOR</t>
  </si>
  <si>
    <t>SERVIDOR DELL POWER EDGE R710 SN:</t>
  </si>
  <si>
    <t>26/04/2007</t>
  </si>
  <si>
    <t>SWITCH C/ 24 PORTA(S);3COM;2226;</t>
  </si>
  <si>
    <t>SWITCH C/ 24 PORTA(S);3COM;WX1200;</t>
  </si>
  <si>
    <t>WERELESS SWITCHING WX1200 3CRWX120695A</t>
  </si>
  <si>
    <t>01/07/2008</t>
  </si>
  <si>
    <t>FIREWALL</t>
  </si>
  <si>
    <t>03/01/2006</t>
  </si>
  <si>
    <t>ESTAÇÃO DE TRABALHO COM 4 LUGARES</t>
  </si>
  <si>
    <t>BANCADA PARA COMPUTADOR COM ARMÁRIO</t>
  </si>
  <si>
    <t>ALTO 2 PORTAS, 3 PRATELEIRAS, COR OVO,MARCA METALBASE.</t>
  </si>
  <si>
    <t>BANCADA DE  DE MADEIRA;80X60X75;</t>
  </si>
  <si>
    <t>VERMELHA, SEM BRACOS, COM RODIZIOS, TECNO2000</t>
  </si>
  <si>
    <t>BASE PARA MASTRO DE BANDEIRA</t>
  </si>
  <si>
    <t>BASE EM MADEIRA ENVERNIZADA PARA 03 MASTROS</t>
  </si>
  <si>
    <t>10/07/2000</t>
  </si>
  <si>
    <t>VIDEO CASSETE</t>
  </si>
  <si>
    <t>VIDEO CASSETE PANASSONIC 4 CABECAS</t>
  </si>
  <si>
    <t>11/05/1990</t>
  </si>
  <si>
    <t>EQUALIZADOR, MARCA STANER, MODELO EQUALEASY</t>
  </si>
  <si>
    <t>ACLOTRON MODELO DBK 2000</t>
  </si>
  <si>
    <t>MESA PARA TELEFONE EM CEREJEIRA, RODIZIO, 50x36cm</t>
  </si>
  <si>
    <t>22/01/1994</t>
  </si>
  <si>
    <t>MESA DE CENTRO REVESTIDA EM LAMINADO FREIJO</t>
  </si>
  <si>
    <t>MESA DE DATILOGRAFIA EM MADEIRA FREIJO</t>
  </si>
  <si>
    <t>31/12/1991</t>
  </si>
  <si>
    <t>ESCADA</t>
  </si>
  <si>
    <t>ESCADA DE ALUMINIO COM 3 DEGRAUS MARCA BOTAFOGO</t>
  </si>
  <si>
    <t>26/05/2003</t>
  </si>
  <si>
    <t>ESTANTE DE ACO COM 6 PRATELEIRAS 198 X 92 X 30CM</t>
  </si>
  <si>
    <t>ESTANTE DE ACO 6 PRATELEIRA MARCA AMAPA</t>
  </si>
  <si>
    <t>21/01/1994</t>
  </si>
  <si>
    <t>DE AÇO, NA COR CINZA.</t>
  </si>
  <si>
    <t>ESTANTE DE ACO COM 6 PRATELEIRAS COR CINZA</t>
  </si>
  <si>
    <t>17/06/2004</t>
  </si>
  <si>
    <t>BALANÇA</t>
  </si>
  <si>
    <t>BALANCA PLATAFORMA COM CAPACIDADE ATE 150 QUILOS</t>
  </si>
  <si>
    <t>12/11/2003</t>
  </si>
  <si>
    <t>CADEIRA FIXA ESTRADO FERRO, ESTOFADO CORVIM PRETO</t>
  </si>
  <si>
    <t>ESTANTE DE ACO COM PRATELEIRA COR BRANCO GELO</t>
  </si>
  <si>
    <t>ESTANTE DE ACO COM PRATELEIRAS COR BRANCO GELO</t>
  </si>
  <si>
    <t>EM TECIDO VERMELHO SEM BRACOS</t>
  </si>
  <si>
    <t>ARMARIO DE MADEIRA REVESTIDO EM FORMICA C/ 04 PORTA(S);150X1</t>
  </si>
  <si>
    <t>SOFA EM MADEIRA DE LEI, 03 LUGARES CAMURCA ROSA</t>
  </si>
  <si>
    <t>MESA PARA TELEFONE EM CEREJEIRA SUPORTE DE FERRO</t>
  </si>
  <si>
    <t>MICROFONE</t>
  </si>
  <si>
    <t>MICROFONE SEM FIO LAPELA LESON LT</t>
  </si>
  <si>
    <t>03/12/1996</t>
  </si>
  <si>
    <t>COM BRACO, RODIZIOS, COR AZUL, MARCA TECNO2000</t>
  </si>
  <si>
    <t>MESA EM MADEIRA CEREJEIRA</t>
  </si>
  <si>
    <t>COMPRESSOR</t>
  </si>
  <si>
    <t>COMPRESSOR AR ABAC-BM 24 LITROS 4700720 CCM</t>
  </si>
  <si>
    <t>29/12/1998</t>
  </si>
  <si>
    <t>ESMERIL</t>
  </si>
  <si>
    <t>MOTOR ESMERIL MONOFASE 1/2</t>
  </si>
  <si>
    <t>ARMARIO ALTO 2 PORTAS,PRATELEIRA, LAMINADO FREIJO</t>
  </si>
  <si>
    <t>31/12/1987</t>
  </si>
  <si>
    <t>ARMARIO ALTO REVESTIDO FREIJO, 2 PORTAS PRATELEIRA</t>
  </si>
  <si>
    <t>ARMARIO ALTO LAMINADO FREIJO 2 PORTAS/PRATELEIRA</t>
  </si>
  <si>
    <t>ARMARIO DE ACO COM 2 PORTAS DE PAREDE,PORTA CHAVES</t>
  </si>
  <si>
    <t>MICROFONE SEM FIO LESON SEM FIO HT LS 201</t>
  </si>
  <si>
    <t>19/11/1996</t>
  </si>
  <si>
    <t>BANCADA BRASINOX EM ACO MED. 2,52x0,88MT</t>
  </si>
  <si>
    <t>24/11/1995</t>
  </si>
  <si>
    <t>ARMARIO EM MADEIRA ALTO 2 PORTAS</t>
  </si>
  <si>
    <t>MONITOR DE VÍDEO, SAMSUNG 19"</t>
  </si>
  <si>
    <t>MONITOR DE VÍDEO MARCA SAMSUNG 17"</t>
  </si>
  <si>
    <t>MESA DE TRABALHO, RETANGULAR 3 GAVETAS</t>
  </si>
  <si>
    <t>14/05/1998</t>
  </si>
  <si>
    <t>MONITOR LCD 17" SAMSUNG SYNCMASTER 740N HA17HXCLC26314L-BR</t>
  </si>
  <si>
    <t>ARMARIO BAIXO COR OVO</t>
  </si>
  <si>
    <t>TELEFONE DIGITAL ALCATEL MODELO 4029 SERIAL H0500609431868</t>
  </si>
  <si>
    <t>GAVETEIRO VOLANTE COM 04 GAVETAS 0,41 X 0,52 X 0,68</t>
  </si>
  <si>
    <t>DE ETIQUETA, MODELO QL 550. MARCA BROTHER</t>
  </si>
  <si>
    <t>CADEIRA GIRATÓRIA SEM APOIO PARA OS BRAÇO COR BEGE</t>
  </si>
  <si>
    <t>BALCÃO RECEPÇÃO REVESTIDO EM MELAMINICA</t>
  </si>
  <si>
    <t>BALCAO DE MADEIRA</t>
  </si>
  <si>
    <t>Impressora Térmica ARGOX Mod: OS214TT. SN: 91023632</t>
  </si>
  <si>
    <t>17/03/2010</t>
  </si>
  <si>
    <t>MESA EM L, COR OVO TODA EM MADEIRA</t>
  </si>
  <si>
    <t>MESA DE MADEIRA REVESTIDA EM FORMICA;GIROFLEX;SI;80X60X75;</t>
  </si>
  <si>
    <t>GAVETEIRO 4 GAVETAS</t>
  </si>
  <si>
    <t>10/11/1997</t>
  </si>
  <si>
    <t>Telefone Digital Alcatel Mod: 4029. SN: TEC00929600295</t>
  </si>
  <si>
    <t>MESA EM L COR OVO GAVETEIRO FIXO</t>
  </si>
  <si>
    <t>POLTRONA GIRATORIA COM BRACOS, COR BEGE</t>
  </si>
  <si>
    <t>IMPRESSORA TÉRMICA ARGOX MOD. OS-214TT</t>
  </si>
  <si>
    <t>MONITOR LCD 17" SAMSUNG SYNCMASTER 740N HA17HXCLC26677H-BR</t>
  </si>
  <si>
    <t>MESA EM L REVESTIDA EM FORMICA;SI;200X60X75;</t>
  </si>
  <si>
    <t>ESTAÇÃO DE TRABALHO EM L REVESTIDA EM FORMICA  C/ 02 GAVETA</t>
  </si>
  <si>
    <t>SISTEMA DE ARQUIVO DESLIZANTE LINHA K 10</t>
  </si>
  <si>
    <t>18/05/2007</t>
  </si>
  <si>
    <t>ESTANTE DE ACO COM 06 PRATELEIRAS 198x92x30cm</t>
  </si>
  <si>
    <t>11/05/2001</t>
  </si>
  <si>
    <t>MONITOR SAMSUNG 19" MODELO 940BPLUS SÉRIE HA19HXNP900074</t>
  </si>
  <si>
    <t>MESA EM L, COR CREME, MEDINDO 1,60 X 1,20 X 0,74</t>
  </si>
  <si>
    <t>MESA DE TRABALHO COR OVO MEDINDO 1,20x0,75</t>
  </si>
  <si>
    <t>MONITOR LCD 17" SAMSUNG SYNCMASTER 740N HA17HXCLC25664NBR</t>
  </si>
  <si>
    <t>MESA PARA DIRETORIA MEDINDO 1,20x0,80 COR OVO</t>
  </si>
  <si>
    <t>MESA DE TRABALHO MED. 1,50x0,70 COM GAVETEIRO</t>
  </si>
  <si>
    <t>BALCÃO EM MADEIRA</t>
  </si>
  <si>
    <t>SOFA 03 LUGARES EM CORINO COR MARROM, MARCA MIRA</t>
  </si>
  <si>
    <t>ARMARIO EM MADEIRA 03 PORTAS COM PRATELEIRA</t>
  </si>
  <si>
    <t>MESA REVESTIDA EM FORMICA C/ ESTRUTURA DE FERRO;SI;SI;80X80X</t>
  </si>
  <si>
    <t>PURIFICADOR, FR 600, IBBL, 220 V, Nº S 744P092982</t>
  </si>
  <si>
    <t>MESA P/MICROCOMPUTADOR MARELLI 1,25x0,70 COR OVO</t>
  </si>
  <si>
    <t>06/11/1996</t>
  </si>
  <si>
    <t>NOBREAK</t>
  </si>
  <si>
    <t>CONDUTOR DE ENERGIA 30KVA E 380/220 S 220/127 V</t>
  </si>
  <si>
    <t>04/03/2009</t>
  </si>
  <si>
    <t>Telefone Digital Alcatel Mod: 4029. SN: TEC00929600410</t>
  </si>
  <si>
    <t>MESA ORGANICA EM L</t>
  </si>
  <si>
    <t>GAVETEIRO DE MADEIRA REVESTIDO EM FORMICA C/ 04 GAVETA(S);ME</t>
  </si>
  <si>
    <t>ARMÁRIO EM MADEIRA 2 PORTAS</t>
  </si>
  <si>
    <t>MONITOR LCD 17" SAMSUNG SYNCMASTER 740N HA17HXCLC21211JBR</t>
  </si>
  <si>
    <t>LONGARINA 03 LUGARES EM TECIDO VERMELHO</t>
  </si>
  <si>
    <t>MONITOR DE VIDEO PARA MICROCOMPUTADOR SAMSUNG</t>
  </si>
  <si>
    <t>MONITOR SAMSUNG 17" MODELO 940BPLUS SÉRIE HA19HXOPA00232</t>
  </si>
  <si>
    <t>VEÍCULO</t>
  </si>
  <si>
    <t>MERCEDES-BENZ SPRINTER B5LK2</t>
  </si>
  <si>
    <t>VEÍCULOS</t>
  </si>
  <si>
    <t>19/08/2008</t>
  </si>
  <si>
    <t>ARMARIO EM MADEIRA, BAIXO, 2 PORTAS REF. E1AR0820, GIROFLEX</t>
  </si>
  <si>
    <t>POLTRONA FIXA COM APOIO PARA OS BRACOS, COR BEGE</t>
  </si>
  <si>
    <t>POLTRONA FIXA COM  APOIO PARA OS BRACOS COR BEGE</t>
  </si>
  <si>
    <t>MESA DE TRABALHO COM GAVETEIRO FIXO COR OVO</t>
  </si>
  <si>
    <t>MESA DE APOIO EM MADEIRA COR CREME MEDINDO 0,80 X 0,60</t>
  </si>
  <si>
    <t>MESA EM L, 03 PARTES COR OVO, 2,10 X 1,80 X 0,74</t>
  </si>
  <si>
    <t>TELA DE PROJECAO;TES;SI;250X250;</t>
  </si>
  <si>
    <t>Telefone Digital Alcatel Mod: 4029. SN: FCN00911111893</t>
  </si>
  <si>
    <t>27/05/2010</t>
  </si>
  <si>
    <t>RACK METALICO</t>
  </si>
  <si>
    <t>MESA DE SOM STANER 12 CANAIS MOD. 12.2S</t>
  </si>
  <si>
    <t>MÁQUINA</t>
  </si>
  <si>
    <t>MAQUINA DE SOLDAR COM CABO MASC.250 TURBO BAMBOZZI</t>
  </si>
  <si>
    <t>FURADEIRA</t>
  </si>
  <si>
    <t>FURADEIRA DE IMPACTO MR.DEWALT MOD. DW508-B2</t>
  </si>
  <si>
    <t>01/12/1999</t>
  </si>
  <si>
    <t>FURADEIRA IMPACTO INDUSTRIAL 3/8o REF.1138 BOSCH</t>
  </si>
  <si>
    <t>FURADEIRA MANUAL;BOSCH;GBH 2-S;98900326;</t>
  </si>
  <si>
    <t>ESCADA DE ALUMINIO COM 3 DEGRAUS</t>
  </si>
  <si>
    <t>04/03/2004</t>
  </si>
  <si>
    <t>CARRINHO PARA CARGA COM 02 RODAS, MANUAL</t>
  </si>
  <si>
    <t>19/11/1998</t>
  </si>
  <si>
    <t>TELEFONE DIGITAL ALCATEL MODELO 4029</t>
  </si>
  <si>
    <t>CARRINHO DE COMPRA (TIPO SUPERMERCADO) EM FERRO COM RODAS</t>
  </si>
  <si>
    <t>ESTANTE DE ACO DESMONTAVEL COM 06 PRATELEIRAS</t>
  </si>
  <si>
    <t>08/04/1994</t>
  </si>
  <si>
    <t>GELADEIRA BRASTEMP COR BRANCA QUALITY 300</t>
  </si>
  <si>
    <t>24/02/1994</t>
  </si>
  <si>
    <t>DE AÇO, DESMONTÁVEL COM 6 PRATELEIRAS.</t>
  </si>
  <si>
    <t>ESTANTE DE ACO COM 06 PRATELEIRAS DESMONTAVEIS</t>
  </si>
  <si>
    <t>ESTANTE DE ACO COM 04 PRATILEIRAS DESMONTAVEIS</t>
  </si>
  <si>
    <t>CADEIRA GIRATORIA COM BRACOS COR VERMELHA DANNA</t>
  </si>
  <si>
    <t>31/03/1996</t>
  </si>
  <si>
    <t>CADEIRA  FIXA, SEM BRAÇO, COR VERMELHA</t>
  </si>
  <si>
    <t>MESA DE TRABALHO, GAVETEIRO FIXO COR OVO</t>
  </si>
  <si>
    <t>EM L, MARCA GIROFLEX, 2 GAVETAS.</t>
  </si>
  <si>
    <t>MESA DE TRABALHO, GAVETEIRO 2 GAVETAS, MARCA GIROFLEX</t>
  </si>
  <si>
    <t>30/07/2012</t>
  </si>
  <si>
    <t>MESA;SI;SI;80X60X75;</t>
  </si>
  <si>
    <t>MESA DE DATILOGRAFIA EM MADEIRA PEZ DE ACO- OBSOLETA</t>
  </si>
  <si>
    <t>31/12/1983</t>
  </si>
  <si>
    <t>MESA PARA MÁQUINA DATILOGRÁFICA</t>
  </si>
  <si>
    <t>MESA DE CANTO REVESTIDA LAMINADO FREIJO CLARO 0,60 X 0,60</t>
  </si>
  <si>
    <t>MESA PEQUENA EM MADEIRA FORMICA COR OVO PARA CAFE</t>
  </si>
  <si>
    <t>POLTRONA GIRATÓRIA C/BRAÇOS, COURO NA  COR MARROM, GIROFLEX</t>
  </si>
  <si>
    <t>POLTRONA FIXA, COM BRAÇOS, EM COURO NA  COR MARROM, GIROFLEX</t>
  </si>
  <si>
    <t>04/01/2002</t>
  </si>
  <si>
    <t>MESA DE DATILOGRAFIA COM RODAS, LAMINADO FREIJO</t>
  </si>
  <si>
    <t>23/03/1992</t>
  </si>
  <si>
    <t>ARQUIVO P/PASTA SUSPENSA 4 GAVETAS,MADEIRA COR OVO</t>
  </si>
  <si>
    <t>TOTEM</t>
  </si>
  <si>
    <t>TOTEM INFORMATIVO EM ALUMINIO</t>
  </si>
  <si>
    <t>18/09/1996</t>
  </si>
  <si>
    <t>TOTEM INFORMATIVO</t>
  </si>
  <si>
    <t>30/05/1997</t>
  </si>
  <si>
    <t>TOTEM INFORMARIVO</t>
  </si>
  <si>
    <t>Telefone Digital Alcatel Mod: 4029. SN: TEC01023601644</t>
  </si>
  <si>
    <t>19/01/2011</t>
  </si>
  <si>
    <t>COMPUTADOR DATEN MODELO DT02BVX232L</t>
  </si>
  <si>
    <t>03/02/2011</t>
  </si>
  <si>
    <t>22/02/2011</t>
  </si>
  <si>
    <t>CADEIRA DE PLASTICO NA COR BRANCA</t>
  </si>
  <si>
    <t>01/02/1990</t>
  </si>
  <si>
    <t>30/06/1990</t>
  </si>
  <si>
    <t>MESA REDONDA TAMPO DE VIDRO;SI;60X60;</t>
  </si>
  <si>
    <t>29/06/2010</t>
  </si>
  <si>
    <t>TELA LE MENESES</t>
  </si>
  <si>
    <t>31/03/1997</t>
  </si>
  <si>
    <t>MESA REDONDA TAMPO DE VIDRO;60X60;</t>
  </si>
  <si>
    <t>MESA REDONDA DE CANTO COM TAMPO DE VIDRO</t>
  </si>
  <si>
    <t>MESA REDONDA, DE CANTO, COM TAMPO DE VIDRO</t>
  </si>
  <si>
    <t>MESA REDONDA C TAMPO DE VIDRO;60X60;</t>
  </si>
  <si>
    <t>MESA EM L, GAVETEIRO FIXO 2 GAVETAS, METALBASE, COR CREME</t>
  </si>
  <si>
    <t>MESA DE CANTO, REDONDA COM TAMPO DE VIDRO 0,60 X 0,60</t>
  </si>
  <si>
    <t>FRAGMENTADORA DE PAPEL MODELO KOBRA 260S4</t>
  </si>
  <si>
    <t>26/03/1999</t>
  </si>
  <si>
    <t>ASPIRADOR DE PO</t>
  </si>
  <si>
    <t>ASPIRADOR DE PO PORTATIL, MODELO 56B, ELECTROLUX</t>
  </si>
  <si>
    <t>04/04/2003</t>
  </si>
  <si>
    <t>Impressora Térmica ARGOX Mod: OS214TT. SN: 91023656</t>
  </si>
  <si>
    <t>IMPRESSORA TÉRMICA ARGOX MOD: OS214TT.</t>
  </si>
  <si>
    <t>Impressora Térmica ARGOX Mod: OS214TT. SN: 91023631</t>
  </si>
  <si>
    <t>DISP CAP AUD/VID PINNACLE DAZZLE VIDEO SN:241001011963302078</t>
  </si>
  <si>
    <t>DIGITAL, MARCA SONY, DCR/DVD 108 SERIAL 6321617</t>
  </si>
  <si>
    <t>ARMARIO BAIXO (4,10X1,07X,060)</t>
  </si>
  <si>
    <t>PURIFICADOR, FR 600, IBBL, 220 V NS 744P093038</t>
  </si>
  <si>
    <t>BANCADA COM DUAS 02 GAVETAS, 02 DIVISOES</t>
  </si>
  <si>
    <t>05/08/1996</t>
  </si>
  <si>
    <t>CAIXA DE FERRAMENTA</t>
  </si>
  <si>
    <t>CAIXA DE FERRAMENTA SANFONA COM 03 GAVETAS</t>
  </si>
  <si>
    <t>TORNO</t>
  </si>
  <si>
    <t>TORNO MODULAR FIXO SERIE OURO Nr.04</t>
  </si>
  <si>
    <t>TORNO ENCANADOR Nr.04</t>
  </si>
  <si>
    <t>PISTOLA</t>
  </si>
  <si>
    <t>PISTOLA PARA FIXACAO DE PINO REF. DFG408 WALSWA</t>
  </si>
  <si>
    <t>BANCADA MECANICA EM MADEIRA COM 03 GAVETAS</t>
  </si>
  <si>
    <t>02/10/1996</t>
  </si>
  <si>
    <t>CALCULADORA</t>
  </si>
  <si>
    <t>MAQUINA CALCULADORA DISMAC</t>
  </si>
  <si>
    <t>10/05/1996</t>
  </si>
  <si>
    <t>ESCADA DE MADEIRA PARA PINTOR MED. 1,80mt</t>
  </si>
  <si>
    <t>ESCADA DE ACO TUBULAR COM 04 DEGRAUS</t>
  </si>
  <si>
    <t>MESA EM MADEIRA PARA SUPORTE DE ESMERIL, 0,82x0,73</t>
  </si>
  <si>
    <t>SOFA BANCO 2 PARTES EM CORINO MARROM</t>
  </si>
  <si>
    <t>QUADRO DA PONTE DE SANTA CATARINA PINTADO A OLEO</t>
  </si>
  <si>
    <t>BANCADA PARA COMPUTADOR 3,85X0,77X56</t>
  </si>
  <si>
    <t>CENTRAL TELEFÔNICA</t>
  </si>
  <si>
    <t>CENTRAL TELEFONICA PABX 4300 M BR-6</t>
  </si>
  <si>
    <t>Microfone de mão Evolution 845 da Sennheiser</t>
  </si>
  <si>
    <t>ESCULTURA</t>
  </si>
  <si>
    <t>ESCULTURA CHINESA EM MADEIRA C/ PATINA DOURADA - LEÃO</t>
  </si>
  <si>
    <t>ESCULTURA DO ARTISTA RICARDO STUMM, DOM QUIXOTE/SANCHO PANÇA</t>
  </si>
  <si>
    <t>ESCULTURA DO ARTISTA RICARDO STUMM - MUSAS EM BRONZE</t>
  </si>
  <si>
    <t>HD EXTERNO IOMEGA EGO MIDINIGHT SN 95AA06AAEP</t>
  </si>
  <si>
    <t>19/04/2010</t>
  </si>
  <si>
    <t>HD EXTERNO IOMEGA EGO MIDINIGHT SN 95AA06AAEA</t>
  </si>
  <si>
    <t>QUADROS DE ANGELICA COELHO - FRAGMENTO DE PAISAGENS MINEIRA</t>
  </si>
  <si>
    <t>QUADRO DE GIOVANA OSMARINI - ARABESCO I DE 2006</t>
  </si>
  <si>
    <t>QUADRO DE GIOVANA OSMARINI - DESGASTE SOBRE ARABESCO</t>
  </si>
  <si>
    <t>QUADRO DE GIOVANA OSMARINI - ARABESCO II DE 2006</t>
  </si>
  <si>
    <t>QUADRO DE FREI LUCA PACIOLI</t>
  </si>
  <si>
    <t>04 - SALA DE REUNIAO</t>
  </si>
  <si>
    <t>09/05/1995</t>
  </si>
  <si>
    <t>VIDEO CONFERÊNCIA REMOTA POLYCOM VSX 5000</t>
  </si>
  <si>
    <t>TRIPE</t>
  </si>
  <si>
    <t>Tripé para filmadora</t>
  </si>
  <si>
    <t>LCD 42" LG 42PC5RV SERIAL 712AZQVBN660</t>
  </si>
  <si>
    <t>CONTAINER</t>
  </si>
  <si>
    <t>CONTAINER PARA LIXO</t>
  </si>
  <si>
    <t>06/09/2001</t>
  </si>
  <si>
    <t>COLETOR DE BOLSO</t>
  </si>
  <si>
    <t>COLETOR DE DADOS DE BOLSO;OPTICON;OPN 2001;;;</t>
  </si>
  <si>
    <t>01/10/2010</t>
  </si>
  <si>
    <t>04/10/2010</t>
  </si>
  <si>
    <t>TELEFONE DIGITAL ALCATEL MODELO 4029 SERIAL TEC01022400357</t>
  </si>
  <si>
    <t>06/04/2011</t>
  </si>
  <si>
    <t>FRAGMENTADORA JINPEX JP-82OS SN: 10092400007</t>
  </si>
  <si>
    <t>08/04/2011</t>
  </si>
  <si>
    <t>CABIDEIRO EM MADEIRA COM GAVETA P/PRESIDENCIA CFC</t>
  </si>
  <si>
    <t>18/05/2000</t>
  </si>
  <si>
    <t>HOME THEATER CARAOKE</t>
  </si>
  <si>
    <t>Home Theater LG HT 305SU</t>
  </si>
  <si>
    <t>20/05/2011</t>
  </si>
  <si>
    <t>TELEFONE DIGITAL ALCATEL MODELO 4029 SERIAL</t>
  </si>
  <si>
    <t>08/08/2011</t>
  </si>
  <si>
    <t>MOTOR ELETRICO</t>
  </si>
  <si>
    <t>Motor elétrico trifásico 5 CV 08 132M;L 220;380;440 60 HZ</t>
  </si>
  <si>
    <t>16/08/2011</t>
  </si>
  <si>
    <t>MOTOR ELETRICO TRIFASICO 5CV 8 200;380;440W, 60 HZ</t>
  </si>
  <si>
    <t>IMPRESSORA HP LASER COLORIDA CP2025DN COM CABO USB 1.8M</t>
  </si>
  <si>
    <t>06/09/2011</t>
  </si>
  <si>
    <t>MÁQUINA DE CAFÉ</t>
  </si>
  <si>
    <t>CAFETEIRA ELETRICA EM AÇO INOX 10 LITROS</t>
  </si>
  <si>
    <t>01/09/2011</t>
  </si>
  <si>
    <t>CAFETEIRA ELETRICA EM AÇO INOX 10 L UNIVERSAL</t>
  </si>
  <si>
    <t>CAFETEIRA ELETRICA EM AÇO INOX 4 L UNIVERSAL</t>
  </si>
  <si>
    <t>CARRINHO PARA SERVIÇO DA COPA, PALMETAL MOD. AS2-040-070</t>
  </si>
  <si>
    <t>11/09/2011</t>
  </si>
  <si>
    <t>COROLLA XEI A/T 2.0 FLEX 2011 MODELO 2012</t>
  </si>
  <si>
    <t>01/04/2011</t>
  </si>
  <si>
    <t>RELOGIO DE PONTO</t>
  </si>
  <si>
    <t>RELOGIO DE PONTO ELETRONICO MADIS, MOD. REP BIOMETRICO 6 BOB</t>
  </si>
  <si>
    <t>27/07/2011</t>
  </si>
  <si>
    <t>12/08/2011</t>
  </si>
  <si>
    <t>DVD</t>
  </si>
  <si>
    <t>DVD PLAYER</t>
  </si>
  <si>
    <t>MONITOR HP 22" LCD MODELO COMPAQ LA 2205WG</t>
  </si>
  <si>
    <t>05/12/2011</t>
  </si>
  <si>
    <t>ESTAÇÃO DE TRABALHO COM QUATRO MESAS EM L E PAINEL DIVISOR</t>
  </si>
  <si>
    <t>30/12/2011</t>
  </si>
  <si>
    <t>GIROFLEX COM DIVIS. PAINEL DE VIDRO E SUP. TECLADO</t>
  </si>
  <si>
    <t>GAVETEIRO VOLANTE GIROFLEX 4 GAVETAS</t>
  </si>
  <si>
    <t>GAVETEIRO VOLANTE COM 4 GAVETAS, COR BEGE, MARCA GIROFLEX</t>
  </si>
  <si>
    <t>GAVETEIRO VOLANTE, 4 GAVETAS, COR OVO MARCA GIROFLEX</t>
  </si>
  <si>
    <t>GAVETEIRO VOLANTE 4 GAVETAS COR OVO MARCA GIROFLEX</t>
  </si>
  <si>
    <t>GAVETEIRO VOLANTE 4 GAVETAS,  GIROFLEX: 0,42 X 0,55 X 0,60</t>
  </si>
  <si>
    <t>IMPRESSORA HP LASER JET MONO P2055DN COM CABO USB 1,8M</t>
  </si>
  <si>
    <t>19/01/2012</t>
  </si>
  <si>
    <t>INTERFACE</t>
  </si>
  <si>
    <t>INTERFACE CELULAR INTEBRAS ITC 4000</t>
  </si>
  <si>
    <t>28/11/2011</t>
  </si>
  <si>
    <t>20/03/2012</t>
  </si>
  <si>
    <t>BANCO</t>
  </si>
  <si>
    <t>BANCO SIMPLES ASSENTO EM MADEIRA</t>
  </si>
  <si>
    <t>21/03/2012</t>
  </si>
  <si>
    <t>ARMARIO PARA VESTIARIO TIPO ROUPEIRO DE AÇO COM 6 PORTAS</t>
  </si>
  <si>
    <t>ARMARIO PARA VESTIÁRIO TIPO ROUPEIRO DE AÇO COM 8 PORTAS</t>
  </si>
  <si>
    <t>ARMARIO TIPO MULTIUSO COM 2 PORTAS</t>
  </si>
  <si>
    <t>ARMÁRIO PARA VESTIARIO DE CANTO TIPO ROUPEIRO DE AÇO</t>
  </si>
  <si>
    <t>SWITCH GERENCIAVEL HP V1910-48G - 9º ANDAR - CDPROF</t>
  </si>
  <si>
    <t>06/07/2012</t>
  </si>
  <si>
    <t>SWITCH GERENCIAVEL HP V1910-48G - 10º ANDAR CCI</t>
  </si>
  <si>
    <t>SWITCH GERENCIAVEL HP V1910-48G</t>
  </si>
  <si>
    <t>SWITCH GERENCIÁVEL HP V1910-48G - 5º ANDAR DEPEV</t>
  </si>
  <si>
    <t>SWITCH GERENCIAVEL HP V1910-48G - 8º ANDAR COFIS</t>
  </si>
  <si>
    <t>MESA DIGITALIZADORA - SCANNER DEPARTAMENTAL AVSION AV186</t>
  </si>
  <si>
    <t>07/12/2012</t>
  </si>
  <si>
    <t>POLTRONA GIRATÓRIA COM BRAÇOS, GIROFLEX, COR VERMELHA</t>
  </si>
  <si>
    <t>10/01/2013</t>
  </si>
  <si>
    <t>ENCADERNADORA</t>
  </si>
  <si>
    <t>TÉRMICA UNIVERSA RD - 500</t>
  </si>
  <si>
    <t>05/12/2012</t>
  </si>
  <si>
    <t>ELÉTRICA DE MESA LASSANE ESPIRAMATIC CONJUGADA 220V</t>
  </si>
  <si>
    <t>GUILHOTINA</t>
  </si>
  <si>
    <t>AUTOMÁTICA DE MESA 320V DRIMAR 110V</t>
  </si>
  <si>
    <t>AR CONDICIONADO</t>
  </si>
  <si>
    <t>AR CONDICIONADO PORTÁTIL 10.000 BTU 220V MARCA VENTISOL</t>
  </si>
  <si>
    <t>18/12/2012</t>
  </si>
  <si>
    <t>SUBSISTEMA DE DISCOS P/ ARM. DADOS</t>
  </si>
  <si>
    <t>STORANGE</t>
  </si>
  <si>
    <t>20/12/2012</t>
  </si>
  <si>
    <t>GABINETE SATA</t>
  </si>
  <si>
    <t>COM 24 DISCOS TIPO 1</t>
  </si>
  <si>
    <t>MOTORIZADA FIXADA NO TETO</t>
  </si>
  <si>
    <t>ARMÁRIO EM MADEIRA 16 PORTAS</t>
  </si>
  <si>
    <t>ARMÁRIO FIXO EM MADEIRA, 5 PORTAS DE CORRER</t>
  </si>
  <si>
    <t>FIXO DE ARQUIVO</t>
  </si>
  <si>
    <t>CALCULADORA OLIVETTI SUMMA 220</t>
  </si>
  <si>
    <t>ARMÁRIO FIXO, 10 PORTAS, 50 PRATELEIRAS, NA COR BEGE.</t>
  </si>
  <si>
    <t>ASSENTO E ENCOSTO NA COR MARROM</t>
  </si>
  <si>
    <t>MESA DE APOIO, EM MADEIRA NA COR BEGE MEDINDO 1,55 X 0,75</t>
  </si>
  <si>
    <t>MONITOR INVIX LCD18,5 MODELO MV185WA</t>
  </si>
  <si>
    <t>COFRE</t>
  </si>
  <si>
    <t>COFRE DE AÇO COR CINZA</t>
  </si>
  <si>
    <t>MESA EM MADEIRA, COM TAMPO NA COR PRETA E TABACO.</t>
  </si>
  <si>
    <t>TIPO SPLIT MARCA TRANE, SÉRIE Nº 3T0708-213699</t>
  </si>
  <si>
    <t>MAQUINA DE FUMAÇA</t>
  </si>
  <si>
    <t>COR CHUMBO, MODELO PF 700, MARCA PARTYLIGHT ILUMINAÇÃO</t>
  </si>
  <si>
    <t>SPLIT MARCA TRANE SÉRIE Nº 3T 0908-217486 E CONDENSADORA</t>
  </si>
  <si>
    <t>MARCA IMAC, COR BRANCA, TRÊS DEGRAUS.</t>
  </si>
  <si>
    <t>CARRINHO DE CARGA</t>
  </si>
  <si>
    <t>COM RODINHAS, COR CINZA.</t>
  </si>
  <si>
    <t>MODELO BURRINHA DE CARGA, MANUAL, COR AZUL.</t>
  </si>
  <si>
    <t>METALPALMA, COM DOIS PNEUS COM CÂMARA DE AR, COR VERDE.</t>
  </si>
  <si>
    <t>TERRENO</t>
  </si>
  <si>
    <t>TERRENO DE 525M² SITUADO NO SAUS QUADRA 5 LOTE 3</t>
  </si>
  <si>
    <t>TERRENOS</t>
  </si>
  <si>
    <t>31/12/2012</t>
  </si>
  <si>
    <t>EDIFICAÇÃO</t>
  </si>
  <si>
    <t>PRÉDIO COM 7.055 M² DE ÁREA CONSTRUIDA</t>
  </si>
  <si>
    <t>SEDE</t>
  </si>
  <si>
    <t>INSTALAÇÕES</t>
  </si>
  <si>
    <t>INSTALAÇÕES CHILLER</t>
  </si>
  <si>
    <t>FRAGMENTADORA DE PAPEL TIPO COMERCIAL F-26, MARCA FRAGMAQ.</t>
  </si>
  <si>
    <t>GAVETEIRO VOLANTE, COM 3 GAVETAS, MARCA GIROFLEX, COR TABACO</t>
  </si>
  <si>
    <t>MESA EM L, MARCA GIROFLEX, COR TABACO 1,60 X 1,60 X 0,73</t>
  </si>
  <si>
    <t>ARMÁRIO BAIXO  COM 2 PORTAS, GIROFLEX, COR TABACO</t>
  </si>
  <si>
    <t>PLACA</t>
  </si>
  <si>
    <t>PLACA DE REDE DELL GIGA QUADPORT</t>
  </si>
  <si>
    <t>20/02/2013</t>
  </si>
  <si>
    <t>DESKTOP ALL IN ONE APPLE IMAC 27 POLEGADAS</t>
  </si>
  <si>
    <t>06/05/2013</t>
  </si>
  <si>
    <t>AR CONDICIONADO TIPO SPLIT PISO-TETO 22.000 BTUS MARCA  MIDE</t>
  </si>
  <si>
    <t>06/06/2013</t>
  </si>
  <si>
    <t>AR CONDICIONADO TIPO SPLIT PISO -TETO 36.000 BTUS, CARRIER</t>
  </si>
  <si>
    <t>AR CONDICIONADO TIPO SPLIT 18.000 BTUS, MIDEA</t>
  </si>
  <si>
    <t>AR CONDICIONADO TIPO SPLIT 18.000 BTUS MIDEA</t>
  </si>
  <si>
    <t>AR CONDICIONADO TIIPO SPLIT PISO-TETO 18.000 BTUS, MIDEA</t>
  </si>
  <si>
    <t>RELÓGIO DE PONTO / CONTROLADOR DE ACESSO DIGIREP BIO BM</t>
  </si>
  <si>
    <t>25/07/2013</t>
  </si>
  <si>
    <t>MONITOR LED SAMSUNG 21,5' LS22C300FSMZD</t>
  </si>
  <si>
    <t>12/11/2013</t>
  </si>
  <si>
    <t>TABLET</t>
  </si>
  <si>
    <t>TABLET APPLE IPAD MD518BR/A9,7 64GB WIFI 4G PRETO ACOMP. TEC</t>
  </si>
  <si>
    <t>13/11/2013</t>
  </si>
  <si>
    <t>TABLET APPLE IPAD MODELO 518BR/A9,7 64GB WIFI 4G PRETO</t>
  </si>
  <si>
    <t>TABLET APPLE IPAD MD518BR/A9,7 64GB WIFI 4G PRETO</t>
  </si>
  <si>
    <t>NOTEBOOK</t>
  </si>
  <si>
    <t>NP600 15/4GB/500W7  SAMSUNG</t>
  </si>
  <si>
    <t>04/12/2013</t>
  </si>
  <si>
    <t>SERVIDOR DE REDE DELL POWEREDGE R620 2X PROCES. INTEL XEON</t>
  </si>
  <si>
    <t>10/12/2013</t>
  </si>
  <si>
    <t>SWITCH POWERCONNECT 6248 SISTEMA COMUTADOR 48 PORTS 10GBE</t>
  </si>
  <si>
    <t>DVR STAND ALONE</t>
  </si>
  <si>
    <t>16 CH - TECVOZ TD2316 PLUS2</t>
  </si>
  <si>
    <t>17/12/2013</t>
  </si>
  <si>
    <t>CAMERA</t>
  </si>
  <si>
    <t>CÂMERA PROFISSIONAL COM LENTE VARIFOCAL POSONIC HCV8070</t>
  </si>
  <si>
    <t>AR CASSETE 24000 BTUS SO FRIO ELGIN</t>
  </si>
  <si>
    <t>05/12/2013</t>
  </si>
  <si>
    <t>NOTEBOOK LENOVO MODELO NB E431 - 15/4GB/500GB</t>
  </si>
  <si>
    <t>17/01/2014</t>
  </si>
  <si>
    <t>BALANÇA ELETRÓNICA 30KG MOD. ELCN. 6/15/30PF</t>
  </si>
  <si>
    <t>07/03/2014</t>
  </si>
  <si>
    <t>REFRIGEDOR 323L FROST FREE. 220V BRANCA MARCA ELECTROLUX</t>
  </si>
  <si>
    <t>22/04/2014</t>
  </si>
  <si>
    <t>RADIO DE COMUNICAÇÃO</t>
  </si>
  <si>
    <t>RADIO COMUNICADOR POTATIL, MARCA BOWMAR PT-7200 UHF</t>
  </si>
  <si>
    <t>16/06/2014</t>
  </si>
  <si>
    <t>CARRO CAIXA</t>
  </si>
  <si>
    <t>CARRO CAIXA REVESTIDO DE ARAME ASSOALHO DE CHAPA, 600KG</t>
  </si>
  <si>
    <t>15/07/2014</t>
  </si>
  <si>
    <t>DESKTOP HP 8300 ELITE SFF</t>
  </si>
  <si>
    <t>31/07/2014</t>
  </si>
  <si>
    <t>MONITOR HP ELITE 22" DISPLAY E221</t>
  </si>
  <si>
    <t>MONITOR HP ELITE 22" DISPLAY E221 SÉRIE NÚMERO CNC4090H6B</t>
  </si>
  <si>
    <t>HP UNTERPRISE FLOW 7500</t>
  </si>
  <si>
    <t>11/08/2014</t>
  </si>
  <si>
    <t>HP UNTERPRISE FLOW 7500 SG</t>
  </si>
  <si>
    <t>COMPUTADOR HP MODELO PRODESK 600 G1 SFF SÉRIE BRJH2086GCH</t>
  </si>
  <si>
    <t>22/08/2014</t>
  </si>
  <si>
    <t>COMPUTADOR HP MODELO PRODESK 600 G1 SFF SÉRIE BRJ4208GBT</t>
  </si>
  <si>
    <t>COMPUTADOR HP MODELO PRODESK 600 G1 SFF SÉRIE BRJ4208GCL</t>
  </si>
  <si>
    <t>COMPUTADOR HP MODELO PRODESK 600 G1 SFF SÉRIE BRJ4208GDS</t>
  </si>
  <si>
    <t>COMPUTADOR HP MODELO PRODESK 600 G1 SFF SÉRIE BRJ4208GBZ</t>
  </si>
  <si>
    <t>COMPUTADOR HP MODELO PRODESK 600 G1 SFF SÉRIE BRJ4208GDL</t>
  </si>
  <si>
    <t>COMPUTADOR HP MODELO PRODESK 600 G1 SFF SERIE BRJ4208GBR</t>
  </si>
  <si>
    <t>COMPUTADOR HP MODELO PRODESK 600 G1 SFF SERIE BRJ4208GBW</t>
  </si>
  <si>
    <t>COMPUTADOR HP MODELO PRODESK 600 G1 SFF SERIE BRJ4208GCT</t>
  </si>
  <si>
    <t>COMPUTADOR HP MODELO PRODESK 600 G1 SFF - SERIE BRJ4208GBN</t>
  </si>
  <si>
    <t>COMPUTADOR HP MODELO PRODESK 600 G1 SFF SERIE BRJ4208GC7</t>
  </si>
  <si>
    <t>COMPUTADOR HP MODELO PRODESK 600 G1 SFF SERIE BRJ4208GDB</t>
  </si>
  <si>
    <t>COMPUTADOR HP MODELO PRODESK 600 G1 SFF SÉRIE BRJ4208GCB</t>
  </si>
  <si>
    <t>COMPUTADOR HP MODELO PRODESK 600 G1 SFF SERIE BRJ4208GDT</t>
  </si>
  <si>
    <t>COMPUTADOR HP MODELO PRODESK 600 G1 SFF SÉRIE BRJ4208GC9</t>
  </si>
  <si>
    <t>COMPUTADOR HP MODELO PRODESK 600 G1 SFF SÉRIE BRJ4208GC2</t>
  </si>
  <si>
    <t>COMPUTADOR HP MODELO PRODESK 600 G1 SFF SERIE BRJ4208GDG</t>
  </si>
  <si>
    <t>COMPUTADOR HP MOD PRO DESK600 GI SFF SERIE BRJ4208GD3</t>
  </si>
  <si>
    <t>FREEZER HORIZ 01 PORTA CAP 305L 220V BRANCO</t>
  </si>
  <si>
    <t>28/08/2014</t>
  </si>
  <si>
    <t>MONITOR SAMSUNG LS22C301FSMZD</t>
  </si>
  <si>
    <t>24/09/2014</t>
  </si>
  <si>
    <t>MONITOR SAMSUNG LS22C301FSMZD S/N Y231HXHF600185A</t>
  </si>
  <si>
    <t>MONITOR SAMSUNG LS22C301FSMZD S/N Y231HXHF600158H</t>
  </si>
  <si>
    <t>MONITOR SAMSUNG LS22C301FSMZD S/N Y231HXFF600481D</t>
  </si>
  <si>
    <t>MONITOR SAMSUNG LS22C301FSMZD S/N Y231HXFF600200Z</t>
  </si>
  <si>
    <t>IMPRESSORA ARGOX OS214TT SÉRIE 40459029</t>
  </si>
  <si>
    <t>20/10/2014</t>
  </si>
  <si>
    <t>PURIFICADOR DE ÁGUA IBBL FR 600 COR PRATA SÉRIE Nº 445P72885</t>
  </si>
  <si>
    <t>10/12/2014</t>
  </si>
  <si>
    <t>MESA EM L,  ESTRUTURA AÇO, TAMPO EM MAIDEIRA NA COR CINZA</t>
  </si>
  <si>
    <t>18/12/2014</t>
  </si>
  <si>
    <t>MESA DE REUNIÃO OVALIZADA (2700 X 1300 X 740MM)</t>
  </si>
  <si>
    <t>MESA DE REUNIÃO REDONDA (1200 X 740MM)</t>
  </si>
  <si>
    <t>MESA RETA EM MDP ESTRUTURA METALICA PRETA MED.</t>
  </si>
  <si>
    <t>MESA RETA EM MDP OU MDFESTRUTURA METALICA PRETA MED.</t>
  </si>
  <si>
    <t>GAVETEIRO VOLANTE, 5 GAVETAS, EM MADEIRA NA COR CINZA</t>
  </si>
  <si>
    <t>ARMÁRIO BAIXO LATERAL EM MADEIRA, 2 PORTAS, COR CINZA CLARO</t>
  </si>
  <si>
    <t>ARMÁRIO ALTO EM MADEIRA, 2 PORTAS, COR CINZA CLARO</t>
  </si>
  <si>
    <t>RACK DE PAREDE 07U P.G P450MM C/  PORTA TRIUNFO TRIUNFO</t>
  </si>
  <si>
    <t>12/02/2015</t>
  </si>
  <si>
    <t>POLTRONA GIRATORIA, ESPALDAR ALTO COM BRAÇOS, COR VERMELHO</t>
  </si>
  <si>
    <t>12/03/2015</t>
  </si>
  <si>
    <t>CADEIRA OPERACIONAL COM ESPALDAR MÉDIO COM BRAÇOS, VERMELHA</t>
  </si>
  <si>
    <t>SERVIDOR DE REDE DELL POWEREDGE R 730</t>
  </si>
  <si>
    <t>23/06/2015</t>
  </si>
  <si>
    <t>COMPUTADOR HP MODELO PRODESK 600 G1 SFF SÉRIE Nº BRJ528V52Z</t>
  </si>
  <si>
    <t>30/07/2015</t>
  </si>
  <si>
    <t>COMPUTADOR HP MODELO PRODESK 600 G1 SFF SÉRIE Nº BRJ528V54L</t>
  </si>
  <si>
    <t>COMPUTADOR HP MODELO PRODESK 600 G1 SFF SÉRIE Nº BRJ528V54F</t>
  </si>
  <si>
    <t>COMPUTADOR HP MODELO PRODESK 600 G1 SFF SÉRIE Nº BRJ528V54V</t>
  </si>
  <si>
    <t>COMPUTADOR HP MODELO PRODESK 600 G1 SFF SÉRIE Nº BRJ528V547</t>
  </si>
  <si>
    <t>COMPUTADOR HP MODELO PRODESK 600 G1 SFF SÉRIE Nº BRJ528V54N</t>
  </si>
  <si>
    <t>COMPUTADOR HP MODELO PRODESK 600 G1 SFF SÉRIE BRJ528V53B</t>
  </si>
  <si>
    <t>COMPUTADOR HP MODELO PRODESK 600 G1 SFF SÉRIE Nº BRJ528V53V</t>
  </si>
  <si>
    <t>COMPUTADOR HP MODELO PRODESK 600 G1 SFF SÉRIE Nº BRJ528V544</t>
  </si>
  <si>
    <t>COMPUTADOR HP MODELO PRODESK 600 G1 SFF SÉRIE Nº BRJ528V52Q</t>
  </si>
  <si>
    <t>COMPUTADOR HP MODELO PRODESK 600 G1 SFF SÉRIE Nº BRJ528V541</t>
  </si>
  <si>
    <t>COMPUTADOR HP MODELO PRODESK 600 G1 SFF SÉRIE Nº BRJ528V53P</t>
  </si>
  <si>
    <t>COMPUTADOR HP MODELO PRODESK 600 G1 SFF SÉRIE Nº BRJ528V54S</t>
  </si>
  <si>
    <t>COMPUTADOR HP MODELO PRODESK 600 G1 SFF SÉRIE Nº BRJ528V54M</t>
  </si>
  <si>
    <t>COMPUTADOR HP MODELO PRODESK 600 G1 SFF SÉRIE Nº BRJ528V54R</t>
  </si>
  <si>
    <t>COMPUTADOR HP MODELO PRODESK 600 G1 SFF SÉRIE Nº BRJ528V53S</t>
  </si>
  <si>
    <t>COMPUTADOR HP MODELO PRODESK 600 G1 SFF SÉRIE Nº BRJ528V550</t>
  </si>
  <si>
    <t>COMPUTADOR HP MODELO PRODESK 600 G1 SFF SÉRIE Nº BRJ528V52S</t>
  </si>
  <si>
    <t>ROTEADOR</t>
  </si>
  <si>
    <t>WIRELESS ACCESS POINT - IAP - 802.11N, 2X2 DUAL RADIO</t>
  </si>
  <si>
    <t>31/08/2015</t>
  </si>
  <si>
    <t>04 - RECEPÇÃO</t>
  </si>
  <si>
    <t>BOMBA CENTRIFUGA TRIFASICA PARA AGUA, SCHNEIDER ME AL 2230</t>
  </si>
  <si>
    <t>MESA DE SOM 36 CANAIS SKP VZ-36</t>
  </si>
  <si>
    <t>21/10/2015</t>
  </si>
  <si>
    <t>NOBREAK 30 KVA ENTRADA E SAIDA 220/220V TRIFASICO</t>
  </si>
  <si>
    <t>26/11/2015</t>
  </si>
  <si>
    <t>TELEFONE UTENSILIO ESC</t>
  </si>
  <si>
    <t>APARELHO TELEFÔNICO MARCA ALCATEL MOD. 4029</t>
  </si>
  <si>
    <t>17/12/2015</t>
  </si>
  <si>
    <t>APARELHO TELEFONICO MARCA ALCATEL MOD 4029</t>
  </si>
  <si>
    <t>31/12/2015</t>
  </si>
  <si>
    <t>ESTANTE DE AÇO COM 06 PRATELEIRAS COR BRANCA GELO</t>
  </si>
  <si>
    <t>MESA P/MAQUINA ESCREVER COM 02 GAVETAS, MADEIRA LEI</t>
  </si>
  <si>
    <t>MESA DE FERRO, TAMPO EM MADEIRA</t>
  </si>
  <si>
    <t>CANON 70D COM LENTE 18-135</t>
  </si>
  <si>
    <t>22/02/2016</t>
  </si>
  <si>
    <t>MESA RETANGULAR PROF. 600 MM TAMPA  ARGILA FILETE ARGILA</t>
  </si>
  <si>
    <t>10/03/2016</t>
  </si>
  <si>
    <t>POLTRONA RECLINAVEL</t>
  </si>
  <si>
    <t>14/03/2016</t>
  </si>
  <si>
    <t>FILMADORA SONY, MODELO CONCORDER PXW-X160</t>
  </si>
  <si>
    <t>07/04/2016</t>
  </si>
  <si>
    <t>KIT TRIPÉ MODELO 519 - 546BK MANFROTTO</t>
  </si>
  <si>
    <t>ILHA DE EDIÇÃO</t>
  </si>
  <si>
    <t>ILUMINADOR PAINEL EM LED PROFISSIONAL</t>
  </si>
  <si>
    <t>TELEPROMPTER</t>
  </si>
  <si>
    <t>TELEPROMPTER / MONITOR AOC PRETO</t>
  </si>
  <si>
    <t>29/04/2016</t>
  </si>
  <si>
    <t>FOGÃO</t>
  </si>
  <si>
    <t>FOGÃO INDUSTRIAL 6 BOCAS COR PRETO</t>
  </si>
  <si>
    <t>FORNO</t>
  </si>
  <si>
    <t>FORNO A GÁS, AVULSO LI PARALELO 60X60 CROMADO</t>
  </si>
  <si>
    <t>MICROFONE DE LAPELA MARCA UWP-D11 SONY URX/P03 - UTX-B03</t>
  </si>
  <si>
    <t>27/06/2016</t>
  </si>
  <si>
    <t>FRAGMENTADORA DE PAPEL 12FOLHAS ELGIN</t>
  </si>
  <si>
    <t>18/07/2016</t>
  </si>
  <si>
    <t>LICENÇA DE SOFTWARE - OUTROS SOFTWARES</t>
  </si>
  <si>
    <t>LICENÇA DE SOFTWARE SYMC PROTECTION PARA 180 USUÁRIOS</t>
  </si>
  <si>
    <t>OUTROS SOFTWARES</t>
  </si>
  <si>
    <t>AMORTIZADOS AGUARDANDO BAIXA</t>
  </si>
  <si>
    <t>20/09/2016</t>
  </si>
  <si>
    <t>SWITCH TP LINK 16 PORTAS - MODELO TL-SG1016D</t>
  </si>
  <si>
    <t>31/12/2016</t>
  </si>
  <si>
    <t>CONVERSOR DIGITAL</t>
  </si>
  <si>
    <t>CONVERSOR DIGITAL TERRESTRE ZBT-670N EKORECH</t>
  </si>
  <si>
    <t>10/12/2016</t>
  </si>
  <si>
    <t>FURADEIRA / PARAFUSADEIRA SEM FIO 10MM BLACK DECKER</t>
  </si>
  <si>
    <t>05/01/2017</t>
  </si>
  <si>
    <t>Gabinete Blade Tipo I Hardware</t>
  </si>
  <si>
    <t>22/02/2017</t>
  </si>
  <si>
    <t>Servidor em lamina categoria III Hardware</t>
  </si>
  <si>
    <t>MOTOBOMBA BCS-220 3 CV 380V SCHNEIDER</t>
  </si>
  <si>
    <t>21/03/2017</t>
  </si>
  <si>
    <t>ARMÁRIO ALTO COM 2 PORTAS COR CARVALHO AMETISTA</t>
  </si>
  <si>
    <t>26/05/2017</t>
  </si>
  <si>
    <t>ARMÁRIO BAIXO 2 PORTAS COR CARVALHO AMETISTA</t>
  </si>
  <si>
    <t>ARMÁRIO BAIXO 2 PORTAS COR CARVALHO AMETISTA PASTA SUSPENSAS</t>
  </si>
  <si>
    <t>MESA DE REUNIÃO COM PAINEL DIVISOR E PASSA FIO</t>
  </si>
  <si>
    <t>GAVETEIRO VOLANTE 4 GAVETAS COR CARVALHO AMETISTA</t>
  </si>
  <si>
    <t>MESA LINEAR COM CALHA PARA AFIAÇÃO, COR CARVALHO AMETISTA</t>
  </si>
  <si>
    <t>MESA DE CENTRO, COR CARVALHO AMETISTA 0,80 X 0,80</t>
  </si>
  <si>
    <t>ARMÁRIO BAIXO, 4 PORTAS COR CARVALHO AMETISTA PERFIL ALUMINI</t>
  </si>
  <si>
    <t>CADEIRA GIRATÓRIA, COM BRAÇOS, COURVIN NA COR PRETO</t>
  </si>
  <si>
    <t>POLTRONA GIRATÓRIA PRESIDENTE, C/BRAÇOS COURVIN NA COR PRETO</t>
  </si>
  <si>
    <t>SOFÁ 2 LUGARES, COURVIN NA COR PRETO, ESTRUTURA EM INOX</t>
  </si>
  <si>
    <t>SOFÁ 3 LUGARES, COURVIN NA COR PRETO, ESTRUTURA EM INOX</t>
  </si>
  <si>
    <t>CADEIRA GIRATÓRIA, SEM BRAÇOS, COURVIN NA COR PRETO</t>
  </si>
  <si>
    <t>CADEIRA FIXA, SEM BRAÇOS, COURVIN NA COR PRETO</t>
  </si>
  <si>
    <t>MESA EM L, SEM GAVETAS, COR CARVALHO AMETISTA 1,40 X 1,40</t>
  </si>
  <si>
    <t>MESA EM L, COM 3 GAVETAS, COR CARVALHO AMETISTA 2,00 X 1,80</t>
  </si>
  <si>
    <t>MÓDULO PARA GBICS</t>
  </si>
  <si>
    <t>MÓDULO PARA GBICS COM DUAS ENTRADAS - SFP + 10GB</t>
  </si>
  <si>
    <t>11/08/2017</t>
  </si>
  <si>
    <t>GBIC</t>
  </si>
  <si>
    <t>GBIC WTRD1 - SFP - 10GB - SR</t>
  </si>
  <si>
    <t>MOTOR ELÉTRICO DZ EURUS 2000 INDUSTRIAL PPA</t>
  </si>
  <si>
    <t>08/05/2018</t>
  </si>
  <si>
    <t>BOMBA</t>
  </si>
  <si>
    <t>BOMBA CENTRÍFUGA BCS 220 3CV 380V TRIFASICO</t>
  </si>
  <si>
    <t>15/06/2018</t>
  </si>
  <si>
    <t>FRAGMENTADORA DE PAPEL MODELO S300D - 127V - NS: F1H02100430</t>
  </si>
  <si>
    <t>11/09/2018</t>
  </si>
  <si>
    <t>MICROONDAS GRILL PRATA ESPELHADO MH70 30L MARCA LG</t>
  </si>
  <si>
    <t>03/10/2018</t>
  </si>
  <si>
    <t>CAFETEIRA PROFISSIONAL MARCHESONI 25 LT X 2 MODELO CF.4.252</t>
  </si>
  <si>
    <t>10/10/2018</t>
  </si>
  <si>
    <t>CAFETEIRA NESCAFÉ DOLCE GUSTO</t>
  </si>
  <si>
    <t>CENTRAL DIGITAL DE ALARME ENDEREÇÁVEL</t>
  </si>
  <si>
    <t>18/09/2018</t>
  </si>
  <si>
    <t>NOTEBOOK PH 440 G5 I5 500G</t>
  </si>
  <si>
    <t>29/10/2018</t>
  </si>
  <si>
    <t>NOTEBOOK HP 440 G5 I5 500G</t>
  </si>
  <si>
    <t>COMPUTADOR DESK HP 800 DM i5 8G</t>
  </si>
  <si>
    <t>04 - DEPEV</t>
  </si>
  <si>
    <t>MONITOR HP E223 21,5 1FH45AA#ABA HT HP</t>
  </si>
  <si>
    <t>16/11/2018</t>
  </si>
  <si>
    <t>PROJETOR</t>
  </si>
  <si>
    <t>PROJETOR EPSON POWERLITE X41+ 3600 LUMENS</t>
  </si>
  <si>
    <t>25/04/2019</t>
  </si>
  <si>
    <t>CONTAINER DE COLETA DE LIXO EM AÇO PADRÃO SLU</t>
  </si>
  <si>
    <t>28/11/2019</t>
  </si>
  <si>
    <t>STORAGE</t>
  </si>
  <si>
    <t>STORAGE ALL-FLASH OCEANSTOR DORADO 5000 V6</t>
  </si>
  <si>
    <t>31/03/2020</t>
  </si>
  <si>
    <t>KIT EXPANSÃO PARA STORAGE ALL FLASH - DISCOS 3,5</t>
  </si>
  <si>
    <t>MÁQUINA ENCARDENADORA / PERFURADORA ELÉTRICA MINIMAX PLUS</t>
  </si>
  <si>
    <t>24/09/2020</t>
  </si>
  <si>
    <t>IMPRESSORA TÉRMICA GS 2406T GAINSCHA SN GS3FC200605000129</t>
  </si>
  <si>
    <t>23/12/2020</t>
  </si>
  <si>
    <t>IMPRESSORA TÉRMICA GS 2406T GAINSCHA SN GS3FC200605000130</t>
  </si>
  <si>
    <t>IMPRESSORA TÉRMICA GS 2406T GAINSCHA SN GS3FC200605000131</t>
  </si>
  <si>
    <t>IMPRESSORA TÉRMICA GS 2406T GAINSCHA SN GS3FC200605000132</t>
  </si>
  <si>
    <t>IMPRESSORA TÉRMICA GS 2406T GAINSCHA SN GS3FC200605000381</t>
  </si>
  <si>
    <t>IMPRESSORA TÉRMICA GS 2406T GAINSCHA SN GS3FC200605000382</t>
  </si>
  <si>
    <t>IMPRESSORA TÉRMICA GS 2406T GAINSCHA SN GS3FC200605000397</t>
  </si>
  <si>
    <t>IMPRESSORA TÉRMICA GS 2406T GAINSCHA SN GS3FC200605000398</t>
  </si>
  <si>
    <t>IMPRESSORA TÉRMICA GS 2406T GAINSCHA SN GS3FC200605000399</t>
  </si>
  <si>
    <t>IMPRESSORA TÉRMICA GS 2406T GAINSCHA SN GS3FC200605000400</t>
  </si>
  <si>
    <t>RÁDIO COMUNICADOR DUAL BAND BAOFENG UV-5R</t>
  </si>
  <si>
    <t>26/01/2021</t>
  </si>
  <si>
    <t>MINI HP ELITEDESK 800 G5 DM COM WINDOWS 10 PROFESSIONAL</t>
  </si>
  <si>
    <t>08/03/2021</t>
  </si>
  <si>
    <t>MONITOR HP Z DISPLAY Z24I G2 PN: 1JS08A4#ABA</t>
  </si>
  <si>
    <t>SOFTWARE IMOBILIZADO - OUTROS SOFTWARES</t>
  </si>
  <si>
    <t>VEEAM AVAILABILITY SUITE PERPETUAL UNIVERSAL LICENSE</t>
  </si>
  <si>
    <t>01/04/2021</t>
  </si>
  <si>
    <t>SOFTWARE INTANGÍVEL</t>
  </si>
  <si>
    <t>LICENÇAS DE USO ADOBE PRO DC</t>
  </si>
  <si>
    <t>06/08/2021</t>
  </si>
  <si>
    <t>LICENÇA PERPÉTUA WINRMTDSKTPSRVCSCAL 2012 SNGL OLP NL USRCA</t>
  </si>
  <si>
    <t>LICENÇA DE USO DO TEAMVIEWER CORPORATE</t>
  </si>
  <si>
    <t>LICENÇA DE USO DO ZWCAD</t>
  </si>
  <si>
    <t>20/08/2021</t>
  </si>
  <si>
    <t>NOTEBOOK LENOVO 14" THINKPAD E14 I5-1135G7</t>
  </si>
  <si>
    <t>08/10/2021</t>
  </si>
  <si>
    <t>NOTEBOOK DATEN DCM3A-4
COR, 14" COR GRAFITE</t>
  </si>
  <si>
    <t>29/11/2021</t>
  </si>
  <si>
    <t>CADEIRA GIRATÓRIA FLEXFORM TECTON</t>
  </si>
  <si>
    <t>13/12/2021</t>
  </si>
  <si>
    <t>SOLUÇÃO DE ANÁLISE DE FLUXO DE REDE</t>
  </si>
  <si>
    <t>05/11/2021</t>
  </si>
  <si>
    <t>LICENÇA PERPÉTUA DE USO DO MS PROJECT PROFESSIONAL</t>
  </si>
  <si>
    <t>08/12/2021</t>
  </si>
  <si>
    <t>CLIMATIZADOR DE AR</t>
  </si>
  <si>
    <t>CLIMATIZADOR DE AR SMART 3.5LT ELGIN, MOD. FSFN04N2IA</t>
  </si>
  <si>
    <t>29/04/2022</t>
  </si>
  <si>
    <t>ARQUIVO DESLIZANTE</t>
  </si>
  <si>
    <t>ARQUIVO DESLIZANTE ARTHCO</t>
  </si>
  <si>
    <t>05/05/2022</t>
  </si>
  <si>
    <t>APPLE MAC MINI M1; Z12N000G2; SERIAL H2WHK1PEQ6NY</t>
  </si>
  <si>
    <t>17/07/2022</t>
  </si>
  <si>
    <t>APPLE MAC MINI M1; Z12N000G2; SERIAL H2WHK1S4Q6NY</t>
  </si>
  <si>
    <t>FORNO MICRO-ONDAS ELECTROLUX, MODELO MTO30, 20L, 220V</t>
  </si>
  <si>
    <t>11/08/2022</t>
  </si>
  <si>
    <t>SMARTPHONE</t>
  </si>
  <si>
    <t>IPHONE 12 128GB MARCA APPLE</t>
  </si>
  <si>
    <t>08/09/2022</t>
  </si>
  <si>
    <t>IPHONE 13 PRO COR PRETA APPLE</t>
  </si>
  <si>
    <t>SOFTWARE IMOBILIZADO - SOFTWATRE CONCLUIDO</t>
  </si>
  <si>
    <t>SISTEMA DE EPC WEB</t>
  </si>
  <si>
    <t>SOFTWARE CONCLUÍDO</t>
  </si>
  <si>
    <t>30/12/2022</t>
  </si>
  <si>
    <t>SISTEMA DE REGISTRO</t>
  </si>
  <si>
    <t>CASSETE HIDRÔNICO 40HK</t>
  </si>
  <si>
    <t>31/01/2023</t>
  </si>
  <si>
    <t>SMART TV TCL 75P 4K GOOGLE TV WIFI COMANDO DE VOZ 75P735</t>
  </si>
  <si>
    <t>27/02/2023</t>
  </si>
  <si>
    <t>SUPORTE TV BEDIN SAT 14P A 85P PAREDE SEM INCLINICAÇÃO BU-23</t>
  </si>
  <si>
    <t>DELL OPTIPLEX 5000 SERIAL:348QKW3</t>
  </si>
  <si>
    <t>20/03/2023</t>
  </si>
  <si>
    <t>DELL OPTIPLEX 5000 SERIAL:148QKW3</t>
  </si>
  <si>
    <t>DELL OPTIPLEX 5000 SERIAL:948QKW3</t>
  </si>
  <si>
    <t>DELL OPTIPLEX 5000 SERIAL:848QKW3</t>
  </si>
  <si>
    <t>DELL OPTIPLEX 5000 SERIAL:648QKW3</t>
  </si>
  <si>
    <t>DELL OPTIPLEX 5000 SERIAL:748QKW3</t>
  </si>
  <si>
    <t>DELL OPTIPLEX 5000 SERIAL:C48QKW3</t>
  </si>
  <si>
    <t>DELL OPTIPLEX 5000 SERIAL:448QKW3</t>
  </si>
  <si>
    <t>DELL OPTIPLEX 5000 SERIAL:548QKW3</t>
  </si>
  <si>
    <t>DELL OPTIPLEX 5000 SERIAL:D48QKW3</t>
  </si>
  <si>
    <t>DELL OPTIPLEX 5000 SERIAL:248QKW3</t>
  </si>
  <si>
    <t>DELL OPTIPLEX 5000 SERIAL:H38QKW3</t>
  </si>
  <si>
    <t>DELL OPTIPLEX 5000 SERIAL:B48QKW3</t>
  </si>
  <si>
    <t>DELL OPTIPLEX 5000 SERIAL:J38QKW3</t>
  </si>
  <si>
    <t>DELL OPTIPLEX 5000 SERIAL:G48QKW3</t>
  </si>
  <si>
    <t>DELL OPTIPLEX 5000 SERIAL:</t>
  </si>
  <si>
    <t>DELL 24" P2422H SERIAL: FC3GZM3</t>
  </si>
  <si>
    <t>24/03/2023</t>
  </si>
  <si>
    <t>DELL 24" P2422H SERIAL: FJ5FZM3</t>
  </si>
  <si>
    <t>DELL 24" P2422H SERIAL: 3R5FZM3</t>
  </si>
  <si>
    <t>DELL 24" P2422H SERIAL: FJSGZM3</t>
  </si>
  <si>
    <t>DELL 24" P2422H SERIAL: 3TSGZM3</t>
  </si>
  <si>
    <t>DELL 24" P2422H SERIAL: 3Q0HZM3</t>
  </si>
  <si>
    <t>DELL 24" P2422H SERIAL: FDFFZM3</t>
  </si>
  <si>
    <t>DELL 24" P2422H SERIAL: FB6FZM3</t>
  </si>
  <si>
    <t>DELL 24" P2422H SERIAL: FCKGZM3</t>
  </si>
  <si>
    <t>DELL 24" P2422H SERIAL: FLBGZM3</t>
  </si>
  <si>
    <t>DELL 24" P2422H SERIAL: 3TMFZM3</t>
  </si>
  <si>
    <t>DELL 24" P2422H SERIAL: FL9DZM3</t>
  </si>
  <si>
    <t>DELL 24" P2422H SERIAL: 3TDFZM3</t>
  </si>
  <si>
    <t>PEDESTAL DE TV</t>
  </si>
  <si>
    <t>SUPORTE PEDESTAL COM RODAS PARA TVS 32 A 82 - A06V6_S ELG</t>
  </si>
  <si>
    <t>22/03/2023</t>
  </si>
  <si>
    <t>31/03/2023</t>
  </si>
  <si>
    <t>CHAVE ESTÁTICA</t>
  </si>
  <si>
    <t>TRANSFERÊNCIA AUTOMÁTICA ATS 20AH LOGMASTER</t>
  </si>
  <si>
    <t>14/03/2023</t>
  </si>
  <si>
    <t>CASSETE HIDRÔNICO 40HK25, CARRIER, TETO, 25000 BTU</t>
  </si>
  <si>
    <t>LENOVO THINKPAD E14 GEN 3 (AMD) 20YD0006BO SN:PE09LMWK</t>
  </si>
  <si>
    <t>22/05/2023</t>
  </si>
  <si>
    <t>LENOVO THINKPAD E14 GEN 3 (AMD) 20YD0006BO SN:PE09LM4Q</t>
  </si>
  <si>
    <t>LENOVO THINKPAD E14 GEN 3 (AMD) 20YD0006BO SN:PE09LMTH</t>
  </si>
  <si>
    <t>LENOVO THINKPAD E14 GEN 3 (AMD) 20YD0006BO SN:PE09LMTX</t>
  </si>
  <si>
    <t>LENOVO THINKPAD E14 GEN 3 (AMD) 20YD0006BO SN:PE09LMT4</t>
  </si>
  <si>
    <t>LENOVO THINKPAD E14 GEN 3 (AMD) 20YD0006BO SN:PE09LMVG</t>
  </si>
  <si>
    <t>LENOVO THINKPAD E14 GEN 3 (AMD) 20YD0006BO SN:PE09LMSV</t>
  </si>
  <si>
    <t>LENOVO THINKPAD E14 GEN 3 (AMD) 20YD0006BO SN:PE09LM6M</t>
  </si>
  <si>
    <t>LENOVO THINKPAD E14 GEN 3 (AMD) 20YD0006BO SN:PE09LM6Q</t>
  </si>
  <si>
    <t>LENOVO THINKPAD E14 GEN 3 (AMD) 20YD0006BO SN:PE09LM0J</t>
  </si>
  <si>
    <t>LENOVO THINKPAD E14 GEN 3 (AMD) 20YD0006BO SN:PE09LM7E</t>
  </si>
  <si>
    <t>LENOVO THINKPAD E14 GEN 3 (AMD) 20YD0006BO SN:PE09LMTM</t>
  </si>
  <si>
    <t>LENOVO THINKPAD E14 GEN 3 (AMD) 20YD0006BO SN:PE09LM8H</t>
  </si>
  <si>
    <t>LENOVO THINKPAD E14 GEN 3 (AMD) 20YD0006BO SN:PE09LMWE</t>
  </si>
  <si>
    <t>LENOVO THINKPAD E14 GEN 3 (AMD) 20YD0006BO SN:PE09LM59</t>
  </si>
  <si>
    <t>LENOVO THINKPAD E14 GEN 3 (AMD) 20YD0006BO SN:PE09LMSN</t>
  </si>
  <si>
    <t>LENOVO THINKPAD E14 GEN 3 (AMD) 20YD0006BO SN:PE09LM84</t>
  </si>
  <si>
    <t>LENOVO THINKPAD E14 GEN 3 (AMD) 20YD0006BO SN:PE09LM4J</t>
  </si>
  <si>
    <t>LENOVO THINKPAD E14 GEN 3 (AMD) 20YD0006BO SN:PE09LMWN</t>
  </si>
  <si>
    <t>LENOVO THINKPAD E14 GEN 3 (AMD) 20YD0006BO SN:PE09LMXJ</t>
  </si>
  <si>
    <t>LENOVO THINKPAD E14 GEN 3 (AMD) 20YD0006BO SN:PE09LMV0</t>
  </si>
  <si>
    <t>LENOVO THINKPAD E14 GEN 3 (AMD) 20YD0006BO SN:PE09LM5F</t>
  </si>
  <si>
    <t>LENOVO THINKPAD E14 GEN 3 (AMD) 20YD0006BO SN:PE09LM8M</t>
  </si>
  <si>
    <t>LENOVO THINKPAD E14 GEN 3 (AMD) 20YD0006BO SN:PE09LMTE</t>
  </si>
  <si>
    <t>LENOVO THINKPAD E14 GEN 3 (AMD) 20YD0006BO SN:PE09LMTD</t>
  </si>
  <si>
    <t>LENOVO THINKPAD E14 GEN 3 (AMD) 20YD0006BO SN:PE09LM76</t>
  </si>
  <si>
    <t>LENOVO THINKPAD E14 GEN 3 (AMD) 20YD0006BO SN:PE09LMWP</t>
  </si>
  <si>
    <t>LENOVO THINKPAD E14 GEN 3 (AMD) 20YD0006BO SN:PE09LM4E</t>
  </si>
  <si>
    <t>LENOVO THINKPAD E14 GEN 3 (AMD) 20YD0006BO SN:PE09LMQD</t>
  </si>
  <si>
    <t>LENOVO THINKPAD E14 GEN 3 (AMD) 20YD0006BO SN:PE09LMTP</t>
  </si>
  <si>
    <t>LENOVO THINKPAD E14 GEN 3 (AMD) 20YD0006BO SN:PE09LM8N</t>
  </si>
  <si>
    <t>LENOVO THINKPAD E14 GEN 3 (AMD) 20YD0006BO SN:PE09LMTC</t>
  </si>
  <si>
    <t>LENOVO THINKPAD E14 GEN 3 (AMD) 20YD0006BO SN:PE09LMV2</t>
  </si>
  <si>
    <t>LENOVO THINKPAD E14 GEN 3 (AMD) 20YD0006BO SN:PE09LM8F</t>
  </si>
  <si>
    <t>LENOVO THINKPAD E14 GEN 3 (AMD) 20YD0006BO SN:PE09LMSX</t>
  </si>
  <si>
    <t>LENOVO THINKPAD E14 GEN 3 (AMD) 20YD0006BO SN:PE09LMSQ</t>
  </si>
  <si>
    <t>LENOVO THINKPAD E14 GEN 3 (AMD) 20YD0006BO SN:PE09LMTN</t>
  </si>
  <si>
    <t>LENOVO THINKPAD E14 GEN 3 (AMD) 20YD0006BO SN:PE09LM6S</t>
  </si>
  <si>
    <t>LENOVO THINKPAD E14 GEN 3 (AMD) 20YD0006BO SN:PE09LMT0</t>
  </si>
  <si>
    <t>LENOVO THINKPAD E14 GEN 3 (AMD) 20YD0006BO SN:PE09LMT2</t>
  </si>
  <si>
    <t>ELETRÔNICA, LIDER, MOD. B530-LD1050, S/N: 114743</t>
  </si>
  <si>
    <t>21/06/2023</t>
  </si>
  <si>
    <t>ELETRÔNICA, LIDER, MOD. B530-LD1050, S/N: 114744</t>
  </si>
  <si>
    <t>SAMSUNG GALAXY M53 5G AZUL 128GB - IMEI 352826/83/155028/2</t>
  </si>
  <si>
    <t>22/06/2023</t>
  </si>
  <si>
    <t>SAMSUNG GALAXY M53 5G AZUL 128GB - IMEI 352826/83/158259/0</t>
  </si>
  <si>
    <t>BEHRINGER X32 CONSOLE DIGITAL - 32 CANAIS</t>
  </si>
  <si>
    <t>13/07/2023</t>
  </si>
  <si>
    <t>CAIXA DE SOM</t>
  </si>
  <si>
    <t>KSR PRO K1 15 POLEGADAS 1000W RMS ATIVA</t>
  </si>
  <si>
    <t xml:space="preserve"> LICENÇAS DE USO DA SOLUÇÃO DE SEGURANÇA ANTIVÍRUS KASPERSKY</t>
  </si>
  <si>
    <t>02/10/2023</t>
  </si>
  <si>
    <t>MULTILASER MN801 23,8" WIDESCREEN SN: 1MN235O18200155</t>
  </si>
  <si>
    <t>06/11/2023</t>
  </si>
  <si>
    <t>MULTILASER MN801 23,8" WIDESCREEN SN: 1MN236T19200022</t>
  </si>
  <si>
    <t>MULTILASER MN801 23,8" WIDESCREEN SN: 1MN235O18200138</t>
  </si>
  <si>
    <t>MULTILASER MN801 23,8" WIDESCREEN SN: 1MN236T19200118</t>
  </si>
  <si>
    <t>MULTILASER MN801 23,8" WIDESCREEN SN: 1MN235O18200159</t>
  </si>
  <si>
    <t>MULTILASER MN801 23,8" WIDESCREEN SN: 1MN236T19200114</t>
  </si>
  <si>
    <t>MULTILASER MN801 23,8" WIDESCREEN SN: 1MN235O18200162</t>
  </si>
  <si>
    <t>MULTILASER MN801 23,8" WIDESCREEN SN: 1MN235O18200136</t>
  </si>
  <si>
    <t>MULTILASER MN801 23,8" WIDESCREEN SN: 1MN235O18200120</t>
  </si>
  <si>
    <t>MULTILASER MN801 23,8" WIDESCREEN SN: 1MN235O18200137</t>
  </si>
  <si>
    <t>MULTILASER MN801 23,8" WIDESCREEN SN: 1MN235O18200134</t>
  </si>
  <si>
    <t>MULTILASER MN801 23,8" WIDESCREEN SN: 1MN235O18200119</t>
  </si>
  <si>
    <t>MULTILASER MN801 23,8" WIDESCREEN SN: 1MN236T19200095</t>
  </si>
  <si>
    <t>MULTILASER MN801 23,8" WIDESCREEN SN: 1MN236T19200024</t>
  </si>
  <si>
    <t>MULTILASER MN801 23,8" WIDESCREEN SN: 1MN236T19200127</t>
  </si>
  <si>
    <t>MULTILASER MN801 23,8" WIDESCREEN SN: 1MN235O18200157</t>
  </si>
  <si>
    <t>MULTILASER MN801 23,8" WIDESCREEN SN: 1MN236T19200056</t>
  </si>
  <si>
    <t>MULTILASER MN801 23,8" WIDESCREEN SN: 1MN235O18200152</t>
  </si>
  <si>
    <t>MULTILASER MN801 23,8" WIDESCREEN SN: 1MN235O18200139</t>
  </si>
  <si>
    <t>MULTILASER MN801 23,8" WIDESCREEN SN: 1MN236T12100022</t>
  </si>
  <si>
    <t>MULTILASER MN801 23,8" WIDESCREEN SN: 1MN235O18200124</t>
  </si>
  <si>
    <t>MULTILASER MN801 23,8" WIDESCREEN SN: 1MN235O18200125</t>
  </si>
  <si>
    <t>MULTILASER MN801 23,8" WIDESCREEN SN: 1MN235O18200140</t>
  </si>
  <si>
    <t>MULTILASER MN801 23,8" WIDESCREEN SN: 1MN236T19200119</t>
  </si>
  <si>
    <t>MULTILASER MN801 23,8" WIDESCREEN SN: 1MN235O18200118</t>
  </si>
  <si>
    <t>MULTILASER MN801 23,8" WIDESCREEN SN: 1MN236T12100549</t>
  </si>
  <si>
    <t>MULTILASER MN801 23,8" WIDESCREEN SN: 1MN235O18200131</t>
  </si>
  <si>
    <t>MULTILASER MN801 23,8" WIDESCREEN SN: 1MN235O18200135</t>
  </si>
  <si>
    <t>MULTILASER MN801 23,8" WIDESCREEN SN: 1MN235O18200158</t>
  </si>
  <si>
    <t>MULTILASER MN801 23,8" WIDESCREEN SN: 1MN236T19200140</t>
  </si>
  <si>
    <t>ADOBE ACROBAT PRO/VIP DC</t>
  </si>
  <si>
    <t>01/12/2023</t>
  </si>
  <si>
    <t>AUTODESK REVIT PARA BIM</t>
  </si>
  <si>
    <t>CHILLER</t>
  </si>
  <si>
    <t>CHILLER SCREW/PARAFUSO DE 110TR - 380V/3PH - HITACHI</t>
  </si>
  <si>
    <t>ACESSO / PORTAL</t>
  </si>
  <si>
    <t>DECORE</t>
  </si>
  <si>
    <t>CNPC</t>
  </si>
  <si>
    <t>MICROSOFT OFFICE 365 E3</t>
  </si>
  <si>
    <t>TERRENO 800 M2 SAUS QD 5, LOTE 1-A, ASA SUL, BRASÍLIA-DF</t>
  </si>
  <si>
    <t>11/12/2023</t>
  </si>
  <si>
    <t>ADOBE PRO DC</t>
  </si>
  <si>
    <t>TCL SPLIT PISO-TETO / INVERTER TCL - TAC-36CSA/CF-INV</t>
  </si>
  <si>
    <t>20/12/2023</t>
  </si>
  <si>
    <t>PHILCO PAC36000IPFM5 ECO INVERTER CICLO FRIO</t>
  </si>
  <si>
    <t>OFFICEJET MOBILE HP 200 CZ993A - SN: TH34LBT1X2</t>
  </si>
  <si>
    <t>09/01/2024</t>
  </si>
  <si>
    <t>OFFICEJET MOBILE HP 200 CZ993A - SN: TH34LBT1VM</t>
  </si>
  <si>
    <t>OFFICEJET MOBILE HP 200 CZ993A - SN: TH34LBT1WM</t>
  </si>
  <si>
    <t>OFFICEJET MOBILE HP 200 CZ993A - SN: TH34LBT1XG</t>
  </si>
  <si>
    <t>OFFICE 365 ENTERPRISE 3 (E3)</t>
  </si>
  <si>
    <t>03/02/2024</t>
  </si>
  <si>
    <t>IPHONE 14 128GB MEIA NOITE</t>
  </si>
  <si>
    <t>08/05/2024</t>
  </si>
  <si>
    <t>SAMSUNG GALAXY S23 ULTRA 5G 512GB, COR PRETO</t>
  </si>
  <si>
    <t>HITACHI TROCADOR DE CALOR ÁGUA GELADA</t>
  </si>
  <si>
    <t>21/05/2024</t>
  </si>
  <si>
    <t>IPHONE 15 PRO MAX 1TB - SERIAL JHG0GY4L5Q</t>
  </si>
  <si>
    <t>13/06/2024</t>
  </si>
  <si>
    <t>IPHONE 15 PRO MAX 1TB - SERIAL MH6NQ4YPXK</t>
  </si>
  <si>
    <t>DELL LATITUDE 3550 - SN 8SK6J54</t>
  </si>
  <si>
    <t>03/09/2024</t>
  </si>
  <si>
    <t>DELL LATITUDE 3550 - SN 3SK6J54</t>
  </si>
  <si>
    <t>DELL LATITUDE 3550 - SN 9SK6J54</t>
  </si>
  <si>
    <t>DELL LATITUDE 3550 - SN HSK6J54</t>
  </si>
  <si>
    <t>DELL LATITUDE 3550 - SN GSK6J54</t>
  </si>
  <si>
    <t>DELL LATITUDE 3550 - SN 5SK6J54</t>
  </si>
  <si>
    <t>DELL LATITUDE 3550 - SN 6SK6J54</t>
  </si>
  <si>
    <t>DELL LATITUDE 3550 - SN FSK6J54</t>
  </si>
  <si>
    <t>DELL LATITUDE 3550 - SN DSK6J54</t>
  </si>
  <si>
    <t>DELL LATITUDE 3550 - SN 7SK6J54</t>
  </si>
  <si>
    <t>DELL LATITUDE 3550 - SN BSK6J54</t>
  </si>
  <si>
    <t>DELL LATITUDE 3550 -  SN CSK6J54</t>
  </si>
  <si>
    <t>DELL LATITUDE 3550 - SN 4SK6J54</t>
  </si>
  <si>
    <t>DELL P242H SN: 74NZ214</t>
  </si>
  <si>
    <t>DELL P242H SN: 7VNZ214</t>
  </si>
  <si>
    <t>DELL WORKSTATION PRECISION 3680 SN FRV5J54</t>
  </si>
  <si>
    <t>DELL WORKSTATION PRECISION 3680 SN DRV5J54</t>
  </si>
  <si>
    <t>ELITEBOOK 640 G10 SN: BRJ419GWCG</t>
  </si>
  <si>
    <t>19/11/2024</t>
  </si>
  <si>
    <t>ELITEBOOK 640 G10 SN: BRJ419GVMB</t>
  </si>
  <si>
    <t>ELITEBOOK 640 G10 SN: BRJ419GW07</t>
  </si>
  <si>
    <t>ELITEBOOK 640 G10 SN: BRJ419GWFV</t>
  </si>
  <si>
    <t>ELITEBOOK 640 G10 SN: BRJ419GWHB</t>
  </si>
  <si>
    <t>ELITEBOOK 640 G10 SN: BRJ419GWDM</t>
  </si>
  <si>
    <t>ELITEBOOK 640 G10 SN: BRJ419GWCW</t>
  </si>
  <si>
    <t>ELITEBOOK 640 G10 SN: BRJ419GWDC</t>
  </si>
  <si>
    <t>ELITEBOOK 640 G10 SN: BRJ419GWCN</t>
  </si>
  <si>
    <t>ELITEBOOK 640 G10 SN: BRJ419GVV0</t>
  </si>
  <si>
    <t>ELITEBOOK 640 G10 SN: BRJ419GWD3</t>
  </si>
  <si>
    <t>ELITEBOOK 640 G10 SN: BRJ419GVST</t>
  </si>
  <si>
    <t>HEADSET AURICULAR P2/P10 PRETO HM20 COM FIO</t>
  </si>
  <si>
    <t>02/12/2024</t>
  </si>
  <si>
    <t>TRANSMISSOR FM DIGITAL</t>
  </si>
  <si>
    <t>RECEPTOR DIGITAL PARA TRADUÇÃO SIMULTÂNEA</t>
  </si>
  <si>
    <t>DOBRAVEL ROBUST 180M NTK</t>
  </si>
  <si>
    <t>29/01/2025</t>
  </si>
  <si>
    <t>17/02/2025</t>
  </si>
  <si>
    <t>CONTAINER PARA COLETA DE LIXO PADRÃO SLU</t>
  </si>
  <si>
    <t>21/02/2025</t>
  </si>
  <si>
    <t>CONTAINER PARA LAMPADAS FLUORESCENTES METAGREEN</t>
  </si>
  <si>
    <t>BAOFENG TWO-WAY RADIO - BF-777S</t>
  </si>
  <si>
    <t>14/03/2025</t>
  </si>
  <si>
    <t>PLATAFORMA SIMPLES 3 POSIÇÕES - 1500 X 600 X 740MM</t>
  </si>
  <si>
    <t>24/03/2025</t>
  </si>
  <si>
    <t>PLATAFORMA DUPLA PARA 6 POSIÇÕES - 1360 X 1360 X 740MM</t>
  </si>
  <si>
    <t>PLATAFORMA DUPLA PARA 6 POSIÇÕES - 1360X1360X740MM</t>
  </si>
  <si>
    <t>PLATAFORMA DUPLA PARA 8 POSIÇÕES - 1360 X 1360 X 740MM</t>
  </si>
  <si>
    <t>PLATAFORMA DUPLA PARA 10 POSIÇÕES - 1360 X 1360 X 740MM</t>
  </si>
  <si>
    <t>PLATAFORMA DUPLA PARA 6 POSIÇÕES - 1200 X 1200 X 740MM</t>
  </si>
  <si>
    <t>REUNIAO RETANGULAR - 2000 X 1000 X 740MM</t>
  </si>
  <si>
    <t>LOCKER COM 10 PORTAS - 800 X 500  X 1950MM</t>
  </si>
  <si>
    <t>GERENCIA COM ARMARIO DE APOIO - 1800 X 1600 X 740MM</t>
  </si>
  <si>
    <t>VOLANTE COM 3 GAVETAS. COR OVO. 410 X 450 X 503MM</t>
  </si>
  <si>
    <t>DE CODIGO DE BARRAS EYOYO EY-015</t>
  </si>
  <si>
    <t>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</si>
</sst>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8" x14ac:knownFonts="1">
    <font>
      <sz val="11"/>
      <color theme="1"/>
      <name val="Calibri"/>
      <family val="2"/>
      <scheme val="minor"/>
    </font>
    <font>
      <sz val="9.75"/>
      <color rgb="FFFFFFFF"/>
      <name val="Times New Roman"/>
      <family val="2"/>
    </font>
    <font>
      <sz val="9.75"/>
      <color rgb="FF000000"/>
      <name val="Times New Roman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1" applyBorder="1"/>
    <xf numFmtId="0" fontId="3" fillId="0" borderId="1" xfId="2" applyBorder="1"/>
    <xf numFmtId="49" fontId="2" fillId="0" borderId="0" xfId="0" applyNumberFormat="1" applyFont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left" vertical="center" wrapText="1"/>
    </xf>
  </cellXfs>
  <cellStyles count="3">
    <cellStyle name="Hiperlink" xfId="2" builtinId="8"/>
    <cellStyle name="Hiperlink 2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808080"/>
      <rgbColor rgb="00A9A9A9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dmello@cfc.org.br" TargetMode="External"/><Relationship Id="rId13" Type="http://schemas.openxmlformats.org/officeDocument/2006/relationships/hyperlink" Target="mailto:ruialexandre@cfc.org.br" TargetMode="External"/><Relationship Id="rId18" Type="http://schemas.openxmlformats.org/officeDocument/2006/relationships/hyperlink" Target="mailto:luciafigueiredo@cfc.org.br" TargetMode="External"/><Relationship Id="rId26" Type="http://schemas.openxmlformats.org/officeDocument/2006/relationships/hyperlink" Target="mailto:cristeixeira@cfc.org.br" TargetMode="External"/><Relationship Id="rId3" Type="http://schemas.openxmlformats.org/officeDocument/2006/relationships/hyperlink" Target="mailto:janaina.carvalho@cfc.org.br" TargetMode="External"/><Relationship Id="rId21" Type="http://schemas.openxmlformats.org/officeDocument/2006/relationships/hyperlink" Target="mailto:rafaella@cfc.org.br" TargetMode="External"/><Relationship Id="rId7" Type="http://schemas.openxmlformats.org/officeDocument/2006/relationships/hyperlink" Target="mailto:paularocha@cfc.org.br" TargetMode="External"/><Relationship Id="rId12" Type="http://schemas.openxmlformats.org/officeDocument/2006/relationships/hyperlink" Target="mailto:layana.campos@cfc.org.br" TargetMode="External"/><Relationship Id="rId17" Type="http://schemas.openxmlformats.org/officeDocument/2006/relationships/hyperlink" Target="mailto:janaina.b@cfc.org.br" TargetMode="External"/><Relationship Id="rId25" Type="http://schemas.openxmlformats.org/officeDocument/2006/relationships/hyperlink" Target="mailto:rogerio.r@cfc.org.br" TargetMode="External"/><Relationship Id="rId2" Type="http://schemas.openxmlformats.org/officeDocument/2006/relationships/hyperlink" Target="mailto:crbuzzin@cfc.org.br" TargetMode="External"/><Relationship Id="rId16" Type="http://schemas.openxmlformats.org/officeDocument/2006/relationships/hyperlink" Target="mailto:antonio.junior@cfc.org.br" TargetMode="External"/><Relationship Id="rId20" Type="http://schemas.openxmlformats.org/officeDocument/2006/relationships/hyperlink" Target="mailto:gilsoncastro@cfc.org.br" TargetMode="External"/><Relationship Id="rId29" Type="http://schemas.openxmlformats.org/officeDocument/2006/relationships/hyperlink" Target="mailto:adrianaguimaraes@cfc.org.br" TargetMode="External"/><Relationship Id="rId1" Type="http://schemas.openxmlformats.org/officeDocument/2006/relationships/hyperlink" Target="mailto:jaqueline.elmiro@cfc.org.br" TargetMode="External"/><Relationship Id="rId6" Type="http://schemas.openxmlformats.org/officeDocument/2006/relationships/hyperlink" Target="mailto:franciele@cfc.org.br" TargetMode="External"/><Relationship Id="rId11" Type="http://schemas.openxmlformats.org/officeDocument/2006/relationships/hyperlink" Target="mailto:daniel.guerra@cfc.org.br" TargetMode="External"/><Relationship Id="rId24" Type="http://schemas.openxmlformats.org/officeDocument/2006/relationships/hyperlink" Target="mailto:bruno.gomes@cfc.org.br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mailto:eunice@cfc.org.br" TargetMode="External"/><Relationship Id="rId15" Type="http://schemas.openxmlformats.org/officeDocument/2006/relationships/hyperlink" Target="mailto:giselisouza@cfc.org.br" TargetMode="External"/><Relationship Id="rId23" Type="http://schemas.openxmlformats.org/officeDocument/2006/relationships/hyperlink" Target="mailto:julianemachado@cfc.org.br" TargetMode="External"/><Relationship Id="rId28" Type="http://schemas.openxmlformats.org/officeDocument/2006/relationships/hyperlink" Target="mailto:ricardo.carvalho@cfc.org.br" TargetMode="External"/><Relationship Id="rId10" Type="http://schemas.openxmlformats.org/officeDocument/2006/relationships/hyperlink" Target="mailto:thiago.gomes@cfc.org.br" TargetMode="External"/><Relationship Id="rId19" Type="http://schemas.openxmlformats.org/officeDocument/2006/relationships/hyperlink" Target="mailto:rodrigomagalhaes@cfc.org.br" TargetMode="External"/><Relationship Id="rId31" Type="http://schemas.openxmlformats.org/officeDocument/2006/relationships/hyperlink" Target="mailto:elys.tevania@cfc.org.br" TargetMode="External"/><Relationship Id="rId4" Type="http://schemas.openxmlformats.org/officeDocument/2006/relationships/hyperlink" Target="mailto:andrearosa@cfc.org.br" TargetMode="External"/><Relationship Id="rId9" Type="http://schemas.openxmlformats.org/officeDocument/2006/relationships/hyperlink" Target="mailto:edsonrodrigues@cfc.org.br" TargetMode="External"/><Relationship Id="rId14" Type="http://schemas.openxmlformats.org/officeDocument/2006/relationships/hyperlink" Target="mailto:wesley@cfc.org.br" TargetMode="External"/><Relationship Id="rId22" Type="http://schemas.openxmlformats.org/officeDocument/2006/relationships/hyperlink" Target="mailto:fabriciosantos@cfc.org.br" TargetMode="External"/><Relationship Id="rId27" Type="http://schemas.openxmlformats.org/officeDocument/2006/relationships/hyperlink" Target="mailto:angela.fazion@cfc.org.br" TargetMode="External"/><Relationship Id="rId30" Type="http://schemas.openxmlformats.org/officeDocument/2006/relationships/hyperlink" Target="mailto:adrianaguimaraes@cfc.or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/>
    <pageSetUpPr fitToPage="1"/>
  </sheetPr>
  <dimension ref="A1:J3157"/>
  <sheetViews>
    <sheetView tabSelected="1" workbookViewId="0">
      <selection activeCell="A2" sqref="A2:I3157"/>
    </sheetView>
  </sheetViews>
  <sheetFormatPr defaultRowHeight="15" x14ac:dyDescent="0.25"/>
  <cols>
    <col min="1" max="1" width="11" customWidth="1"/>
    <col min="2" max="2" width="11.85546875" customWidth="1"/>
    <col min="3" max="3" width="28.28515625" customWidth="1"/>
    <col min="4" max="4" width="29" customWidth="1"/>
    <col min="5" max="5" width="27.42578125" customWidth="1"/>
    <col min="6" max="6" width="28.140625" bestFit="1" customWidth="1"/>
    <col min="7" max="7" width="9.140625" customWidth="1"/>
    <col min="8" max="9" width="11.5703125" customWidth="1"/>
    <col min="10" max="10" width="16" style="6" customWidth="1"/>
  </cols>
  <sheetData>
    <row r="1" spans="1:10" ht="35.25" customHeight="1" x14ac:dyDescent="0.25">
      <c r="A1" s="1" t="s">
        <v>146</v>
      </c>
      <c r="B1" s="1" t="s">
        <v>145</v>
      </c>
      <c r="C1" s="1" t="s">
        <v>144</v>
      </c>
      <c r="D1" s="1" t="s">
        <v>143</v>
      </c>
      <c r="E1" s="1" t="s">
        <v>151</v>
      </c>
      <c r="F1" s="1" t="s">
        <v>139</v>
      </c>
      <c r="G1" s="1" t="s">
        <v>152</v>
      </c>
      <c r="H1" s="1" t="s">
        <v>153</v>
      </c>
      <c r="I1" s="1" t="s">
        <v>154</v>
      </c>
      <c r="J1" s="1" t="s">
        <v>138</v>
      </c>
    </row>
    <row r="2" spans="1:10" ht="25.5" customHeight="1" x14ac:dyDescent="0.25">
      <c r="A2" s="14">
        <v>10001</v>
      </c>
      <c r="B2" s="7" t="s">
        <v>236</v>
      </c>
      <c r="C2" s="7" t="s">
        <v>237</v>
      </c>
      <c r="D2" s="7" t="s">
        <v>238</v>
      </c>
      <c r="E2" s="7" t="s">
        <v>239</v>
      </c>
      <c r="F2" s="7" t="s">
        <v>11</v>
      </c>
      <c r="G2" s="7" t="s">
        <v>240</v>
      </c>
      <c r="H2" s="15">
        <v>75.94</v>
      </c>
      <c r="I2" s="15">
        <v>64.540000000000006</v>
      </c>
      <c r="J2" s="7" t="str">
        <f>IFERROR(_xlfn.XLOOKUP(F2,ccustos!A:A,ccustos!B:B),"Sem termo")</f>
        <v>DEINFRA</v>
      </c>
    </row>
    <row r="3" spans="1:10" ht="25.5" customHeight="1" x14ac:dyDescent="0.25">
      <c r="A3" s="16">
        <v>10002</v>
      </c>
      <c r="B3" s="17" t="s">
        <v>236</v>
      </c>
      <c r="C3" s="17" t="s">
        <v>241</v>
      </c>
      <c r="D3" s="17" t="s">
        <v>242</v>
      </c>
      <c r="E3" s="17" t="s">
        <v>239</v>
      </c>
      <c r="F3" s="17" t="s">
        <v>11</v>
      </c>
      <c r="G3" s="17" t="s">
        <v>243</v>
      </c>
      <c r="H3" s="18">
        <v>0.1</v>
      </c>
      <c r="I3" s="18">
        <v>424.03</v>
      </c>
      <c r="J3" s="7" t="str">
        <f>IFERROR(_xlfn.XLOOKUP(F3,ccustos!A:A,ccustos!B:B),"Sem termo")</f>
        <v>DEINFRA</v>
      </c>
    </row>
    <row r="4" spans="1:10" ht="25.5" customHeight="1" x14ac:dyDescent="0.25">
      <c r="A4" s="14">
        <v>10003</v>
      </c>
      <c r="B4" s="7" t="s">
        <v>236</v>
      </c>
      <c r="C4" s="7" t="s">
        <v>237</v>
      </c>
      <c r="D4" s="7" t="s">
        <v>238</v>
      </c>
      <c r="E4" s="7" t="s">
        <v>239</v>
      </c>
      <c r="F4" s="7" t="s">
        <v>11</v>
      </c>
      <c r="G4" s="7" t="s">
        <v>244</v>
      </c>
      <c r="H4" s="15">
        <v>0.01</v>
      </c>
      <c r="I4" s="15">
        <v>86.06</v>
      </c>
      <c r="J4" s="7" t="str">
        <f>IFERROR(_xlfn.XLOOKUP(F4,ccustos!A:A,ccustos!B:B),"Sem termo")</f>
        <v>DEINFRA</v>
      </c>
    </row>
    <row r="5" spans="1:10" ht="25.5" customHeight="1" x14ac:dyDescent="0.25">
      <c r="A5" s="16">
        <v>10004</v>
      </c>
      <c r="B5" s="17" t="s">
        <v>236</v>
      </c>
      <c r="C5" s="17" t="s">
        <v>237</v>
      </c>
      <c r="D5" s="17" t="s">
        <v>245</v>
      </c>
      <c r="E5" s="17" t="s">
        <v>239</v>
      </c>
      <c r="F5" s="17" t="s">
        <v>12</v>
      </c>
      <c r="G5" s="17" t="s">
        <v>246</v>
      </c>
      <c r="H5" s="18">
        <v>158.36000000000001</v>
      </c>
      <c r="I5" s="18">
        <v>173.7</v>
      </c>
      <c r="J5" s="7" t="str">
        <f>IFERROR(_xlfn.XLOOKUP(F5,ccustos!A:A,ccustos!B:B),"Sem termo")</f>
        <v>SEPAT</v>
      </c>
    </row>
    <row r="6" spans="1:10" ht="25.5" customHeight="1" x14ac:dyDescent="0.25">
      <c r="A6" s="14">
        <v>10007</v>
      </c>
      <c r="B6" s="7" t="s">
        <v>236</v>
      </c>
      <c r="C6" s="7" t="s">
        <v>237</v>
      </c>
      <c r="D6" s="7" t="s">
        <v>247</v>
      </c>
      <c r="E6" s="7" t="s">
        <v>239</v>
      </c>
      <c r="F6" s="7" t="s">
        <v>0</v>
      </c>
      <c r="G6" s="7" t="s">
        <v>246</v>
      </c>
      <c r="H6" s="15">
        <v>158.36000000000001</v>
      </c>
      <c r="I6" s="15">
        <v>173.7</v>
      </c>
      <c r="J6" s="7" t="str">
        <f>IFERROR(_xlfn.XLOOKUP(F6,ccustos!A:A,ccustos!B:B),"Sem termo")</f>
        <v>SEPAT</v>
      </c>
    </row>
    <row r="7" spans="1:10" ht="36.75" customHeight="1" x14ac:dyDescent="0.25">
      <c r="A7" s="16">
        <v>10036</v>
      </c>
      <c r="B7" s="17" t="s">
        <v>236</v>
      </c>
      <c r="C7" s="17" t="s">
        <v>237</v>
      </c>
      <c r="D7" s="17" t="s">
        <v>247</v>
      </c>
      <c r="E7" s="17" t="s">
        <v>239</v>
      </c>
      <c r="F7" s="17" t="s">
        <v>0</v>
      </c>
      <c r="G7" s="17" t="s">
        <v>246</v>
      </c>
      <c r="H7" s="18">
        <v>158.36000000000001</v>
      </c>
      <c r="I7" s="18">
        <v>173.7</v>
      </c>
      <c r="J7" s="7" t="str">
        <f>IFERROR(_xlfn.XLOOKUP(F7,ccustos!A:A,ccustos!B:B),"Sem termo")</f>
        <v>SEPAT</v>
      </c>
    </row>
    <row r="8" spans="1:10" ht="25.5" customHeight="1" x14ac:dyDescent="0.25">
      <c r="A8" s="14">
        <v>10041</v>
      </c>
      <c r="B8" s="7" t="s">
        <v>236</v>
      </c>
      <c r="C8" s="7" t="s">
        <v>248</v>
      </c>
      <c r="D8" s="7" t="s">
        <v>249</v>
      </c>
      <c r="E8" s="7" t="s">
        <v>250</v>
      </c>
      <c r="F8" s="7" t="s">
        <v>14</v>
      </c>
      <c r="G8" s="7" t="s">
        <v>251</v>
      </c>
      <c r="H8" s="15">
        <v>1300</v>
      </c>
      <c r="I8" s="15">
        <v>640.28</v>
      </c>
      <c r="J8" s="7" t="str">
        <f>IFERROR(_xlfn.XLOOKUP(F8,ccustos!A:A,ccustos!B:B),"Sem termo")</f>
        <v>SEPAT</v>
      </c>
    </row>
    <row r="9" spans="1:10" ht="36.75" customHeight="1" x14ac:dyDescent="0.25">
      <c r="A9" s="16">
        <v>10043</v>
      </c>
      <c r="B9" s="17" t="s">
        <v>236</v>
      </c>
      <c r="C9" s="17" t="s">
        <v>248</v>
      </c>
      <c r="D9" s="17" t="s">
        <v>252</v>
      </c>
      <c r="E9" s="17" t="s">
        <v>250</v>
      </c>
      <c r="F9" s="17" t="s">
        <v>14</v>
      </c>
      <c r="G9" s="17" t="s">
        <v>253</v>
      </c>
      <c r="H9" s="18">
        <v>528.29</v>
      </c>
      <c r="I9" s="18">
        <v>350.38</v>
      </c>
      <c r="J9" s="7" t="str">
        <f>IFERROR(_xlfn.XLOOKUP(F9,ccustos!A:A,ccustos!B:B),"Sem termo")</f>
        <v>SEPAT</v>
      </c>
    </row>
    <row r="10" spans="1:10" ht="25.5" customHeight="1" x14ac:dyDescent="0.25">
      <c r="A10" s="14">
        <v>10044</v>
      </c>
      <c r="B10" s="7" t="s">
        <v>236</v>
      </c>
      <c r="C10" s="7" t="s">
        <v>254</v>
      </c>
      <c r="D10" s="7" t="s">
        <v>255</v>
      </c>
      <c r="E10" s="7" t="s">
        <v>250</v>
      </c>
      <c r="F10" s="7" t="s">
        <v>256</v>
      </c>
      <c r="G10" s="7" t="s">
        <v>257</v>
      </c>
      <c r="H10" s="15">
        <v>624</v>
      </c>
      <c r="I10" s="15">
        <v>640.28</v>
      </c>
      <c r="J10" s="7" t="str">
        <f>IFERROR(_xlfn.XLOOKUP(F10,ccustos!A:A,ccustos!B:B),"Sem termo")</f>
        <v>Sem termo</v>
      </c>
    </row>
    <row r="11" spans="1:10" ht="36.75" customHeight="1" x14ac:dyDescent="0.25">
      <c r="A11" s="16">
        <v>10045</v>
      </c>
      <c r="B11" s="17" t="s">
        <v>236</v>
      </c>
      <c r="C11" s="17" t="s">
        <v>254</v>
      </c>
      <c r="D11" s="17" t="s">
        <v>258</v>
      </c>
      <c r="E11" s="17" t="s">
        <v>250</v>
      </c>
      <c r="F11" s="17" t="s">
        <v>14</v>
      </c>
      <c r="G11" s="17" t="s">
        <v>257</v>
      </c>
      <c r="H11" s="18">
        <v>1440</v>
      </c>
      <c r="I11" s="18">
        <v>581.96</v>
      </c>
      <c r="J11" s="7" t="str">
        <f>IFERROR(_xlfn.XLOOKUP(F11,ccustos!A:A,ccustos!B:B),"Sem termo")</f>
        <v>SEPAT</v>
      </c>
    </row>
    <row r="12" spans="1:10" ht="38.25" x14ac:dyDescent="0.25">
      <c r="A12" s="14">
        <v>10046</v>
      </c>
      <c r="B12" s="7" t="s">
        <v>236</v>
      </c>
      <c r="C12" s="7" t="s">
        <v>259</v>
      </c>
      <c r="D12" s="7" t="s">
        <v>260</v>
      </c>
      <c r="E12" s="7" t="s">
        <v>250</v>
      </c>
      <c r="F12" s="7" t="s">
        <v>14</v>
      </c>
      <c r="G12" s="7" t="s">
        <v>257</v>
      </c>
      <c r="H12" s="15">
        <v>1120</v>
      </c>
      <c r="I12" s="15">
        <v>452.64</v>
      </c>
      <c r="J12" s="7" t="str">
        <f>IFERROR(_xlfn.XLOOKUP(F12,ccustos!A:A,ccustos!B:B),"Sem termo")</f>
        <v>SEPAT</v>
      </c>
    </row>
    <row r="13" spans="1:10" ht="25.5" customHeight="1" x14ac:dyDescent="0.25">
      <c r="A13" s="16">
        <v>10047</v>
      </c>
      <c r="B13" s="17" t="s">
        <v>236</v>
      </c>
      <c r="C13" s="17" t="s">
        <v>248</v>
      </c>
      <c r="D13" s="17" t="s">
        <v>261</v>
      </c>
      <c r="E13" s="17" t="s">
        <v>250</v>
      </c>
      <c r="F13" s="17" t="s">
        <v>14</v>
      </c>
      <c r="G13" s="17" t="s">
        <v>262</v>
      </c>
      <c r="H13" s="18">
        <v>667</v>
      </c>
      <c r="I13" s="18">
        <v>350.38</v>
      </c>
      <c r="J13" s="7" t="str">
        <f>IFERROR(_xlfn.XLOOKUP(F13,ccustos!A:A,ccustos!B:B),"Sem termo")</f>
        <v>SEPAT</v>
      </c>
    </row>
    <row r="14" spans="1:10" ht="36.75" customHeight="1" x14ac:dyDescent="0.25">
      <c r="A14" s="14">
        <v>10048</v>
      </c>
      <c r="B14" s="7" t="s">
        <v>236</v>
      </c>
      <c r="C14" s="7" t="s">
        <v>254</v>
      </c>
      <c r="D14" s="7" t="s">
        <v>263</v>
      </c>
      <c r="E14" s="7" t="s">
        <v>250</v>
      </c>
      <c r="F14" s="7" t="s">
        <v>14</v>
      </c>
      <c r="G14" s="7" t="s">
        <v>257</v>
      </c>
      <c r="H14" s="15">
        <v>960</v>
      </c>
      <c r="I14" s="15">
        <v>640.28</v>
      </c>
      <c r="J14" s="7" t="str">
        <f>IFERROR(_xlfn.XLOOKUP(F14,ccustos!A:A,ccustos!B:B),"Sem termo")</f>
        <v>SEPAT</v>
      </c>
    </row>
    <row r="15" spans="1:10" ht="25.5" customHeight="1" x14ac:dyDescent="0.25">
      <c r="A15" s="16">
        <v>10049</v>
      </c>
      <c r="B15" s="17" t="s">
        <v>236</v>
      </c>
      <c r="C15" s="17" t="s">
        <v>248</v>
      </c>
      <c r="D15" s="17" t="s">
        <v>264</v>
      </c>
      <c r="E15" s="17" t="s">
        <v>250</v>
      </c>
      <c r="F15" s="17" t="s">
        <v>14</v>
      </c>
      <c r="G15" s="17" t="s">
        <v>265</v>
      </c>
      <c r="H15" s="18">
        <v>478.87</v>
      </c>
      <c r="I15" s="18">
        <v>350.38</v>
      </c>
      <c r="J15" s="7" t="str">
        <f>IFERROR(_xlfn.XLOOKUP(F15,ccustos!A:A,ccustos!B:B),"Sem termo")</f>
        <v>SEPAT</v>
      </c>
    </row>
    <row r="16" spans="1:10" ht="36.75" customHeight="1" x14ac:dyDescent="0.25">
      <c r="A16" s="14">
        <v>10050</v>
      </c>
      <c r="B16" s="7" t="s">
        <v>236</v>
      </c>
      <c r="C16" s="7" t="s">
        <v>248</v>
      </c>
      <c r="D16" s="7" t="s">
        <v>266</v>
      </c>
      <c r="E16" s="7" t="s">
        <v>250</v>
      </c>
      <c r="F16" s="7" t="s">
        <v>14</v>
      </c>
      <c r="G16" s="7" t="s">
        <v>267</v>
      </c>
      <c r="H16" s="15">
        <v>140057.72</v>
      </c>
      <c r="I16" s="15">
        <v>800</v>
      </c>
      <c r="J16" s="7" t="str">
        <f>IFERROR(_xlfn.XLOOKUP(F16,ccustos!A:A,ccustos!B:B),"Sem termo")</f>
        <v>SEPAT</v>
      </c>
    </row>
    <row r="17" spans="1:10" ht="25.5" customHeight="1" x14ac:dyDescent="0.25">
      <c r="A17" s="16">
        <v>10052</v>
      </c>
      <c r="B17" s="17" t="s">
        <v>236</v>
      </c>
      <c r="C17" s="17" t="s">
        <v>254</v>
      </c>
      <c r="D17" s="17" t="s">
        <v>268</v>
      </c>
      <c r="E17" s="17" t="s">
        <v>250</v>
      </c>
      <c r="F17" s="17" t="s">
        <v>14</v>
      </c>
      <c r="G17" s="17" t="s">
        <v>257</v>
      </c>
      <c r="H17" s="18">
        <v>624</v>
      </c>
      <c r="I17" s="18">
        <v>640.28</v>
      </c>
      <c r="J17" s="7" t="str">
        <f>IFERROR(_xlfn.XLOOKUP(F17,ccustos!A:A,ccustos!B:B),"Sem termo")</f>
        <v>SEPAT</v>
      </c>
    </row>
    <row r="18" spans="1:10" ht="25.5" customHeight="1" x14ac:dyDescent="0.25">
      <c r="A18" s="14">
        <v>10053</v>
      </c>
      <c r="B18" s="7" t="s">
        <v>236</v>
      </c>
      <c r="C18" s="7" t="s">
        <v>269</v>
      </c>
      <c r="D18" s="7" t="s">
        <v>270</v>
      </c>
      <c r="E18" s="7" t="s">
        <v>250</v>
      </c>
      <c r="F18" s="7" t="s">
        <v>14</v>
      </c>
      <c r="G18" s="7" t="s">
        <v>257</v>
      </c>
      <c r="H18" s="15">
        <v>364</v>
      </c>
      <c r="I18" s="15">
        <v>250.33</v>
      </c>
      <c r="J18" s="7" t="str">
        <f>IFERROR(_xlfn.XLOOKUP(F18,ccustos!A:A,ccustos!B:B),"Sem termo")</f>
        <v>SEPAT</v>
      </c>
    </row>
    <row r="19" spans="1:10" ht="25.5" customHeight="1" x14ac:dyDescent="0.25">
      <c r="A19" s="16">
        <v>10059</v>
      </c>
      <c r="B19" s="17" t="s">
        <v>236</v>
      </c>
      <c r="C19" s="17" t="s">
        <v>237</v>
      </c>
      <c r="D19" s="17" t="s">
        <v>238</v>
      </c>
      <c r="E19" s="17" t="s">
        <v>239</v>
      </c>
      <c r="F19" s="17" t="s">
        <v>15</v>
      </c>
      <c r="G19" s="17" t="s">
        <v>240</v>
      </c>
      <c r="H19" s="18">
        <v>75.94</v>
      </c>
      <c r="I19" s="18">
        <v>64.540000000000006</v>
      </c>
      <c r="J19" s="7" t="str">
        <f>IFERROR(_xlfn.XLOOKUP(F19,ccustos!A:A,ccustos!B:B),"Sem termo")</f>
        <v>SEPAT</v>
      </c>
    </row>
    <row r="20" spans="1:10" ht="36.75" customHeight="1" x14ac:dyDescent="0.25">
      <c r="A20" s="14">
        <v>10062</v>
      </c>
      <c r="B20" s="7" t="s">
        <v>236</v>
      </c>
      <c r="C20" s="7" t="s">
        <v>237</v>
      </c>
      <c r="D20" s="7" t="s">
        <v>238</v>
      </c>
      <c r="E20" s="7" t="s">
        <v>239</v>
      </c>
      <c r="F20" s="7" t="s">
        <v>16</v>
      </c>
      <c r="G20" s="7" t="s">
        <v>240</v>
      </c>
      <c r="H20" s="15">
        <v>75.94</v>
      </c>
      <c r="I20" s="15">
        <v>64.540000000000006</v>
      </c>
      <c r="J20" s="7" t="str">
        <f>IFERROR(_xlfn.XLOOKUP(F20,ccustos!A:A,ccustos!B:B),"Sem termo")</f>
        <v>SEPAT</v>
      </c>
    </row>
    <row r="21" spans="1:10" ht="36.75" customHeight="1" x14ac:dyDescent="0.25">
      <c r="A21" s="16">
        <v>10063</v>
      </c>
      <c r="B21" s="17" t="s">
        <v>236</v>
      </c>
      <c r="C21" s="17" t="s">
        <v>237</v>
      </c>
      <c r="D21" s="17" t="s">
        <v>238</v>
      </c>
      <c r="E21" s="17" t="s">
        <v>239</v>
      </c>
      <c r="F21" s="17" t="s">
        <v>15</v>
      </c>
      <c r="G21" s="17" t="s">
        <v>240</v>
      </c>
      <c r="H21" s="18">
        <v>75.94</v>
      </c>
      <c r="I21" s="18">
        <v>64.540000000000006</v>
      </c>
      <c r="J21" s="7" t="str">
        <f>IFERROR(_xlfn.XLOOKUP(F21,ccustos!A:A,ccustos!B:B),"Sem termo")</f>
        <v>SEPAT</v>
      </c>
    </row>
    <row r="22" spans="1:10" ht="25.5" customHeight="1" x14ac:dyDescent="0.25">
      <c r="A22" s="14">
        <v>10064</v>
      </c>
      <c r="B22" s="7" t="s">
        <v>236</v>
      </c>
      <c r="C22" s="7" t="s">
        <v>237</v>
      </c>
      <c r="D22" s="7" t="s">
        <v>238</v>
      </c>
      <c r="E22" s="7" t="s">
        <v>239</v>
      </c>
      <c r="F22" s="7" t="s">
        <v>15</v>
      </c>
      <c r="G22" s="7" t="s">
        <v>240</v>
      </c>
      <c r="H22" s="15">
        <v>75.94</v>
      </c>
      <c r="I22" s="15">
        <v>64.540000000000006</v>
      </c>
      <c r="J22" s="7" t="str">
        <f>IFERROR(_xlfn.XLOOKUP(F22,ccustos!A:A,ccustos!B:B),"Sem termo")</f>
        <v>SEPAT</v>
      </c>
    </row>
    <row r="23" spans="1:10" ht="36.75" customHeight="1" x14ac:dyDescent="0.25">
      <c r="A23" s="16">
        <v>10066</v>
      </c>
      <c r="B23" s="17" t="s">
        <v>236</v>
      </c>
      <c r="C23" s="17" t="s">
        <v>237</v>
      </c>
      <c r="D23" s="17" t="s">
        <v>238</v>
      </c>
      <c r="E23" s="17" t="s">
        <v>239</v>
      </c>
      <c r="F23" s="17" t="s">
        <v>16</v>
      </c>
      <c r="G23" s="17" t="s">
        <v>240</v>
      </c>
      <c r="H23" s="18">
        <v>75.94</v>
      </c>
      <c r="I23" s="18">
        <v>64.540000000000006</v>
      </c>
      <c r="J23" s="7" t="str">
        <f>IFERROR(_xlfn.XLOOKUP(F23,ccustos!A:A,ccustos!B:B),"Sem termo")</f>
        <v>SEPAT</v>
      </c>
    </row>
    <row r="24" spans="1:10" ht="36.75" customHeight="1" x14ac:dyDescent="0.25">
      <c r="A24" s="14">
        <v>10067</v>
      </c>
      <c r="B24" s="7" t="s">
        <v>236</v>
      </c>
      <c r="C24" s="7" t="s">
        <v>237</v>
      </c>
      <c r="D24" s="7" t="s">
        <v>238</v>
      </c>
      <c r="E24" s="7" t="s">
        <v>239</v>
      </c>
      <c r="F24" s="7" t="s">
        <v>16</v>
      </c>
      <c r="G24" s="7" t="s">
        <v>240</v>
      </c>
      <c r="H24" s="15">
        <v>75.94</v>
      </c>
      <c r="I24" s="15">
        <v>64.540000000000006</v>
      </c>
      <c r="J24" s="7" t="str">
        <f>IFERROR(_xlfn.XLOOKUP(F24,ccustos!A:A,ccustos!B:B),"Sem termo")</f>
        <v>SEPAT</v>
      </c>
    </row>
    <row r="25" spans="1:10" ht="25.5" customHeight="1" x14ac:dyDescent="0.25">
      <c r="A25" s="16">
        <v>10068</v>
      </c>
      <c r="B25" s="17" t="s">
        <v>236</v>
      </c>
      <c r="C25" s="17" t="s">
        <v>237</v>
      </c>
      <c r="D25" s="17" t="s">
        <v>238</v>
      </c>
      <c r="E25" s="17" t="s">
        <v>239</v>
      </c>
      <c r="F25" s="17" t="s">
        <v>15</v>
      </c>
      <c r="G25" s="17" t="s">
        <v>240</v>
      </c>
      <c r="H25" s="18">
        <v>75.94</v>
      </c>
      <c r="I25" s="18">
        <v>64.540000000000006</v>
      </c>
      <c r="J25" s="7" t="str">
        <f>IFERROR(_xlfn.XLOOKUP(F25,ccustos!A:A,ccustos!B:B),"Sem termo")</f>
        <v>SEPAT</v>
      </c>
    </row>
    <row r="26" spans="1:10" ht="25.5" customHeight="1" x14ac:dyDescent="0.25">
      <c r="A26" s="14">
        <v>10074</v>
      </c>
      <c r="B26" s="7" t="s">
        <v>236</v>
      </c>
      <c r="C26" s="7" t="s">
        <v>237</v>
      </c>
      <c r="D26" s="7" t="s">
        <v>238</v>
      </c>
      <c r="E26" s="7" t="s">
        <v>239</v>
      </c>
      <c r="F26" s="7" t="s">
        <v>16</v>
      </c>
      <c r="G26" s="7" t="s">
        <v>240</v>
      </c>
      <c r="H26" s="15">
        <v>75.94</v>
      </c>
      <c r="I26" s="15">
        <v>64.540000000000006</v>
      </c>
      <c r="J26" s="7" t="str">
        <f>IFERROR(_xlfn.XLOOKUP(F26,ccustos!A:A,ccustos!B:B),"Sem termo")</f>
        <v>SEPAT</v>
      </c>
    </row>
    <row r="27" spans="1:10" ht="25.5" customHeight="1" x14ac:dyDescent="0.25">
      <c r="A27" s="16">
        <v>10075</v>
      </c>
      <c r="B27" s="17" t="s">
        <v>236</v>
      </c>
      <c r="C27" s="17" t="s">
        <v>237</v>
      </c>
      <c r="D27" s="17" t="s">
        <v>238</v>
      </c>
      <c r="E27" s="17" t="s">
        <v>239</v>
      </c>
      <c r="F27" s="17" t="s">
        <v>15</v>
      </c>
      <c r="G27" s="17" t="s">
        <v>240</v>
      </c>
      <c r="H27" s="18">
        <v>75.94</v>
      </c>
      <c r="I27" s="18">
        <v>64.540000000000006</v>
      </c>
      <c r="J27" s="7" t="str">
        <f>IFERROR(_xlfn.XLOOKUP(F27,ccustos!A:A,ccustos!B:B),"Sem termo")</f>
        <v>SEPAT</v>
      </c>
    </row>
    <row r="28" spans="1:10" ht="25.5" customHeight="1" x14ac:dyDescent="0.25">
      <c r="A28" s="14">
        <v>10076</v>
      </c>
      <c r="B28" s="7" t="s">
        <v>236</v>
      </c>
      <c r="C28" s="7" t="s">
        <v>237</v>
      </c>
      <c r="D28" s="7" t="s">
        <v>238</v>
      </c>
      <c r="E28" s="7" t="s">
        <v>239</v>
      </c>
      <c r="F28" s="7" t="s">
        <v>16</v>
      </c>
      <c r="G28" s="7" t="s">
        <v>240</v>
      </c>
      <c r="H28" s="15">
        <v>75.94</v>
      </c>
      <c r="I28" s="15">
        <v>64.540000000000006</v>
      </c>
      <c r="J28" s="7" t="str">
        <f>IFERROR(_xlfn.XLOOKUP(F28,ccustos!A:A,ccustos!B:B),"Sem termo")</f>
        <v>SEPAT</v>
      </c>
    </row>
    <row r="29" spans="1:10" ht="25.5" customHeight="1" x14ac:dyDescent="0.25">
      <c r="A29" s="16">
        <v>10077</v>
      </c>
      <c r="B29" s="17" t="s">
        <v>236</v>
      </c>
      <c r="C29" s="17" t="s">
        <v>237</v>
      </c>
      <c r="D29" s="17" t="s">
        <v>238</v>
      </c>
      <c r="E29" s="17" t="s">
        <v>239</v>
      </c>
      <c r="F29" s="17" t="s">
        <v>15</v>
      </c>
      <c r="G29" s="17" t="s">
        <v>240</v>
      </c>
      <c r="H29" s="18">
        <v>75.94</v>
      </c>
      <c r="I29" s="18">
        <v>64.540000000000006</v>
      </c>
      <c r="J29" s="7" t="str">
        <f>IFERROR(_xlfn.XLOOKUP(F29,ccustos!A:A,ccustos!B:B),"Sem termo")</f>
        <v>SEPAT</v>
      </c>
    </row>
    <row r="30" spans="1:10" ht="25.5" customHeight="1" x14ac:dyDescent="0.25">
      <c r="A30" s="14">
        <v>10078</v>
      </c>
      <c r="B30" s="7" t="s">
        <v>236</v>
      </c>
      <c r="C30" s="7" t="s">
        <v>237</v>
      </c>
      <c r="D30" s="7" t="s">
        <v>238</v>
      </c>
      <c r="E30" s="7" t="s">
        <v>239</v>
      </c>
      <c r="F30" s="7" t="s">
        <v>15</v>
      </c>
      <c r="G30" s="7" t="s">
        <v>240</v>
      </c>
      <c r="H30" s="15">
        <v>75.94</v>
      </c>
      <c r="I30" s="15">
        <v>64.540000000000006</v>
      </c>
      <c r="J30" s="7" t="str">
        <f>IFERROR(_xlfn.XLOOKUP(F30,ccustos!A:A,ccustos!B:B),"Sem termo")</f>
        <v>SEPAT</v>
      </c>
    </row>
    <row r="31" spans="1:10" ht="25.5" customHeight="1" x14ac:dyDescent="0.25">
      <c r="A31" s="16">
        <v>10079</v>
      </c>
      <c r="B31" s="17" t="s">
        <v>236</v>
      </c>
      <c r="C31" s="17" t="s">
        <v>237</v>
      </c>
      <c r="D31" s="17" t="s">
        <v>238</v>
      </c>
      <c r="E31" s="17" t="s">
        <v>239</v>
      </c>
      <c r="F31" s="17" t="s">
        <v>15</v>
      </c>
      <c r="G31" s="17" t="s">
        <v>240</v>
      </c>
      <c r="H31" s="18">
        <v>75.94</v>
      </c>
      <c r="I31" s="18">
        <v>64.540000000000006</v>
      </c>
      <c r="J31" s="7" t="str">
        <f>IFERROR(_xlfn.XLOOKUP(F31,ccustos!A:A,ccustos!B:B),"Sem termo")</f>
        <v>SEPAT</v>
      </c>
    </row>
    <row r="32" spans="1:10" ht="25.5" customHeight="1" x14ac:dyDescent="0.25">
      <c r="A32" s="14">
        <v>10081</v>
      </c>
      <c r="B32" s="7" t="s">
        <v>236</v>
      </c>
      <c r="C32" s="7" t="s">
        <v>237</v>
      </c>
      <c r="D32" s="7" t="s">
        <v>238</v>
      </c>
      <c r="E32" s="7" t="s">
        <v>239</v>
      </c>
      <c r="F32" s="7" t="s">
        <v>15</v>
      </c>
      <c r="G32" s="7" t="s">
        <v>240</v>
      </c>
      <c r="H32" s="15">
        <v>75.94</v>
      </c>
      <c r="I32" s="15">
        <v>64.540000000000006</v>
      </c>
      <c r="J32" s="7" t="str">
        <f>IFERROR(_xlfn.XLOOKUP(F32,ccustos!A:A,ccustos!B:B),"Sem termo")</f>
        <v>SEPAT</v>
      </c>
    </row>
    <row r="33" spans="1:10" ht="25.5" customHeight="1" x14ac:dyDescent="0.25">
      <c r="A33" s="16">
        <v>10082</v>
      </c>
      <c r="B33" s="17" t="s">
        <v>236</v>
      </c>
      <c r="C33" s="17" t="s">
        <v>237</v>
      </c>
      <c r="D33" s="17" t="s">
        <v>238</v>
      </c>
      <c r="E33" s="17" t="s">
        <v>239</v>
      </c>
      <c r="F33" s="17" t="s">
        <v>15</v>
      </c>
      <c r="G33" s="17" t="s">
        <v>240</v>
      </c>
      <c r="H33" s="18">
        <v>75.94</v>
      </c>
      <c r="I33" s="18">
        <v>64.540000000000006</v>
      </c>
      <c r="J33" s="7" t="str">
        <f>IFERROR(_xlfn.XLOOKUP(F33,ccustos!A:A,ccustos!B:B),"Sem termo")</f>
        <v>SEPAT</v>
      </c>
    </row>
    <row r="34" spans="1:10" ht="25.5" customHeight="1" x14ac:dyDescent="0.25">
      <c r="A34" s="14">
        <v>10086</v>
      </c>
      <c r="B34" s="7" t="s">
        <v>236</v>
      </c>
      <c r="C34" s="7" t="s">
        <v>237</v>
      </c>
      <c r="D34" s="7" t="s">
        <v>238</v>
      </c>
      <c r="E34" s="7" t="s">
        <v>239</v>
      </c>
      <c r="F34" s="7" t="s">
        <v>16</v>
      </c>
      <c r="G34" s="7" t="s">
        <v>240</v>
      </c>
      <c r="H34" s="15">
        <v>75.94</v>
      </c>
      <c r="I34" s="15">
        <v>64.540000000000006</v>
      </c>
      <c r="J34" s="7" t="str">
        <f>IFERROR(_xlfn.XLOOKUP(F34,ccustos!A:A,ccustos!B:B),"Sem termo")</f>
        <v>SEPAT</v>
      </c>
    </row>
    <row r="35" spans="1:10" ht="25.5" customHeight="1" x14ac:dyDescent="0.25">
      <c r="A35" s="16">
        <v>10087</v>
      </c>
      <c r="B35" s="17" t="s">
        <v>236</v>
      </c>
      <c r="C35" s="17" t="s">
        <v>237</v>
      </c>
      <c r="D35" s="17" t="s">
        <v>238</v>
      </c>
      <c r="E35" s="17" t="s">
        <v>239</v>
      </c>
      <c r="F35" s="17" t="s">
        <v>16</v>
      </c>
      <c r="G35" s="17" t="s">
        <v>240</v>
      </c>
      <c r="H35" s="18">
        <v>75.94</v>
      </c>
      <c r="I35" s="18">
        <v>64.540000000000006</v>
      </c>
      <c r="J35" s="7" t="str">
        <f>IFERROR(_xlfn.XLOOKUP(F35,ccustos!A:A,ccustos!B:B),"Sem termo")</f>
        <v>SEPAT</v>
      </c>
    </row>
    <row r="36" spans="1:10" ht="25.5" customHeight="1" x14ac:dyDescent="0.25">
      <c r="A36" s="14">
        <v>10088</v>
      </c>
      <c r="B36" s="7" t="s">
        <v>236</v>
      </c>
      <c r="C36" s="7" t="s">
        <v>237</v>
      </c>
      <c r="D36" s="7" t="s">
        <v>238</v>
      </c>
      <c r="E36" s="7" t="s">
        <v>239</v>
      </c>
      <c r="F36" s="7" t="s">
        <v>15</v>
      </c>
      <c r="G36" s="7" t="s">
        <v>240</v>
      </c>
      <c r="H36" s="15">
        <v>77.42</v>
      </c>
      <c r="I36" s="15">
        <v>64.540000000000006</v>
      </c>
      <c r="J36" s="7" t="str">
        <f>IFERROR(_xlfn.XLOOKUP(F36,ccustos!A:A,ccustos!B:B),"Sem termo")</f>
        <v>SEPAT</v>
      </c>
    </row>
    <row r="37" spans="1:10" ht="25.5" customHeight="1" x14ac:dyDescent="0.25">
      <c r="A37" s="16">
        <v>10089</v>
      </c>
      <c r="B37" s="17" t="s">
        <v>236</v>
      </c>
      <c r="C37" s="17" t="s">
        <v>237</v>
      </c>
      <c r="D37" s="17" t="s">
        <v>238</v>
      </c>
      <c r="E37" s="17" t="s">
        <v>239</v>
      </c>
      <c r="F37" s="17" t="s">
        <v>15</v>
      </c>
      <c r="G37" s="17" t="s">
        <v>240</v>
      </c>
      <c r="H37" s="18">
        <v>75.94</v>
      </c>
      <c r="I37" s="18">
        <v>64.540000000000006</v>
      </c>
      <c r="J37" s="7" t="str">
        <f>IFERROR(_xlfn.XLOOKUP(F37,ccustos!A:A,ccustos!B:B),"Sem termo")</f>
        <v>SEPAT</v>
      </c>
    </row>
    <row r="38" spans="1:10" ht="25.5" customHeight="1" x14ac:dyDescent="0.25">
      <c r="A38" s="14">
        <v>10090</v>
      </c>
      <c r="B38" s="7" t="s">
        <v>236</v>
      </c>
      <c r="C38" s="7" t="s">
        <v>237</v>
      </c>
      <c r="D38" s="7" t="s">
        <v>238</v>
      </c>
      <c r="E38" s="7" t="s">
        <v>239</v>
      </c>
      <c r="F38" s="7" t="s">
        <v>15</v>
      </c>
      <c r="G38" s="7" t="s">
        <v>240</v>
      </c>
      <c r="H38" s="15">
        <v>75.94</v>
      </c>
      <c r="I38" s="15">
        <v>64.540000000000006</v>
      </c>
      <c r="J38" s="7" t="str">
        <f>IFERROR(_xlfn.XLOOKUP(F38,ccustos!A:A,ccustos!B:B),"Sem termo")</f>
        <v>SEPAT</v>
      </c>
    </row>
    <row r="39" spans="1:10" ht="25.5" customHeight="1" x14ac:dyDescent="0.25">
      <c r="A39" s="16">
        <v>10091</v>
      </c>
      <c r="B39" s="17" t="s">
        <v>236</v>
      </c>
      <c r="C39" s="17" t="s">
        <v>237</v>
      </c>
      <c r="D39" s="17" t="s">
        <v>238</v>
      </c>
      <c r="E39" s="17" t="s">
        <v>239</v>
      </c>
      <c r="F39" s="17" t="s">
        <v>11</v>
      </c>
      <c r="G39" s="17" t="s">
        <v>240</v>
      </c>
      <c r="H39" s="18">
        <v>75.94</v>
      </c>
      <c r="I39" s="18">
        <v>64.540000000000006</v>
      </c>
      <c r="J39" s="7" t="str">
        <f>IFERROR(_xlfn.XLOOKUP(F39,ccustos!A:A,ccustos!B:B),"Sem termo")</f>
        <v>DEINFRA</v>
      </c>
    </row>
    <row r="40" spans="1:10" ht="25.5" customHeight="1" x14ac:dyDescent="0.25">
      <c r="A40" s="14">
        <v>10092</v>
      </c>
      <c r="B40" s="7" t="s">
        <v>236</v>
      </c>
      <c r="C40" s="7" t="s">
        <v>237</v>
      </c>
      <c r="D40" s="7" t="s">
        <v>238</v>
      </c>
      <c r="E40" s="7" t="s">
        <v>239</v>
      </c>
      <c r="F40" s="7" t="s">
        <v>15</v>
      </c>
      <c r="G40" s="7" t="s">
        <v>240</v>
      </c>
      <c r="H40" s="15">
        <v>75.94</v>
      </c>
      <c r="I40" s="15">
        <v>64.540000000000006</v>
      </c>
      <c r="J40" s="7" t="str">
        <f>IFERROR(_xlfn.XLOOKUP(F40,ccustos!A:A,ccustos!B:B),"Sem termo")</f>
        <v>SEPAT</v>
      </c>
    </row>
    <row r="41" spans="1:10" ht="25.5" customHeight="1" x14ac:dyDescent="0.25">
      <c r="A41" s="16">
        <v>10094</v>
      </c>
      <c r="B41" s="17" t="s">
        <v>236</v>
      </c>
      <c r="C41" s="17" t="s">
        <v>237</v>
      </c>
      <c r="D41" s="17" t="s">
        <v>238</v>
      </c>
      <c r="E41" s="17" t="s">
        <v>239</v>
      </c>
      <c r="F41" s="17" t="s">
        <v>15</v>
      </c>
      <c r="G41" s="17" t="s">
        <v>240</v>
      </c>
      <c r="H41" s="18">
        <v>75.94</v>
      </c>
      <c r="I41" s="18">
        <v>64.540000000000006</v>
      </c>
      <c r="J41" s="7" t="str">
        <f>IFERROR(_xlfn.XLOOKUP(F41,ccustos!A:A,ccustos!B:B),"Sem termo")</f>
        <v>SEPAT</v>
      </c>
    </row>
    <row r="42" spans="1:10" ht="25.5" customHeight="1" x14ac:dyDescent="0.25">
      <c r="A42" s="14">
        <v>10096</v>
      </c>
      <c r="B42" s="7" t="s">
        <v>236</v>
      </c>
      <c r="C42" s="7" t="s">
        <v>237</v>
      </c>
      <c r="D42" s="7" t="s">
        <v>238</v>
      </c>
      <c r="E42" s="7" t="s">
        <v>239</v>
      </c>
      <c r="F42" s="7" t="s">
        <v>15</v>
      </c>
      <c r="G42" s="7" t="s">
        <v>240</v>
      </c>
      <c r="H42" s="15">
        <v>75.94</v>
      </c>
      <c r="I42" s="15">
        <v>64.540000000000006</v>
      </c>
      <c r="J42" s="7" t="str">
        <f>IFERROR(_xlfn.XLOOKUP(F42,ccustos!A:A,ccustos!B:B),"Sem termo")</f>
        <v>SEPAT</v>
      </c>
    </row>
    <row r="43" spans="1:10" ht="25.5" customHeight="1" x14ac:dyDescent="0.25">
      <c r="A43" s="16">
        <v>10100</v>
      </c>
      <c r="B43" s="17" t="s">
        <v>236</v>
      </c>
      <c r="C43" s="17" t="s">
        <v>237</v>
      </c>
      <c r="D43" s="17" t="s">
        <v>238</v>
      </c>
      <c r="E43" s="17" t="s">
        <v>239</v>
      </c>
      <c r="F43" s="17" t="s">
        <v>15</v>
      </c>
      <c r="G43" s="17" t="s">
        <v>240</v>
      </c>
      <c r="H43" s="18">
        <v>75.94</v>
      </c>
      <c r="I43" s="18">
        <v>64.540000000000006</v>
      </c>
      <c r="J43" s="7" t="str">
        <f>IFERROR(_xlfn.XLOOKUP(F43,ccustos!A:A,ccustos!B:B),"Sem termo")</f>
        <v>SEPAT</v>
      </c>
    </row>
    <row r="44" spans="1:10" ht="25.5" customHeight="1" x14ac:dyDescent="0.25">
      <c r="A44" s="14">
        <v>10101</v>
      </c>
      <c r="B44" s="7" t="s">
        <v>236</v>
      </c>
      <c r="C44" s="7" t="s">
        <v>237</v>
      </c>
      <c r="D44" s="7" t="s">
        <v>238</v>
      </c>
      <c r="E44" s="7" t="s">
        <v>239</v>
      </c>
      <c r="F44" s="7" t="s">
        <v>16</v>
      </c>
      <c r="G44" s="7" t="s">
        <v>240</v>
      </c>
      <c r="H44" s="15">
        <v>75.94</v>
      </c>
      <c r="I44" s="15">
        <v>64.540000000000006</v>
      </c>
      <c r="J44" s="7" t="str">
        <f>IFERROR(_xlfn.XLOOKUP(F44,ccustos!A:A,ccustos!B:B),"Sem termo")</f>
        <v>SEPAT</v>
      </c>
    </row>
    <row r="45" spans="1:10" ht="25.5" customHeight="1" x14ac:dyDescent="0.25">
      <c r="A45" s="16">
        <v>10102</v>
      </c>
      <c r="B45" s="17" t="s">
        <v>236</v>
      </c>
      <c r="C45" s="17" t="s">
        <v>237</v>
      </c>
      <c r="D45" s="17" t="s">
        <v>238</v>
      </c>
      <c r="E45" s="17" t="s">
        <v>239</v>
      </c>
      <c r="F45" s="17" t="s">
        <v>16</v>
      </c>
      <c r="G45" s="17" t="s">
        <v>240</v>
      </c>
      <c r="H45" s="18">
        <v>75.94</v>
      </c>
      <c r="I45" s="18">
        <v>64.540000000000006</v>
      </c>
      <c r="J45" s="7" t="str">
        <f>IFERROR(_xlfn.XLOOKUP(F45,ccustos!A:A,ccustos!B:B),"Sem termo")</f>
        <v>SEPAT</v>
      </c>
    </row>
    <row r="46" spans="1:10" ht="25.5" customHeight="1" x14ac:dyDescent="0.25">
      <c r="A46" s="14">
        <v>10103</v>
      </c>
      <c r="B46" s="7" t="s">
        <v>236</v>
      </c>
      <c r="C46" s="7" t="s">
        <v>237</v>
      </c>
      <c r="D46" s="7" t="s">
        <v>238</v>
      </c>
      <c r="E46" s="7" t="s">
        <v>239</v>
      </c>
      <c r="F46" s="7" t="s">
        <v>15</v>
      </c>
      <c r="G46" s="7" t="s">
        <v>240</v>
      </c>
      <c r="H46" s="15">
        <v>75.94</v>
      </c>
      <c r="I46" s="15">
        <v>64.540000000000006</v>
      </c>
      <c r="J46" s="7" t="str">
        <f>IFERROR(_xlfn.XLOOKUP(F46,ccustos!A:A,ccustos!B:B),"Sem termo")</f>
        <v>SEPAT</v>
      </c>
    </row>
    <row r="47" spans="1:10" ht="25.5" customHeight="1" x14ac:dyDescent="0.25">
      <c r="A47" s="16">
        <v>10104</v>
      </c>
      <c r="B47" s="17" t="s">
        <v>236</v>
      </c>
      <c r="C47" s="17" t="s">
        <v>237</v>
      </c>
      <c r="D47" s="17" t="s">
        <v>238</v>
      </c>
      <c r="E47" s="17" t="s">
        <v>239</v>
      </c>
      <c r="F47" s="17" t="s">
        <v>15</v>
      </c>
      <c r="G47" s="17" t="s">
        <v>240</v>
      </c>
      <c r="H47" s="18">
        <v>75.94</v>
      </c>
      <c r="I47" s="18">
        <v>64.540000000000006</v>
      </c>
      <c r="J47" s="7" t="str">
        <f>IFERROR(_xlfn.XLOOKUP(F47,ccustos!A:A,ccustos!B:B),"Sem termo")</f>
        <v>SEPAT</v>
      </c>
    </row>
    <row r="48" spans="1:10" ht="25.5" customHeight="1" x14ac:dyDescent="0.25">
      <c r="A48" s="14">
        <v>10106</v>
      </c>
      <c r="B48" s="7" t="s">
        <v>236</v>
      </c>
      <c r="C48" s="7" t="s">
        <v>237</v>
      </c>
      <c r="D48" s="7" t="s">
        <v>238</v>
      </c>
      <c r="E48" s="7" t="s">
        <v>239</v>
      </c>
      <c r="F48" s="7" t="s">
        <v>15</v>
      </c>
      <c r="G48" s="7" t="s">
        <v>240</v>
      </c>
      <c r="H48" s="15">
        <v>75.94</v>
      </c>
      <c r="I48" s="15">
        <v>64.540000000000006</v>
      </c>
      <c r="J48" s="7" t="str">
        <f>IFERROR(_xlfn.XLOOKUP(F48,ccustos!A:A,ccustos!B:B),"Sem termo")</f>
        <v>SEPAT</v>
      </c>
    </row>
    <row r="49" spans="1:10" ht="25.5" customHeight="1" x14ac:dyDescent="0.25">
      <c r="A49" s="16">
        <v>10107</v>
      </c>
      <c r="B49" s="17" t="s">
        <v>236</v>
      </c>
      <c r="C49" s="17" t="s">
        <v>237</v>
      </c>
      <c r="D49" s="17" t="s">
        <v>238</v>
      </c>
      <c r="E49" s="17" t="s">
        <v>239</v>
      </c>
      <c r="F49" s="17" t="s">
        <v>15</v>
      </c>
      <c r="G49" s="17" t="s">
        <v>240</v>
      </c>
      <c r="H49" s="18">
        <v>75.94</v>
      </c>
      <c r="I49" s="18">
        <v>64.540000000000006</v>
      </c>
      <c r="J49" s="7" t="str">
        <f>IFERROR(_xlfn.XLOOKUP(F49,ccustos!A:A,ccustos!B:B),"Sem termo")</f>
        <v>SEPAT</v>
      </c>
    </row>
    <row r="50" spans="1:10" ht="25.5" customHeight="1" x14ac:dyDescent="0.25">
      <c r="A50" s="14">
        <v>10108</v>
      </c>
      <c r="B50" s="7" t="s">
        <v>236</v>
      </c>
      <c r="C50" s="7" t="s">
        <v>237</v>
      </c>
      <c r="D50" s="7" t="s">
        <v>238</v>
      </c>
      <c r="E50" s="7" t="s">
        <v>239</v>
      </c>
      <c r="F50" s="7" t="s">
        <v>15</v>
      </c>
      <c r="G50" s="7" t="s">
        <v>240</v>
      </c>
      <c r="H50" s="15">
        <v>75.94</v>
      </c>
      <c r="I50" s="15">
        <v>64.540000000000006</v>
      </c>
      <c r="J50" s="7" t="str">
        <f>IFERROR(_xlfn.XLOOKUP(F50,ccustos!A:A,ccustos!B:B),"Sem termo")</f>
        <v>SEPAT</v>
      </c>
    </row>
    <row r="51" spans="1:10" ht="25.5" customHeight="1" x14ac:dyDescent="0.25">
      <c r="A51" s="16">
        <v>10110</v>
      </c>
      <c r="B51" s="17" t="s">
        <v>236</v>
      </c>
      <c r="C51" s="17" t="s">
        <v>237</v>
      </c>
      <c r="D51" s="17" t="s">
        <v>238</v>
      </c>
      <c r="E51" s="17" t="s">
        <v>239</v>
      </c>
      <c r="F51" s="17" t="s">
        <v>15</v>
      </c>
      <c r="G51" s="17" t="s">
        <v>240</v>
      </c>
      <c r="H51" s="18">
        <v>75.94</v>
      </c>
      <c r="I51" s="18">
        <v>64.540000000000006</v>
      </c>
      <c r="J51" s="7" t="str">
        <f>IFERROR(_xlfn.XLOOKUP(F51,ccustos!A:A,ccustos!B:B),"Sem termo")</f>
        <v>SEPAT</v>
      </c>
    </row>
    <row r="52" spans="1:10" ht="25.5" customHeight="1" x14ac:dyDescent="0.25">
      <c r="A52" s="14">
        <v>10112</v>
      </c>
      <c r="B52" s="7" t="s">
        <v>236</v>
      </c>
      <c r="C52" s="7" t="s">
        <v>237</v>
      </c>
      <c r="D52" s="7" t="s">
        <v>238</v>
      </c>
      <c r="E52" s="7" t="s">
        <v>239</v>
      </c>
      <c r="F52" s="7" t="s">
        <v>15</v>
      </c>
      <c r="G52" s="7" t="s">
        <v>240</v>
      </c>
      <c r="H52" s="15">
        <v>75.94</v>
      </c>
      <c r="I52" s="15">
        <v>71.72</v>
      </c>
      <c r="J52" s="7" t="str">
        <f>IFERROR(_xlfn.XLOOKUP(F52,ccustos!A:A,ccustos!B:B),"Sem termo")</f>
        <v>SEPAT</v>
      </c>
    </row>
    <row r="53" spans="1:10" ht="25.5" customHeight="1" x14ac:dyDescent="0.25">
      <c r="A53" s="16">
        <v>10113</v>
      </c>
      <c r="B53" s="17" t="s">
        <v>236</v>
      </c>
      <c r="C53" s="17" t="s">
        <v>237</v>
      </c>
      <c r="D53" s="17" t="s">
        <v>238</v>
      </c>
      <c r="E53" s="17" t="s">
        <v>239</v>
      </c>
      <c r="F53" s="17" t="s">
        <v>15</v>
      </c>
      <c r="G53" s="17" t="s">
        <v>240</v>
      </c>
      <c r="H53" s="18">
        <v>75.94</v>
      </c>
      <c r="I53" s="18">
        <v>64.540000000000006</v>
      </c>
      <c r="J53" s="7" t="str">
        <f>IFERROR(_xlfn.XLOOKUP(F53,ccustos!A:A,ccustos!B:B),"Sem termo")</f>
        <v>SEPAT</v>
      </c>
    </row>
    <row r="54" spans="1:10" ht="25.5" customHeight="1" x14ac:dyDescent="0.25">
      <c r="A54" s="14">
        <v>10114</v>
      </c>
      <c r="B54" s="7" t="s">
        <v>236</v>
      </c>
      <c r="C54" s="7" t="s">
        <v>237</v>
      </c>
      <c r="D54" s="7" t="s">
        <v>238</v>
      </c>
      <c r="E54" s="7" t="s">
        <v>239</v>
      </c>
      <c r="F54" s="7" t="s">
        <v>16</v>
      </c>
      <c r="G54" s="7" t="s">
        <v>240</v>
      </c>
      <c r="H54" s="15">
        <v>75.94</v>
      </c>
      <c r="I54" s="15">
        <v>64.540000000000006</v>
      </c>
      <c r="J54" s="7" t="str">
        <f>IFERROR(_xlfn.XLOOKUP(F54,ccustos!A:A,ccustos!B:B),"Sem termo")</f>
        <v>SEPAT</v>
      </c>
    </row>
    <row r="55" spans="1:10" ht="25.5" customHeight="1" x14ac:dyDescent="0.25">
      <c r="A55" s="16">
        <v>10117</v>
      </c>
      <c r="B55" s="17" t="s">
        <v>236</v>
      </c>
      <c r="C55" s="17" t="s">
        <v>237</v>
      </c>
      <c r="D55" s="17" t="s">
        <v>238</v>
      </c>
      <c r="E55" s="17" t="s">
        <v>239</v>
      </c>
      <c r="F55" s="17" t="s">
        <v>15</v>
      </c>
      <c r="G55" s="17" t="s">
        <v>240</v>
      </c>
      <c r="H55" s="18">
        <v>75.94</v>
      </c>
      <c r="I55" s="18">
        <v>64.540000000000006</v>
      </c>
      <c r="J55" s="7" t="str">
        <f>IFERROR(_xlfn.XLOOKUP(F55,ccustos!A:A,ccustos!B:B),"Sem termo")</f>
        <v>SEPAT</v>
      </c>
    </row>
    <row r="56" spans="1:10" ht="25.5" customHeight="1" x14ac:dyDescent="0.25">
      <c r="A56" s="14">
        <v>10118</v>
      </c>
      <c r="B56" s="7" t="s">
        <v>236</v>
      </c>
      <c r="C56" s="7" t="s">
        <v>237</v>
      </c>
      <c r="D56" s="7" t="s">
        <v>238</v>
      </c>
      <c r="E56" s="7" t="s">
        <v>239</v>
      </c>
      <c r="F56" s="7" t="s">
        <v>16</v>
      </c>
      <c r="G56" s="7" t="s">
        <v>240</v>
      </c>
      <c r="H56" s="15">
        <v>75.94</v>
      </c>
      <c r="I56" s="15">
        <v>64.540000000000006</v>
      </c>
      <c r="J56" s="7" t="str">
        <f>IFERROR(_xlfn.XLOOKUP(F56,ccustos!A:A,ccustos!B:B),"Sem termo")</f>
        <v>SEPAT</v>
      </c>
    </row>
    <row r="57" spans="1:10" ht="25.5" customHeight="1" x14ac:dyDescent="0.25">
      <c r="A57" s="16">
        <v>10119</v>
      </c>
      <c r="B57" s="17" t="s">
        <v>236</v>
      </c>
      <c r="C57" s="17" t="s">
        <v>237</v>
      </c>
      <c r="D57" s="17" t="s">
        <v>238</v>
      </c>
      <c r="E57" s="17" t="s">
        <v>239</v>
      </c>
      <c r="F57" s="17" t="s">
        <v>15</v>
      </c>
      <c r="G57" s="17" t="s">
        <v>240</v>
      </c>
      <c r="H57" s="18">
        <v>75.94</v>
      </c>
      <c r="I57" s="18">
        <v>64.540000000000006</v>
      </c>
      <c r="J57" s="7" t="str">
        <f>IFERROR(_xlfn.XLOOKUP(F57,ccustos!A:A,ccustos!B:B),"Sem termo")</f>
        <v>SEPAT</v>
      </c>
    </row>
    <row r="58" spans="1:10" ht="25.5" customHeight="1" x14ac:dyDescent="0.25">
      <c r="A58" s="14">
        <v>10120</v>
      </c>
      <c r="B58" s="7" t="s">
        <v>236</v>
      </c>
      <c r="C58" s="7" t="s">
        <v>237</v>
      </c>
      <c r="D58" s="7" t="s">
        <v>238</v>
      </c>
      <c r="E58" s="7" t="s">
        <v>239</v>
      </c>
      <c r="F58" s="7" t="s">
        <v>16</v>
      </c>
      <c r="G58" s="7" t="s">
        <v>240</v>
      </c>
      <c r="H58" s="15">
        <v>75.94</v>
      </c>
      <c r="I58" s="15">
        <v>64.540000000000006</v>
      </c>
      <c r="J58" s="7" t="str">
        <f>IFERROR(_xlfn.XLOOKUP(F58,ccustos!A:A,ccustos!B:B),"Sem termo")</f>
        <v>SEPAT</v>
      </c>
    </row>
    <row r="59" spans="1:10" ht="25.5" customHeight="1" x14ac:dyDescent="0.25">
      <c r="A59" s="16">
        <v>10121</v>
      </c>
      <c r="B59" s="17" t="s">
        <v>236</v>
      </c>
      <c r="C59" s="17" t="s">
        <v>237</v>
      </c>
      <c r="D59" s="17" t="s">
        <v>238</v>
      </c>
      <c r="E59" s="17" t="s">
        <v>239</v>
      </c>
      <c r="F59" s="17" t="s">
        <v>16</v>
      </c>
      <c r="G59" s="17" t="s">
        <v>240</v>
      </c>
      <c r="H59" s="18">
        <v>75.94</v>
      </c>
      <c r="I59" s="18">
        <v>64.540000000000006</v>
      </c>
      <c r="J59" s="7" t="str">
        <f>IFERROR(_xlfn.XLOOKUP(F59,ccustos!A:A,ccustos!B:B),"Sem termo")</f>
        <v>SEPAT</v>
      </c>
    </row>
    <row r="60" spans="1:10" ht="25.5" customHeight="1" x14ac:dyDescent="0.25">
      <c r="A60" s="14">
        <v>10122</v>
      </c>
      <c r="B60" s="7" t="s">
        <v>236</v>
      </c>
      <c r="C60" s="7" t="s">
        <v>237</v>
      </c>
      <c r="D60" s="7" t="s">
        <v>238</v>
      </c>
      <c r="E60" s="7" t="s">
        <v>239</v>
      </c>
      <c r="F60" s="7" t="s">
        <v>15</v>
      </c>
      <c r="G60" s="7" t="s">
        <v>240</v>
      </c>
      <c r="H60" s="15">
        <v>75.94</v>
      </c>
      <c r="I60" s="15">
        <v>64.540000000000006</v>
      </c>
      <c r="J60" s="7" t="str">
        <f>IFERROR(_xlfn.XLOOKUP(F60,ccustos!A:A,ccustos!B:B),"Sem termo")</f>
        <v>SEPAT</v>
      </c>
    </row>
    <row r="61" spans="1:10" ht="25.5" customHeight="1" x14ac:dyDescent="0.25">
      <c r="A61" s="16">
        <v>10124</v>
      </c>
      <c r="B61" s="17" t="s">
        <v>236</v>
      </c>
      <c r="C61" s="17" t="s">
        <v>237</v>
      </c>
      <c r="D61" s="17" t="s">
        <v>238</v>
      </c>
      <c r="E61" s="17" t="s">
        <v>239</v>
      </c>
      <c r="F61" s="17" t="s">
        <v>16</v>
      </c>
      <c r="G61" s="17" t="s">
        <v>240</v>
      </c>
      <c r="H61" s="18">
        <v>75.94</v>
      </c>
      <c r="I61" s="18">
        <v>64.540000000000006</v>
      </c>
      <c r="J61" s="7" t="str">
        <f>IFERROR(_xlfn.XLOOKUP(F61,ccustos!A:A,ccustos!B:B),"Sem termo")</f>
        <v>SEPAT</v>
      </c>
    </row>
    <row r="62" spans="1:10" ht="25.5" customHeight="1" x14ac:dyDescent="0.25">
      <c r="A62" s="14">
        <v>10125</v>
      </c>
      <c r="B62" s="7" t="s">
        <v>236</v>
      </c>
      <c r="C62" s="7" t="s">
        <v>237</v>
      </c>
      <c r="D62" s="7" t="s">
        <v>238</v>
      </c>
      <c r="E62" s="7" t="s">
        <v>239</v>
      </c>
      <c r="F62" s="7" t="s">
        <v>15</v>
      </c>
      <c r="G62" s="7" t="s">
        <v>240</v>
      </c>
      <c r="H62" s="15">
        <v>75.94</v>
      </c>
      <c r="I62" s="15">
        <v>64.540000000000006</v>
      </c>
      <c r="J62" s="7" t="str">
        <f>IFERROR(_xlfn.XLOOKUP(F62,ccustos!A:A,ccustos!B:B),"Sem termo")</f>
        <v>SEPAT</v>
      </c>
    </row>
    <row r="63" spans="1:10" ht="25.5" customHeight="1" x14ac:dyDescent="0.25">
      <c r="A63" s="16">
        <v>10126</v>
      </c>
      <c r="B63" s="17" t="s">
        <v>236</v>
      </c>
      <c r="C63" s="17" t="s">
        <v>237</v>
      </c>
      <c r="D63" s="17" t="s">
        <v>238</v>
      </c>
      <c r="E63" s="17" t="s">
        <v>239</v>
      </c>
      <c r="F63" s="17" t="s">
        <v>15</v>
      </c>
      <c r="G63" s="17" t="s">
        <v>240</v>
      </c>
      <c r="H63" s="18">
        <v>75.94</v>
      </c>
      <c r="I63" s="18">
        <v>64.540000000000006</v>
      </c>
      <c r="J63" s="7" t="str">
        <f>IFERROR(_xlfn.XLOOKUP(F63,ccustos!A:A,ccustos!B:B),"Sem termo")</f>
        <v>SEPAT</v>
      </c>
    </row>
    <row r="64" spans="1:10" ht="25.5" customHeight="1" x14ac:dyDescent="0.25">
      <c r="A64" s="14">
        <v>10127</v>
      </c>
      <c r="B64" s="7" t="s">
        <v>236</v>
      </c>
      <c r="C64" s="7" t="s">
        <v>241</v>
      </c>
      <c r="D64" s="7" t="s">
        <v>271</v>
      </c>
      <c r="E64" s="7" t="s">
        <v>239</v>
      </c>
      <c r="F64" s="7" t="s">
        <v>15</v>
      </c>
      <c r="G64" s="7" t="s">
        <v>272</v>
      </c>
      <c r="H64" s="15">
        <v>42.1</v>
      </c>
      <c r="I64" s="15">
        <v>141.34</v>
      </c>
      <c r="J64" s="7" t="str">
        <f>IFERROR(_xlfn.XLOOKUP(F64,ccustos!A:A,ccustos!B:B),"Sem termo")</f>
        <v>SEPAT</v>
      </c>
    </row>
    <row r="65" spans="1:10" ht="25.5" customHeight="1" x14ac:dyDescent="0.25">
      <c r="A65" s="16">
        <v>10128</v>
      </c>
      <c r="B65" s="17" t="s">
        <v>236</v>
      </c>
      <c r="C65" s="17" t="s">
        <v>241</v>
      </c>
      <c r="D65" s="17" t="s">
        <v>271</v>
      </c>
      <c r="E65" s="17" t="s">
        <v>239</v>
      </c>
      <c r="F65" s="17" t="s">
        <v>16</v>
      </c>
      <c r="G65" s="17" t="s">
        <v>272</v>
      </c>
      <c r="H65" s="18">
        <v>42.1</v>
      </c>
      <c r="I65" s="18">
        <v>141.34</v>
      </c>
      <c r="J65" s="7" t="str">
        <f>IFERROR(_xlfn.XLOOKUP(F65,ccustos!A:A,ccustos!B:B),"Sem termo")</f>
        <v>SEPAT</v>
      </c>
    </row>
    <row r="66" spans="1:10" ht="25.5" customHeight="1" x14ac:dyDescent="0.25">
      <c r="A66" s="14">
        <v>10129</v>
      </c>
      <c r="B66" s="7" t="s">
        <v>236</v>
      </c>
      <c r="C66" s="7" t="s">
        <v>241</v>
      </c>
      <c r="D66" s="7" t="s">
        <v>271</v>
      </c>
      <c r="E66" s="7" t="s">
        <v>239</v>
      </c>
      <c r="F66" s="7" t="s">
        <v>15</v>
      </c>
      <c r="G66" s="7" t="s">
        <v>272</v>
      </c>
      <c r="H66" s="15">
        <v>42.1</v>
      </c>
      <c r="I66" s="15">
        <v>141.34</v>
      </c>
      <c r="J66" s="7" t="str">
        <f>IFERROR(_xlfn.XLOOKUP(F66,ccustos!A:A,ccustos!B:B),"Sem termo")</f>
        <v>SEPAT</v>
      </c>
    </row>
    <row r="67" spans="1:10" ht="25.5" customHeight="1" x14ac:dyDescent="0.25">
      <c r="A67" s="16">
        <v>10130</v>
      </c>
      <c r="B67" s="17" t="s">
        <v>236</v>
      </c>
      <c r="C67" s="17" t="s">
        <v>241</v>
      </c>
      <c r="D67" s="17" t="s">
        <v>271</v>
      </c>
      <c r="E67" s="17" t="s">
        <v>239</v>
      </c>
      <c r="F67" s="17" t="s">
        <v>16</v>
      </c>
      <c r="G67" s="17" t="s">
        <v>272</v>
      </c>
      <c r="H67" s="18">
        <v>42.1</v>
      </c>
      <c r="I67" s="18">
        <v>141.34</v>
      </c>
      <c r="J67" s="7" t="str">
        <f>IFERROR(_xlfn.XLOOKUP(F67,ccustos!A:A,ccustos!B:B),"Sem termo")</f>
        <v>SEPAT</v>
      </c>
    </row>
    <row r="68" spans="1:10" ht="25.5" customHeight="1" x14ac:dyDescent="0.25">
      <c r="A68" s="14">
        <v>10131</v>
      </c>
      <c r="B68" s="7" t="s">
        <v>236</v>
      </c>
      <c r="C68" s="7" t="s">
        <v>241</v>
      </c>
      <c r="D68" s="7" t="s">
        <v>271</v>
      </c>
      <c r="E68" s="7" t="s">
        <v>239</v>
      </c>
      <c r="F68" s="7" t="s">
        <v>15</v>
      </c>
      <c r="G68" s="7" t="s">
        <v>272</v>
      </c>
      <c r="H68" s="15">
        <v>42.1</v>
      </c>
      <c r="I68" s="15">
        <v>0</v>
      </c>
      <c r="J68" s="7" t="str">
        <f>IFERROR(_xlfn.XLOOKUP(F68,ccustos!A:A,ccustos!B:B),"Sem termo")</f>
        <v>SEPAT</v>
      </c>
    </row>
    <row r="69" spans="1:10" ht="25.5" customHeight="1" x14ac:dyDescent="0.25">
      <c r="A69" s="16">
        <v>10132</v>
      </c>
      <c r="B69" s="17" t="s">
        <v>236</v>
      </c>
      <c r="C69" s="17" t="s">
        <v>241</v>
      </c>
      <c r="D69" s="17" t="s">
        <v>271</v>
      </c>
      <c r="E69" s="17" t="s">
        <v>239</v>
      </c>
      <c r="F69" s="17" t="s">
        <v>15</v>
      </c>
      <c r="G69" s="17" t="s">
        <v>272</v>
      </c>
      <c r="H69" s="18">
        <v>42.1</v>
      </c>
      <c r="I69" s="18">
        <v>141.34</v>
      </c>
      <c r="J69" s="7" t="str">
        <f>IFERROR(_xlfn.XLOOKUP(F69,ccustos!A:A,ccustos!B:B),"Sem termo")</f>
        <v>SEPAT</v>
      </c>
    </row>
    <row r="70" spans="1:10" ht="25.5" customHeight="1" x14ac:dyDescent="0.25">
      <c r="A70" s="14">
        <v>10133</v>
      </c>
      <c r="B70" s="7" t="s">
        <v>236</v>
      </c>
      <c r="C70" s="7" t="s">
        <v>241</v>
      </c>
      <c r="D70" s="7" t="s">
        <v>271</v>
      </c>
      <c r="E70" s="7" t="s">
        <v>239</v>
      </c>
      <c r="F70" s="7" t="s">
        <v>15</v>
      </c>
      <c r="G70" s="7" t="s">
        <v>272</v>
      </c>
      <c r="H70" s="15">
        <v>42.1</v>
      </c>
      <c r="I70" s="15">
        <v>141.34</v>
      </c>
      <c r="J70" s="7" t="str">
        <f>IFERROR(_xlfn.XLOOKUP(F70,ccustos!A:A,ccustos!B:B),"Sem termo")</f>
        <v>SEPAT</v>
      </c>
    </row>
    <row r="71" spans="1:10" ht="25.5" customHeight="1" x14ac:dyDescent="0.25">
      <c r="A71" s="16">
        <v>10134</v>
      </c>
      <c r="B71" s="17" t="s">
        <v>236</v>
      </c>
      <c r="C71" s="17" t="s">
        <v>241</v>
      </c>
      <c r="D71" s="17" t="s">
        <v>271</v>
      </c>
      <c r="E71" s="17" t="s">
        <v>239</v>
      </c>
      <c r="F71" s="17" t="s">
        <v>15</v>
      </c>
      <c r="G71" s="17" t="s">
        <v>272</v>
      </c>
      <c r="H71" s="18">
        <v>42.1</v>
      </c>
      <c r="I71" s="18">
        <v>141.34</v>
      </c>
      <c r="J71" s="7" t="str">
        <f>IFERROR(_xlfn.XLOOKUP(F71,ccustos!A:A,ccustos!B:B),"Sem termo")</f>
        <v>SEPAT</v>
      </c>
    </row>
    <row r="72" spans="1:10" ht="25.5" customHeight="1" x14ac:dyDescent="0.25">
      <c r="A72" s="14">
        <v>10135</v>
      </c>
      <c r="B72" s="7" t="s">
        <v>236</v>
      </c>
      <c r="C72" s="7" t="s">
        <v>241</v>
      </c>
      <c r="D72" s="7" t="s">
        <v>271</v>
      </c>
      <c r="E72" s="7" t="s">
        <v>239</v>
      </c>
      <c r="F72" s="7" t="s">
        <v>15</v>
      </c>
      <c r="G72" s="7" t="s">
        <v>272</v>
      </c>
      <c r="H72" s="15">
        <v>42.1</v>
      </c>
      <c r="I72" s="15">
        <v>141.34</v>
      </c>
      <c r="J72" s="7" t="str">
        <f>IFERROR(_xlfn.XLOOKUP(F72,ccustos!A:A,ccustos!B:B),"Sem termo")</f>
        <v>SEPAT</v>
      </c>
    </row>
    <row r="73" spans="1:10" ht="25.5" customHeight="1" x14ac:dyDescent="0.25">
      <c r="A73" s="16">
        <v>10136</v>
      </c>
      <c r="B73" s="17" t="s">
        <v>236</v>
      </c>
      <c r="C73" s="17" t="s">
        <v>241</v>
      </c>
      <c r="D73" s="17" t="s">
        <v>271</v>
      </c>
      <c r="E73" s="17" t="s">
        <v>239</v>
      </c>
      <c r="F73" s="17" t="s">
        <v>15</v>
      </c>
      <c r="G73" s="17" t="s">
        <v>272</v>
      </c>
      <c r="H73" s="18">
        <v>42.1</v>
      </c>
      <c r="I73" s="18">
        <v>141.34</v>
      </c>
      <c r="J73" s="7" t="str">
        <f>IFERROR(_xlfn.XLOOKUP(F73,ccustos!A:A,ccustos!B:B),"Sem termo")</f>
        <v>SEPAT</v>
      </c>
    </row>
    <row r="74" spans="1:10" ht="25.5" customHeight="1" x14ac:dyDescent="0.25">
      <c r="A74" s="14">
        <v>10137</v>
      </c>
      <c r="B74" s="7" t="s">
        <v>236</v>
      </c>
      <c r="C74" s="7" t="s">
        <v>241</v>
      </c>
      <c r="D74" s="7" t="s">
        <v>271</v>
      </c>
      <c r="E74" s="7" t="s">
        <v>239</v>
      </c>
      <c r="F74" s="7" t="s">
        <v>16</v>
      </c>
      <c r="G74" s="7" t="s">
        <v>272</v>
      </c>
      <c r="H74" s="15">
        <v>42.1</v>
      </c>
      <c r="I74" s="15">
        <v>141.34</v>
      </c>
      <c r="J74" s="7" t="str">
        <f>IFERROR(_xlfn.XLOOKUP(F74,ccustos!A:A,ccustos!B:B),"Sem termo")</f>
        <v>SEPAT</v>
      </c>
    </row>
    <row r="75" spans="1:10" ht="25.5" customHeight="1" x14ac:dyDescent="0.25">
      <c r="A75" s="16">
        <v>10138</v>
      </c>
      <c r="B75" s="17" t="s">
        <v>236</v>
      </c>
      <c r="C75" s="17" t="s">
        <v>241</v>
      </c>
      <c r="D75" s="17" t="s">
        <v>271</v>
      </c>
      <c r="E75" s="17" t="s">
        <v>239</v>
      </c>
      <c r="F75" s="17" t="s">
        <v>16</v>
      </c>
      <c r="G75" s="17" t="s">
        <v>272</v>
      </c>
      <c r="H75" s="18">
        <v>42.1</v>
      </c>
      <c r="I75" s="18">
        <v>141.34</v>
      </c>
      <c r="J75" s="7" t="str">
        <f>IFERROR(_xlfn.XLOOKUP(F75,ccustos!A:A,ccustos!B:B),"Sem termo")</f>
        <v>SEPAT</v>
      </c>
    </row>
    <row r="76" spans="1:10" ht="25.5" customHeight="1" x14ac:dyDescent="0.25">
      <c r="A76" s="14">
        <v>10139</v>
      </c>
      <c r="B76" s="7" t="s">
        <v>236</v>
      </c>
      <c r="C76" s="7" t="s">
        <v>241</v>
      </c>
      <c r="D76" s="7" t="s">
        <v>271</v>
      </c>
      <c r="E76" s="7" t="s">
        <v>239</v>
      </c>
      <c r="F76" s="7" t="s">
        <v>15</v>
      </c>
      <c r="G76" s="7" t="s">
        <v>272</v>
      </c>
      <c r="H76" s="15">
        <v>42.1</v>
      </c>
      <c r="I76" s="15">
        <v>0</v>
      </c>
      <c r="J76" s="7" t="str">
        <f>IFERROR(_xlfn.XLOOKUP(F76,ccustos!A:A,ccustos!B:B),"Sem termo")</f>
        <v>SEPAT</v>
      </c>
    </row>
    <row r="77" spans="1:10" ht="25.5" customHeight="1" x14ac:dyDescent="0.25">
      <c r="A77" s="16">
        <v>10140</v>
      </c>
      <c r="B77" s="17" t="s">
        <v>236</v>
      </c>
      <c r="C77" s="17" t="s">
        <v>241</v>
      </c>
      <c r="D77" s="17" t="s">
        <v>271</v>
      </c>
      <c r="E77" s="17" t="s">
        <v>239</v>
      </c>
      <c r="F77" s="17" t="s">
        <v>15</v>
      </c>
      <c r="G77" s="17" t="s">
        <v>272</v>
      </c>
      <c r="H77" s="18">
        <v>42.1</v>
      </c>
      <c r="I77" s="18">
        <v>141.34</v>
      </c>
      <c r="J77" s="7" t="str">
        <f>IFERROR(_xlfn.XLOOKUP(F77,ccustos!A:A,ccustos!B:B),"Sem termo")</f>
        <v>SEPAT</v>
      </c>
    </row>
    <row r="78" spans="1:10" ht="25.5" customHeight="1" x14ac:dyDescent="0.25">
      <c r="A78" s="14">
        <v>10141</v>
      </c>
      <c r="B78" s="7" t="s">
        <v>236</v>
      </c>
      <c r="C78" s="7" t="s">
        <v>241</v>
      </c>
      <c r="D78" s="7" t="s">
        <v>271</v>
      </c>
      <c r="E78" s="7" t="s">
        <v>239</v>
      </c>
      <c r="F78" s="7" t="s">
        <v>15</v>
      </c>
      <c r="G78" s="7" t="s">
        <v>272</v>
      </c>
      <c r="H78" s="15">
        <v>42.1</v>
      </c>
      <c r="I78" s="15">
        <v>141.34</v>
      </c>
      <c r="J78" s="7" t="str">
        <f>IFERROR(_xlfn.XLOOKUP(F78,ccustos!A:A,ccustos!B:B),"Sem termo")</f>
        <v>SEPAT</v>
      </c>
    </row>
    <row r="79" spans="1:10" ht="25.5" customHeight="1" x14ac:dyDescent="0.25">
      <c r="A79" s="16">
        <v>10142</v>
      </c>
      <c r="B79" s="17" t="s">
        <v>236</v>
      </c>
      <c r="C79" s="17" t="s">
        <v>241</v>
      </c>
      <c r="D79" s="17" t="s">
        <v>271</v>
      </c>
      <c r="E79" s="17" t="s">
        <v>239</v>
      </c>
      <c r="F79" s="17" t="s">
        <v>15</v>
      </c>
      <c r="G79" s="17" t="s">
        <v>272</v>
      </c>
      <c r="H79" s="18">
        <v>42.1</v>
      </c>
      <c r="I79" s="18">
        <v>141.34</v>
      </c>
      <c r="J79" s="7" t="str">
        <f>IFERROR(_xlfn.XLOOKUP(F79,ccustos!A:A,ccustos!B:B),"Sem termo")</f>
        <v>SEPAT</v>
      </c>
    </row>
    <row r="80" spans="1:10" ht="25.5" customHeight="1" x14ac:dyDescent="0.25">
      <c r="A80" s="14">
        <v>10143</v>
      </c>
      <c r="B80" s="7" t="s">
        <v>236</v>
      </c>
      <c r="C80" s="7" t="s">
        <v>241</v>
      </c>
      <c r="D80" s="7" t="s">
        <v>271</v>
      </c>
      <c r="E80" s="7" t="s">
        <v>239</v>
      </c>
      <c r="F80" s="7" t="s">
        <v>15</v>
      </c>
      <c r="G80" s="7" t="s">
        <v>272</v>
      </c>
      <c r="H80" s="15">
        <v>42.1</v>
      </c>
      <c r="I80" s="15">
        <v>141.34</v>
      </c>
      <c r="J80" s="7" t="str">
        <f>IFERROR(_xlfn.XLOOKUP(F80,ccustos!A:A,ccustos!B:B),"Sem termo")</f>
        <v>SEPAT</v>
      </c>
    </row>
    <row r="81" spans="1:10" ht="25.5" customHeight="1" x14ac:dyDescent="0.25">
      <c r="A81" s="16">
        <v>10146</v>
      </c>
      <c r="B81" s="17" t="s">
        <v>236</v>
      </c>
      <c r="C81" s="17" t="s">
        <v>237</v>
      </c>
      <c r="D81" s="17" t="s">
        <v>238</v>
      </c>
      <c r="E81" s="17" t="s">
        <v>239</v>
      </c>
      <c r="F81" s="17" t="s">
        <v>15</v>
      </c>
      <c r="G81" s="17" t="s">
        <v>240</v>
      </c>
      <c r="H81" s="18">
        <v>75.94</v>
      </c>
      <c r="I81" s="18">
        <v>64.540000000000006</v>
      </c>
      <c r="J81" s="7" t="str">
        <f>IFERROR(_xlfn.XLOOKUP(F81,ccustos!A:A,ccustos!B:B),"Sem termo")</f>
        <v>SEPAT</v>
      </c>
    </row>
    <row r="82" spans="1:10" ht="25.5" customHeight="1" x14ac:dyDescent="0.25">
      <c r="A82" s="14">
        <v>10147</v>
      </c>
      <c r="B82" s="7" t="s">
        <v>236</v>
      </c>
      <c r="C82" s="7" t="s">
        <v>241</v>
      </c>
      <c r="D82" s="7" t="s">
        <v>273</v>
      </c>
      <c r="E82" s="7" t="s">
        <v>239</v>
      </c>
      <c r="F82" s="7" t="s">
        <v>15</v>
      </c>
      <c r="G82" s="7" t="s">
        <v>274</v>
      </c>
      <c r="H82" s="15">
        <v>0.01</v>
      </c>
      <c r="I82" s="15">
        <v>173.98</v>
      </c>
      <c r="J82" s="7" t="str">
        <f>IFERROR(_xlfn.XLOOKUP(F82,ccustos!A:A,ccustos!B:B),"Sem termo")</f>
        <v>SEPAT</v>
      </c>
    </row>
    <row r="83" spans="1:10" ht="25.5" customHeight="1" x14ac:dyDescent="0.25">
      <c r="A83" s="16">
        <v>10148</v>
      </c>
      <c r="B83" s="17" t="s">
        <v>236</v>
      </c>
      <c r="C83" s="17" t="s">
        <v>241</v>
      </c>
      <c r="D83" s="17" t="s">
        <v>275</v>
      </c>
      <c r="E83" s="17" t="s">
        <v>239</v>
      </c>
      <c r="F83" s="17" t="s">
        <v>15</v>
      </c>
      <c r="G83" s="17" t="s">
        <v>276</v>
      </c>
      <c r="H83" s="18">
        <v>170.78</v>
      </c>
      <c r="I83" s="18">
        <v>173.98</v>
      </c>
      <c r="J83" s="7" t="str">
        <f>IFERROR(_xlfn.XLOOKUP(F83,ccustos!A:A,ccustos!B:B),"Sem termo")</f>
        <v>SEPAT</v>
      </c>
    </row>
    <row r="84" spans="1:10" ht="25.5" customHeight="1" x14ac:dyDescent="0.25">
      <c r="A84" s="14">
        <v>10149</v>
      </c>
      <c r="B84" s="7" t="s">
        <v>236</v>
      </c>
      <c r="C84" s="7" t="s">
        <v>241</v>
      </c>
      <c r="D84" s="7" t="s">
        <v>271</v>
      </c>
      <c r="E84" s="7" t="s">
        <v>239</v>
      </c>
      <c r="F84" s="7" t="s">
        <v>15</v>
      </c>
      <c r="G84" s="7" t="s">
        <v>272</v>
      </c>
      <c r="H84" s="15">
        <v>42.1</v>
      </c>
      <c r="I84" s="15">
        <v>141.34</v>
      </c>
      <c r="J84" s="7" t="str">
        <f>IFERROR(_xlfn.XLOOKUP(F84,ccustos!A:A,ccustos!B:B),"Sem termo")</f>
        <v>SEPAT</v>
      </c>
    </row>
    <row r="85" spans="1:10" ht="25.5" customHeight="1" x14ac:dyDescent="0.25">
      <c r="A85" s="16">
        <v>10150</v>
      </c>
      <c r="B85" s="17" t="s">
        <v>236</v>
      </c>
      <c r="C85" s="17" t="s">
        <v>241</v>
      </c>
      <c r="D85" s="17" t="s">
        <v>271</v>
      </c>
      <c r="E85" s="17" t="s">
        <v>239</v>
      </c>
      <c r="F85" s="17" t="s">
        <v>15</v>
      </c>
      <c r="G85" s="17" t="s">
        <v>272</v>
      </c>
      <c r="H85" s="18">
        <v>42.1</v>
      </c>
      <c r="I85" s="18">
        <v>141.34</v>
      </c>
      <c r="J85" s="7" t="str">
        <f>IFERROR(_xlfn.XLOOKUP(F85,ccustos!A:A,ccustos!B:B),"Sem termo")</f>
        <v>SEPAT</v>
      </c>
    </row>
    <row r="86" spans="1:10" ht="25.5" customHeight="1" x14ac:dyDescent="0.25">
      <c r="A86" s="14">
        <v>10151</v>
      </c>
      <c r="B86" s="7" t="s">
        <v>236</v>
      </c>
      <c r="C86" s="7" t="s">
        <v>241</v>
      </c>
      <c r="D86" s="7" t="s">
        <v>271</v>
      </c>
      <c r="E86" s="7" t="s">
        <v>239</v>
      </c>
      <c r="F86" s="7" t="s">
        <v>15</v>
      </c>
      <c r="G86" s="7" t="s">
        <v>272</v>
      </c>
      <c r="H86" s="15">
        <v>42.1</v>
      </c>
      <c r="I86" s="15">
        <v>141.34</v>
      </c>
      <c r="J86" s="7" t="str">
        <f>IFERROR(_xlfn.XLOOKUP(F86,ccustos!A:A,ccustos!B:B),"Sem termo")</f>
        <v>SEPAT</v>
      </c>
    </row>
    <row r="87" spans="1:10" ht="25.5" customHeight="1" x14ac:dyDescent="0.25">
      <c r="A87" s="16">
        <v>10153</v>
      </c>
      <c r="B87" s="17" t="s">
        <v>236</v>
      </c>
      <c r="C87" s="17" t="s">
        <v>237</v>
      </c>
      <c r="D87" s="17" t="s">
        <v>277</v>
      </c>
      <c r="E87" s="17" t="s">
        <v>239</v>
      </c>
      <c r="F87" s="17" t="s">
        <v>63</v>
      </c>
      <c r="G87" s="17" t="s">
        <v>278</v>
      </c>
      <c r="H87" s="18">
        <v>201.3</v>
      </c>
      <c r="I87" s="18">
        <v>173.7</v>
      </c>
      <c r="J87" s="7" t="str">
        <f>IFERROR(_xlfn.XLOOKUP(F87,ccustos!A:A,ccustos!B:B),"Sem termo")</f>
        <v>SEPAT</v>
      </c>
    </row>
    <row r="88" spans="1:10" ht="25.5" customHeight="1" x14ac:dyDescent="0.25">
      <c r="A88" s="14">
        <v>10154</v>
      </c>
      <c r="B88" s="7" t="s">
        <v>236</v>
      </c>
      <c r="C88" s="7" t="s">
        <v>237</v>
      </c>
      <c r="D88" s="7" t="s">
        <v>277</v>
      </c>
      <c r="E88" s="7" t="s">
        <v>239</v>
      </c>
      <c r="F88" s="7" t="s">
        <v>0</v>
      </c>
      <c r="G88" s="7" t="s">
        <v>278</v>
      </c>
      <c r="H88" s="15">
        <v>201.3</v>
      </c>
      <c r="I88" s="15">
        <v>173.7</v>
      </c>
      <c r="J88" s="7" t="str">
        <f>IFERROR(_xlfn.XLOOKUP(F88,ccustos!A:A,ccustos!B:B),"Sem termo")</f>
        <v>SEPAT</v>
      </c>
    </row>
    <row r="89" spans="1:10" ht="25.5" customHeight="1" x14ac:dyDescent="0.25">
      <c r="A89" s="16">
        <v>10155</v>
      </c>
      <c r="B89" s="17" t="s">
        <v>236</v>
      </c>
      <c r="C89" s="17" t="s">
        <v>237</v>
      </c>
      <c r="D89" s="17" t="s">
        <v>277</v>
      </c>
      <c r="E89" s="17" t="s">
        <v>239</v>
      </c>
      <c r="F89" s="17" t="s">
        <v>211</v>
      </c>
      <c r="G89" s="17" t="s">
        <v>278</v>
      </c>
      <c r="H89" s="18">
        <v>201.3</v>
      </c>
      <c r="I89" s="18">
        <v>173.7</v>
      </c>
      <c r="J89" s="7" t="str">
        <f>IFERROR(_xlfn.XLOOKUP(F89,ccustos!A:A,ccustos!B:B),"Sem termo")</f>
        <v>DIGEO</v>
      </c>
    </row>
    <row r="90" spans="1:10" ht="25.5" customHeight="1" x14ac:dyDescent="0.25">
      <c r="A90" s="14">
        <v>10157</v>
      </c>
      <c r="B90" s="7" t="s">
        <v>236</v>
      </c>
      <c r="C90" s="7" t="s">
        <v>237</v>
      </c>
      <c r="D90" s="7" t="s">
        <v>279</v>
      </c>
      <c r="E90" s="7" t="s">
        <v>239</v>
      </c>
      <c r="F90" s="7" t="s">
        <v>0</v>
      </c>
      <c r="G90" s="7" t="s">
        <v>280</v>
      </c>
      <c r="H90" s="15">
        <v>565.47</v>
      </c>
      <c r="I90" s="15">
        <v>173.7</v>
      </c>
      <c r="J90" s="7" t="str">
        <f>IFERROR(_xlfn.XLOOKUP(F90,ccustos!A:A,ccustos!B:B),"Sem termo")</f>
        <v>SEPAT</v>
      </c>
    </row>
    <row r="91" spans="1:10" ht="25.5" customHeight="1" x14ac:dyDescent="0.25">
      <c r="A91" s="16">
        <v>10158</v>
      </c>
      <c r="B91" s="17" t="s">
        <v>236</v>
      </c>
      <c r="C91" s="17" t="s">
        <v>237</v>
      </c>
      <c r="D91" s="17" t="s">
        <v>281</v>
      </c>
      <c r="E91" s="17" t="s">
        <v>239</v>
      </c>
      <c r="F91" s="17" t="s">
        <v>21</v>
      </c>
      <c r="G91" s="17" t="s">
        <v>282</v>
      </c>
      <c r="H91" s="18">
        <v>2690</v>
      </c>
      <c r="I91" s="18">
        <v>724.91</v>
      </c>
      <c r="J91" s="7" t="str">
        <f>IFERROR(_xlfn.XLOOKUP(F91,ccustos!A:A,ccustos!B:B),"Sem termo")</f>
        <v>COTEC</v>
      </c>
    </row>
    <row r="92" spans="1:10" ht="25.5" customHeight="1" x14ac:dyDescent="0.25">
      <c r="A92" s="14">
        <v>10159</v>
      </c>
      <c r="B92" s="7" t="s">
        <v>236</v>
      </c>
      <c r="C92" s="7" t="s">
        <v>237</v>
      </c>
      <c r="D92" s="7" t="s">
        <v>283</v>
      </c>
      <c r="E92" s="7" t="s">
        <v>239</v>
      </c>
      <c r="F92" s="7" t="s">
        <v>21</v>
      </c>
      <c r="G92" s="7" t="s">
        <v>282</v>
      </c>
      <c r="H92" s="15">
        <v>2690</v>
      </c>
      <c r="I92" s="15">
        <v>724.91</v>
      </c>
      <c r="J92" s="7" t="str">
        <f>IFERROR(_xlfn.XLOOKUP(F92,ccustos!A:A,ccustos!B:B),"Sem termo")</f>
        <v>COTEC</v>
      </c>
    </row>
    <row r="93" spans="1:10" ht="25.5" customHeight="1" x14ac:dyDescent="0.25">
      <c r="A93" s="16">
        <v>10160</v>
      </c>
      <c r="B93" s="17" t="s">
        <v>236</v>
      </c>
      <c r="C93" s="17" t="s">
        <v>237</v>
      </c>
      <c r="D93" s="17" t="s">
        <v>281</v>
      </c>
      <c r="E93" s="17" t="s">
        <v>239</v>
      </c>
      <c r="F93" s="17" t="s">
        <v>21</v>
      </c>
      <c r="G93" s="17" t="s">
        <v>257</v>
      </c>
      <c r="H93" s="18">
        <v>392</v>
      </c>
      <c r="I93" s="18">
        <v>724.91</v>
      </c>
      <c r="J93" s="7" t="str">
        <f>IFERROR(_xlfn.XLOOKUP(F93,ccustos!A:A,ccustos!B:B),"Sem termo")</f>
        <v>COTEC</v>
      </c>
    </row>
    <row r="94" spans="1:10" ht="25.5" customHeight="1" x14ac:dyDescent="0.25">
      <c r="A94" s="14">
        <v>10161</v>
      </c>
      <c r="B94" s="7" t="s">
        <v>236</v>
      </c>
      <c r="C94" s="7" t="s">
        <v>237</v>
      </c>
      <c r="D94" s="7" t="s">
        <v>284</v>
      </c>
      <c r="E94" s="7" t="s">
        <v>239</v>
      </c>
      <c r="F94" s="7" t="s">
        <v>21</v>
      </c>
      <c r="G94" s="7" t="s">
        <v>282</v>
      </c>
      <c r="H94" s="15">
        <v>2690</v>
      </c>
      <c r="I94" s="15">
        <v>724.91</v>
      </c>
      <c r="J94" s="7" t="str">
        <f>IFERROR(_xlfn.XLOOKUP(F94,ccustos!A:A,ccustos!B:B),"Sem termo")</f>
        <v>COTEC</v>
      </c>
    </row>
    <row r="95" spans="1:10" ht="25.5" customHeight="1" x14ac:dyDescent="0.25">
      <c r="A95" s="16">
        <v>10162</v>
      </c>
      <c r="B95" s="17" t="s">
        <v>236</v>
      </c>
      <c r="C95" s="17" t="s">
        <v>237</v>
      </c>
      <c r="D95" s="17" t="s">
        <v>284</v>
      </c>
      <c r="E95" s="17" t="s">
        <v>239</v>
      </c>
      <c r="F95" s="17" t="s">
        <v>22</v>
      </c>
      <c r="G95" s="17" t="s">
        <v>282</v>
      </c>
      <c r="H95" s="18">
        <v>2690</v>
      </c>
      <c r="I95" s="18">
        <v>724.91</v>
      </c>
      <c r="J95" s="7" t="str">
        <f>IFERROR(_xlfn.XLOOKUP(F95,ccustos!A:A,ccustos!B:B),"Sem termo")</f>
        <v>COTEC</v>
      </c>
    </row>
    <row r="96" spans="1:10" ht="25.5" customHeight="1" x14ac:dyDescent="0.25">
      <c r="A96" s="14">
        <v>10163</v>
      </c>
      <c r="B96" s="7" t="s">
        <v>236</v>
      </c>
      <c r="C96" s="7" t="s">
        <v>237</v>
      </c>
      <c r="D96" s="7" t="s">
        <v>284</v>
      </c>
      <c r="E96" s="7" t="s">
        <v>239</v>
      </c>
      <c r="F96" s="7" t="s">
        <v>21</v>
      </c>
      <c r="G96" s="7" t="s">
        <v>282</v>
      </c>
      <c r="H96" s="15">
        <v>2690</v>
      </c>
      <c r="I96" s="15">
        <v>724.91</v>
      </c>
      <c r="J96" s="7" t="str">
        <f>IFERROR(_xlfn.XLOOKUP(F96,ccustos!A:A,ccustos!B:B),"Sem termo")</f>
        <v>COTEC</v>
      </c>
    </row>
    <row r="97" spans="1:10" ht="25.5" customHeight="1" x14ac:dyDescent="0.25">
      <c r="A97" s="16">
        <v>10164</v>
      </c>
      <c r="B97" s="17" t="s">
        <v>236</v>
      </c>
      <c r="C97" s="17" t="s">
        <v>237</v>
      </c>
      <c r="D97" s="17" t="s">
        <v>284</v>
      </c>
      <c r="E97" s="17" t="s">
        <v>239</v>
      </c>
      <c r="F97" s="17" t="s">
        <v>21</v>
      </c>
      <c r="G97" s="17" t="s">
        <v>282</v>
      </c>
      <c r="H97" s="18">
        <v>2690</v>
      </c>
      <c r="I97" s="18">
        <v>724.91</v>
      </c>
      <c r="J97" s="7" t="str">
        <f>IFERROR(_xlfn.XLOOKUP(F97,ccustos!A:A,ccustos!B:B),"Sem termo")</f>
        <v>COTEC</v>
      </c>
    </row>
    <row r="98" spans="1:10" ht="25.5" customHeight="1" x14ac:dyDescent="0.25">
      <c r="A98" s="14">
        <v>10165</v>
      </c>
      <c r="B98" s="7" t="s">
        <v>236</v>
      </c>
      <c r="C98" s="7" t="s">
        <v>237</v>
      </c>
      <c r="D98" s="7" t="s">
        <v>284</v>
      </c>
      <c r="E98" s="7" t="s">
        <v>239</v>
      </c>
      <c r="F98" s="7" t="s">
        <v>21</v>
      </c>
      <c r="G98" s="7" t="s">
        <v>282</v>
      </c>
      <c r="H98" s="15">
        <v>2690</v>
      </c>
      <c r="I98" s="15">
        <v>724.91</v>
      </c>
      <c r="J98" s="7" t="str">
        <f>IFERROR(_xlfn.XLOOKUP(F98,ccustos!A:A,ccustos!B:B),"Sem termo")</f>
        <v>COTEC</v>
      </c>
    </row>
    <row r="99" spans="1:10" ht="25.5" customHeight="1" x14ac:dyDescent="0.25">
      <c r="A99" s="16">
        <v>10166</v>
      </c>
      <c r="B99" s="17" t="s">
        <v>236</v>
      </c>
      <c r="C99" s="17" t="s">
        <v>237</v>
      </c>
      <c r="D99" s="17" t="s">
        <v>284</v>
      </c>
      <c r="E99" s="17" t="s">
        <v>239</v>
      </c>
      <c r="F99" s="17" t="s">
        <v>23</v>
      </c>
      <c r="G99" s="17" t="s">
        <v>282</v>
      </c>
      <c r="H99" s="18">
        <v>2690</v>
      </c>
      <c r="I99" s="18">
        <v>724.91</v>
      </c>
      <c r="J99" s="7" t="str">
        <f>IFERROR(_xlfn.XLOOKUP(F99,ccustos!A:A,ccustos!B:B),"Sem termo")</f>
        <v>CCI</v>
      </c>
    </row>
    <row r="100" spans="1:10" ht="25.5" customHeight="1" x14ac:dyDescent="0.25">
      <c r="A100" s="14">
        <v>10167</v>
      </c>
      <c r="B100" s="7" t="s">
        <v>236</v>
      </c>
      <c r="C100" s="7" t="s">
        <v>237</v>
      </c>
      <c r="D100" s="7" t="s">
        <v>284</v>
      </c>
      <c r="E100" s="7" t="s">
        <v>239</v>
      </c>
      <c r="F100" s="7" t="s">
        <v>21</v>
      </c>
      <c r="G100" s="7" t="s">
        <v>282</v>
      </c>
      <c r="H100" s="15">
        <v>2690</v>
      </c>
      <c r="I100" s="15">
        <v>724.91</v>
      </c>
      <c r="J100" s="7" t="str">
        <f>IFERROR(_xlfn.XLOOKUP(F100,ccustos!A:A,ccustos!B:B),"Sem termo")</f>
        <v>COTEC</v>
      </c>
    </row>
    <row r="101" spans="1:10" ht="25.5" customHeight="1" x14ac:dyDescent="0.25">
      <c r="A101" s="16">
        <v>10168</v>
      </c>
      <c r="B101" s="17" t="s">
        <v>236</v>
      </c>
      <c r="C101" s="17" t="s">
        <v>237</v>
      </c>
      <c r="D101" s="17" t="s">
        <v>284</v>
      </c>
      <c r="E101" s="17" t="s">
        <v>239</v>
      </c>
      <c r="F101" s="17" t="s">
        <v>21</v>
      </c>
      <c r="G101" s="17" t="s">
        <v>282</v>
      </c>
      <c r="H101" s="18">
        <v>2690</v>
      </c>
      <c r="I101" s="18">
        <v>724.91</v>
      </c>
      <c r="J101" s="7" t="str">
        <f>IFERROR(_xlfn.XLOOKUP(F101,ccustos!A:A,ccustos!B:B),"Sem termo")</f>
        <v>COTEC</v>
      </c>
    </row>
    <row r="102" spans="1:10" ht="25.5" customHeight="1" x14ac:dyDescent="0.25">
      <c r="A102" s="14">
        <v>10169</v>
      </c>
      <c r="B102" s="7" t="s">
        <v>236</v>
      </c>
      <c r="C102" s="7" t="s">
        <v>237</v>
      </c>
      <c r="D102" s="7" t="s">
        <v>284</v>
      </c>
      <c r="E102" s="7" t="s">
        <v>239</v>
      </c>
      <c r="F102" s="7" t="s">
        <v>186</v>
      </c>
      <c r="G102" s="7" t="s">
        <v>282</v>
      </c>
      <c r="H102" s="15">
        <v>2690</v>
      </c>
      <c r="I102" s="15">
        <v>724.91</v>
      </c>
      <c r="J102" s="7" t="str">
        <f>IFERROR(_xlfn.XLOOKUP(F102,ccustos!A:A,ccustos!B:B),"Sem termo")</f>
        <v>CGGE</v>
      </c>
    </row>
    <row r="103" spans="1:10" ht="25.5" customHeight="1" x14ac:dyDescent="0.25">
      <c r="A103" s="16">
        <v>10170</v>
      </c>
      <c r="B103" s="17" t="s">
        <v>236</v>
      </c>
      <c r="C103" s="17" t="s">
        <v>237</v>
      </c>
      <c r="D103" s="17" t="s">
        <v>284</v>
      </c>
      <c r="E103" s="17" t="s">
        <v>239</v>
      </c>
      <c r="F103" s="17" t="s">
        <v>21</v>
      </c>
      <c r="G103" s="17" t="s">
        <v>282</v>
      </c>
      <c r="H103" s="18">
        <v>2690</v>
      </c>
      <c r="I103" s="18">
        <v>724.91</v>
      </c>
      <c r="J103" s="7" t="str">
        <f>IFERROR(_xlfn.XLOOKUP(F103,ccustos!A:A,ccustos!B:B),"Sem termo")</f>
        <v>COTEC</v>
      </c>
    </row>
    <row r="104" spans="1:10" ht="25.5" customHeight="1" x14ac:dyDescent="0.25">
      <c r="A104" s="14">
        <v>10171</v>
      </c>
      <c r="B104" s="7" t="s">
        <v>236</v>
      </c>
      <c r="C104" s="7" t="s">
        <v>237</v>
      </c>
      <c r="D104" s="7" t="s">
        <v>284</v>
      </c>
      <c r="E104" s="7" t="s">
        <v>239</v>
      </c>
      <c r="F104" s="7" t="s">
        <v>23</v>
      </c>
      <c r="G104" s="7" t="s">
        <v>282</v>
      </c>
      <c r="H104" s="15">
        <v>2690</v>
      </c>
      <c r="I104" s="15">
        <v>724.91</v>
      </c>
      <c r="J104" s="7" t="str">
        <f>IFERROR(_xlfn.XLOOKUP(F104,ccustos!A:A,ccustos!B:B),"Sem termo")</f>
        <v>CCI</v>
      </c>
    </row>
    <row r="105" spans="1:10" ht="25.5" customHeight="1" x14ac:dyDescent="0.25">
      <c r="A105" s="16">
        <v>10172</v>
      </c>
      <c r="B105" s="17" t="s">
        <v>236</v>
      </c>
      <c r="C105" s="17" t="s">
        <v>237</v>
      </c>
      <c r="D105" s="17" t="s">
        <v>284</v>
      </c>
      <c r="E105" s="17" t="s">
        <v>239</v>
      </c>
      <c r="F105" s="17" t="s">
        <v>21</v>
      </c>
      <c r="G105" s="17" t="s">
        <v>282</v>
      </c>
      <c r="H105" s="18">
        <v>2690</v>
      </c>
      <c r="I105" s="18">
        <v>724.91</v>
      </c>
      <c r="J105" s="7" t="str">
        <f>IFERROR(_xlfn.XLOOKUP(F105,ccustos!A:A,ccustos!B:B),"Sem termo")</f>
        <v>COTEC</v>
      </c>
    </row>
    <row r="106" spans="1:10" ht="25.5" customHeight="1" x14ac:dyDescent="0.25">
      <c r="A106" s="14">
        <v>10173</v>
      </c>
      <c r="B106" s="7" t="s">
        <v>236</v>
      </c>
      <c r="C106" s="7" t="s">
        <v>241</v>
      </c>
      <c r="D106" s="7" t="s">
        <v>285</v>
      </c>
      <c r="E106" s="7" t="s">
        <v>239</v>
      </c>
      <c r="F106" s="7" t="s">
        <v>6</v>
      </c>
      <c r="G106" s="7" t="s">
        <v>286</v>
      </c>
      <c r="H106" s="15">
        <v>889.44</v>
      </c>
      <c r="I106" s="15">
        <v>235.57</v>
      </c>
      <c r="J106" s="7" t="str">
        <f>IFERROR(_xlfn.XLOOKUP(F106,ccustos!A:A,ccustos!B:B),"Sem termo")</f>
        <v>SEPAT</v>
      </c>
    </row>
    <row r="107" spans="1:10" ht="25.5" customHeight="1" x14ac:dyDescent="0.25">
      <c r="A107" s="16">
        <v>10174</v>
      </c>
      <c r="B107" s="17" t="s">
        <v>236</v>
      </c>
      <c r="C107" s="17" t="s">
        <v>241</v>
      </c>
      <c r="D107" s="17" t="s">
        <v>285</v>
      </c>
      <c r="E107" s="17" t="s">
        <v>239</v>
      </c>
      <c r="F107" s="17" t="s">
        <v>6</v>
      </c>
      <c r="G107" s="17" t="s">
        <v>287</v>
      </c>
      <c r="H107" s="18">
        <v>490</v>
      </c>
      <c r="I107" s="18">
        <v>159</v>
      </c>
      <c r="J107" s="7" t="str">
        <f>IFERROR(_xlfn.XLOOKUP(F107,ccustos!A:A,ccustos!B:B),"Sem termo")</f>
        <v>SEPAT</v>
      </c>
    </row>
    <row r="108" spans="1:10" ht="25.5" customHeight="1" x14ac:dyDescent="0.25">
      <c r="A108" s="14">
        <v>10175</v>
      </c>
      <c r="B108" s="7" t="s">
        <v>236</v>
      </c>
      <c r="C108" s="7" t="s">
        <v>241</v>
      </c>
      <c r="D108" s="7" t="s">
        <v>288</v>
      </c>
      <c r="E108" s="7" t="s">
        <v>239</v>
      </c>
      <c r="F108" s="7" t="s">
        <v>22</v>
      </c>
      <c r="G108" s="7" t="s">
        <v>289</v>
      </c>
      <c r="H108" s="15">
        <v>131.78</v>
      </c>
      <c r="I108" s="15">
        <v>141.63</v>
      </c>
      <c r="J108" s="7" t="str">
        <f>IFERROR(_xlfn.XLOOKUP(F108,ccustos!A:A,ccustos!B:B),"Sem termo")</f>
        <v>COTEC</v>
      </c>
    </row>
    <row r="109" spans="1:10" ht="25.5" customHeight="1" x14ac:dyDescent="0.25">
      <c r="A109" s="16">
        <v>10177</v>
      </c>
      <c r="B109" s="17" t="s">
        <v>236</v>
      </c>
      <c r="C109" s="17" t="s">
        <v>241</v>
      </c>
      <c r="D109" s="17" t="s">
        <v>290</v>
      </c>
      <c r="E109" s="17" t="s">
        <v>239</v>
      </c>
      <c r="F109" s="17" t="s">
        <v>21</v>
      </c>
      <c r="G109" s="17" t="s">
        <v>291</v>
      </c>
      <c r="H109" s="18">
        <v>95.58</v>
      </c>
      <c r="I109" s="18">
        <v>141.34</v>
      </c>
      <c r="J109" s="7" t="str">
        <f>IFERROR(_xlfn.XLOOKUP(F109,ccustos!A:A,ccustos!B:B),"Sem termo")</f>
        <v>COTEC</v>
      </c>
    </row>
    <row r="110" spans="1:10" ht="36.75" customHeight="1" x14ac:dyDescent="0.25">
      <c r="A110" s="14">
        <v>10178</v>
      </c>
      <c r="B110" s="7" t="s">
        <v>236</v>
      </c>
      <c r="C110" s="7" t="s">
        <v>241</v>
      </c>
      <c r="D110" s="7" t="s">
        <v>292</v>
      </c>
      <c r="E110" s="7" t="s">
        <v>239</v>
      </c>
      <c r="F110" s="7" t="s">
        <v>21</v>
      </c>
      <c r="G110" s="7" t="s">
        <v>293</v>
      </c>
      <c r="H110" s="15">
        <v>0.01</v>
      </c>
      <c r="I110" s="15">
        <v>298.10000000000002</v>
      </c>
      <c r="J110" s="7" t="str">
        <f>IFERROR(_xlfn.XLOOKUP(F110,ccustos!A:A,ccustos!B:B),"Sem termo")</f>
        <v>COTEC</v>
      </c>
    </row>
    <row r="111" spans="1:10" ht="25.5" customHeight="1" x14ac:dyDescent="0.25">
      <c r="A111" s="16">
        <v>10180</v>
      </c>
      <c r="B111" s="17" t="s">
        <v>236</v>
      </c>
      <c r="C111" s="17" t="s">
        <v>294</v>
      </c>
      <c r="D111" s="17" t="s">
        <v>295</v>
      </c>
      <c r="E111" s="17" t="s">
        <v>239</v>
      </c>
      <c r="F111" s="17" t="s">
        <v>21</v>
      </c>
      <c r="G111" s="17" t="s">
        <v>296</v>
      </c>
      <c r="H111" s="18">
        <v>432</v>
      </c>
      <c r="I111" s="18">
        <v>291.89</v>
      </c>
      <c r="J111" s="7" t="str">
        <f>IFERROR(_xlfn.XLOOKUP(F111,ccustos!A:A,ccustos!B:B),"Sem termo")</f>
        <v>COTEC</v>
      </c>
    </row>
    <row r="112" spans="1:10" ht="25.5" customHeight="1" x14ac:dyDescent="0.25">
      <c r="A112" s="14">
        <v>10181</v>
      </c>
      <c r="B112" s="7" t="s">
        <v>236</v>
      </c>
      <c r="C112" s="7" t="s">
        <v>294</v>
      </c>
      <c r="D112" s="7" t="s">
        <v>297</v>
      </c>
      <c r="E112" s="7" t="s">
        <v>239</v>
      </c>
      <c r="F112" s="7" t="s">
        <v>21</v>
      </c>
      <c r="G112" s="7" t="s">
        <v>298</v>
      </c>
      <c r="H112" s="15">
        <v>0.01</v>
      </c>
      <c r="I112" s="15">
        <v>189.38</v>
      </c>
      <c r="J112" s="7" t="str">
        <f>IFERROR(_xlfn.XLOOKUP(F112,ccustos!A:A,ccustos!B:B),"Sem termo")</f>
        <v>COTEC</v>
      </c>
    </row>
    <row r="113" spans="1:10" ht="25.5" customHeight="1" x14ac:dyDescent="0.25">
      <c r="A113" s="16">
        <v>10182</v>
      </c>
      <c r="B113" s="17" t="s">
        <v>236</v>
      </c>
      <c r="C113" s="17" t="s">
        <v>294</v>
      </c>
      <c r="D113" s="17" t="s">
        <v>295</v>
      </c>
      <c r="E113" s="17" t="s">
        <v>239</v>
      </c>
      <c r="F113" s="17" t="s">
        <v>21</v>
      </c>
      <c r="G113" s="17" t="s">
        <v>257</v>
      </c>
      <c r="H113" s="18">
        <v>432</v>
      </c>
      <c r="I113" s="18">
        <v>291.89</v>
      </c>
      <c r="J113" s="7" t="str">
        <f>IFERROR(_xlfn.XLOOKUP(F113,ccustos!A:A,ccustos!B:B),"Sem termo")</f>
        <v>COTEC</v>
      </c>
    </row>
    <row r="114" spans="1:10" ht="36.75" customHeight="1" x14ac:dyDescent="0.25">
      <c r="A114" s="14">
        <v>10183</v>
      </c>
      <c r="B114" s="7" t="s">
        <v>236</v>
      </c>
      <c r="C114" s="7" t="s">
        <v>294</v>
      </c>
      <c r="D114" s="7" t="s">
        <v>295</v>
      </c>
      <c r="E114" s="7" t="s">
        <v>239</v>
      </c>
      <c r="F114" s="7" t="s">
        <v>21</v>
      </c>
      <c r="G114" s="7" t="s">
        <v>257</v>
      </c>
      <c r="H114" s="15">
        <v>432</v>
      </c>
      <c r="I114" s="15">
        <v>291.89</v>
      </c>
      <c r="J114" s="7" t="str">
        <f>IFERROR(_xlfn.XLOOKUP(F114,ccustos!A:A,ccustos!B:B),"Sem termo")</f>
        <v>COTEC</v>
      </c>
    </row>
    <row r="115" spans="1:10" ht="36.75" customHeight="1" x14ac:dyDescent="0.25">
      <c r="A115" s="16">
        <v>10184</v>
      </c>
      <c r="B115" s="17" t="s">
        <v>236</v>
      </c>
      <c r="C115" s="17" t="s">
        <v>294</v>
      </c>
      <c r="D115" s="17" t="s">
        <v>299</v>
      </c>
      <c r="E115" s="17" t="s">
        <v>239</v>
      </c>
      <c r="F115" s="17" t="s">
        <v>21</v>
      </c>
      <c r="G115" s="17" t="s">
        <v>296</v>
      </c>
      <c r="H115" s="18">
        <v>432</v>
      </c>
      <c r="I115" s="18">
        <v>291.89</v>
      </c>
      <c r="J115" s="7" t="str">
        <f>IFERROR(_xlfn.XLOOKUP(F115,ccustos!A:A,ccustos!B:B),"Sem termo")</f>
        <v>COTEC</v>
      </c>
    </row>
    <row r="116" spans="1:10" ht="36.75" customHeight="1" x14ac:dyDescent="0.25">
      <c r="A116" s="14">
        <v>10185</v>
      </c>
      <c r="B116" s="7" t="s">
        <v>236</v>
      </c>
      <c r="C116" s="7" t="s">
        <v>294</v>
      </c>
      <c r="D116" s="7" t="s">
        <v>295</v>
      </c>
      <c r="E116" s="7" t="s">
        <v>239</v>
      </c>
      <c r="F116" s="7" t="s">
        <v>21</v>
      </c>
      <c r="G116" s="7" t="s">
        <v>296</v>
      </c>
      <c r="H116" s="15">
        <v>432</v>
      </c>
      <c r="I116" s="15">
        <v>291.89</v>
      </c>
      <c r="J116" s="7" t="str">
        <f>IFERROR(_xlfn.XLOOKUP(F116,ccustos!A:A,ccustos!B:B),"Sem termo")</f>
        <v>COTEC</v>
      </c>
    </row>
    <row r="117" spans="1:10" ht="36.75" customHeight="1" x14ac:dyDescent="0.25">
      <c r="A117" s="16">
        <v>10186</v>
      </c>
      <c r="B117" s="17" t="s">
        <v>236</v>
      </c>
      <c r="C117" s="17" t="s">
        <v>300</v>
      </c>
      <c r="D117" s="17" t="s">
        <v>301</v>
      </c>
      <c r="E117" s="17" t="s">
        <v>239</v>
      </c>
      <c r="F117" s="17" t="s">
        <v>21</v>
      </c>
      <c r="G117" s="17" t="s">
        <v>296</v>
      </c>
      <c r="H117" s="18">
        <v>1890</v>
      </c>
      <c r="I117" s="18">
        <v>1277.03</v>
      </c>
      <c r="J117" s="7" t="str">
        <f>IFERROR(_xlfn.XLOOKUP(F117,ccustos!A:A,ccustos!B:B),"Sem termo")</f>
        <v>COTEC</v>
      </c>
    </row>
    <row r="118" spans="1:10" ht="36.75" customHeight="1" x14ac:dyDescent="0.25">
      <c r="A118" s="14">
        <v>10187</v>
      </c>
      <c r="B118" s="7" t="s">
        <v>236</v>
      </c>
      <c r="C118" s="7" t="s">
        <v>237</v>
      </c>
      <c r="D118" s="7" t="s">
        <v>302</v>
      </c>
      <c r="E118" s="7" t="s">
        <v>239</v>
      </c>
      <c r="F118" s="7" t="s">
        <v>303</v>
      </c>
      <c r="G118" s="7" t="s">
        <v>280</v>
      </c>
      <c r="H118" s="15">
        <v>310.76</v>
      </c>
      <c r="I118" s="15">
        <v>176.69</v>
      </c>
      <c r="J118" s="7" t="str">
        <f>IFERROR(_xlfn.XLOOKUP(F118,ccustos!A:A,ccustos!B:B),"Sem termo")</f>
        <v>Sem termo</v>
      </c>
    </row>
    <row r="119" spans="1:10" ht="36.75" customHeight="1" x14ac:dyDescent="0.25">
      <c r="A119" s="16">
        <v>10188</v>
      </c>
      <c r="B119" s="17" t="s">
        <v>236</v>
      </c>
      <c r="C119" s="17" t="s">
        <v>237</v>
      </c>
      <c r="D119" s="17" t="s">
        <v>302</v>
      </c>
      <c r="E119" s="17" t="s">
        <v>239</v>
      </c>
      <c r="F119" s="17" t="s">
        <v>22</v>
      </c>
      <c r="G119" s="17" t="s">
        <v>280</v>
      </c>
      <c r="H119" s="18">
        <v>310.76</v>
      </c>
      <c r="I119" s="18">
        <v>176.69</v>
      </c>
      <c r="J119" s="7" t="str">
        <f>IFERROR(_xlfn.XLOOKUP(F119,ccustos!A:A,ccustos!B:B),"Sem termo")</f>
        <v>COTEC</v>
      </c>
    </row>
    <row r="120" spans="1:10" ht="36.75" customHeight="1" x14ac:dyDescent="0.25">
      <c r="A120" s="14">
        <v>10189</v>
      </c>
      <c r="B120" s="7" t="s">
        <v>236</v>
      </c>
      <c r="C120" s="7" t="s">
        <v>237</v>
      </c>
      <c r="D120" s="7" t="s">
        <v>304</v>
      </c>
      <c r="E120" s="7" t="s">
        <v>239</v>
      </c>
      <c r="F120" s="7" t="s">
        <v>211</v>
      </c>
      <c r="G120" s="7" t="s">
        <v>305</v>
      </c>
      <c r="H120" s="15">
        <v>373.77</v>
      </c>
      <c r="I120" s="15">
        <v>176.69</v>
      </c>
      <c r="J120" s="7" t="str">
        <f>IFERROR(_xlfn.XLOOKUP(F120,ccustos!A:A,ccustos!B:B),"Sem termo")</f>
        <v>DIGEO</v>
      </c>
    </row>
    <row r="121" spans="1:10" ht="36.75" customHeight="1" x14ac:dyDescent="0.25">
      <c r="A121" s="16">
        <v>10190</v>
      </c>
      <c r="B121" s="17" t="s">
        <v>236</v>
      </c>
      <c r="C121" s="17" t="s">
        <v>237</v>
      </c>
      <c r="D121" s="17" t="s">
        <v>302</v>
      </c>
      <c r="E121" s="17" t="s">
        <v>239</v>
      </c>
      <c r="F121" s="17" t="s">
        <v>303</v>
      </c>
      <c r="G121" s="17" t="s">
        <v>280</v>
      </c>
      <c r="H121" s="18">
        <v>310.77</v>
      </c>
      <c r="I121" s="18">
        <v>176.69</v>
      </c>
      <c r="J121" s="7" t="str">
        <f>IFERROR(_xlfn.XLOOKUP(F121,ccustos!A:A,ccustos!B:B),"Sem termo")</f>
        <v>Sem termo</v>
      </c>
    </row>
    <row r="122" spans="1:10" ht="36.75" customHeight="1" x14ac:dyDescent="0.25">
      <c r="A122" s="14">
        <v>10191</v>
      </c>
      <c r="B122" s="7" t="s">
        <v>236</v>
      </c>
      <c r="C122" s="7" t="s">
        <v>306</v>
      </c>
      <c r="D122" s="7" t="s">
        <v>307</v>
      </c>
      <c r="E122" s="7" t="s">
        <v>239</v>
      </c>
      <c r="F122" s="7" t="s">
        <v>185</v>
      </c>
      <c r="G122" s="7" t="s">
        <v>308</v>
      </c>
      <c r="H122" s="15">
        <v>310.75</v>
      </c>
      <c r="I122" s="15">
        <v>158.06</v>
      </c>
      <c r="J122" s="7" t="str">
        <f>IFERROR(_xlfn.XLOOKUP(F122,ccustos!A:A,ccustos!B:B),"Sem termo")</f>
        <v>CGGE</v>
      </c>
    </row>
    <row r="123" spans="1:10" ht="36.75" customHeight="1" x14ac:dyDescent="0.25">
      <c r="A123" s="16">
        <v>10192</v>
      </c>
      <c r="B123" s="17" t="s">
        <v>236</v>
      </c>
      <c r="C123" s="17" t="s">
        <v>306</v>
      </c>
      <c r="D123" s="17" t="s">
        <v>307</v>
      </c>
      <c r="E123" s="17" t="s">
        <v>239</v>
      </c>
      <c r="F123" s="17" t="s">
        <v>24</v>
      </c>
      <c r="G123" s="17" t="s">
        <v>308</v>
      </c>
      <c r="H123" s="18">
        <v>310.75</v>
      </c>
      <c r="I123" s="18">
        <v>151.19999999999999</v>
      </c>
      <c r="J123" s="7" t="str">
        <f>IFERROR(_xlfn.XLOOKUP(F123,ccustos!A:A,ccustos!B:B),"Sem termo")</f>
        <v>DEINFRA</v>
      </c>
    </row>
    <row r="124" spans="1:10" ht="36.75" customHeight="1" x14ac:dyDescent="0.25">
      <c r="A124" s="14">
        <v>10193</v>
      </c>
      <c r="B124" s="7" t="s">
        <v>236</v>
      </c>
      <c r="C124" s="7" t="s">
        <v>241</v>
      </c>
      <c r="D124" s="7" t="s">
        <v>309</v>
      </c>
      <c r="E124" s="7" t="s">
        <v>239</v>
      </c>
      <c r="F124" s="7" t="s">
        <v>21</v>
      </c>
      <c r="G124" s="7" t="s">
        <v>289</v>
      </c>
      <c r="H124" s="15">
        <v>330.02</v>
      </c>
      <c r="I124" s="15">
        <v>151.61000000000001</v>
      </c>
      <c r="J124" s="7" t="str">
        <f>IFERROR(_xlfn.XLOOKUP(F124,ccustos!A:A,ccustos!B:B),"Sem termo")</f>
        <v>COTEC</v>
      </c>
    </row>
    <row r="125" spans="1:10" ht="36.75" customHeight="1" x14ac:dyDescent="0.25">
      <c r="A125" s="16">
        <v>10194</v>
      </c>
      <c r="B125" s="17" t="s">
        <v>236</v>
      </c>
      <c r="C125" s="17" t="s">
        <v>237</v>
      </c>
      <c r="D125" s="17" t="s">
        <v>310</v>
      </c>
      <c r="E125" s="17" t="s">
        <v>239</v>
      </c>
      <c r="F125" s="17" t="s">
        <v>25</v>
      </c>
      <c r="G125" s="17" t="s">
        <v>311</v>
      </c>
      <c r="H125" s="18">
        <v>2297.58</v>
      </c>
      <c r="I125" s="18">
        <v>707.59</v>
      </c>
      <c r="J125" s="7" t="str">
        <f>IFERROR(_xlfn.XLOOKUP(F125,ccustos!A:A,ccustos!B:B),"Sem termo")</f>
        <v>COTEC</v>
      </c>
    </row>
    <row r="126" spans="1:10" ht="36.75" customHeight="1" x14ac:dyDescent="0.25">
      <c r="A126" s="14">
        <v>10195</v>
      </c>
      <c r="B126" s="7" t="s">
        <v>236</v>
      </c>
      <c r="C126" s="7" t="s">
        <v>237</v>
      </c>
      <c r="D126" s="7" t="s">
        <v>310</v>
      </c>
      <c r="E126" s="7" t="s">
        <v>239</v>
      </c>
      <c r="F126" s="7" t="s">
        <v>25</v>
      </c>
      <c r="G126" s="7" t="s">
        <v>311</v>
      </c>
      <c r="H126" s="15">
        <v>2297.58</v>
      </c>
      <c r="I126" s="15">
        <v>707.59</v>
      </c>
      <c r="J126" s="7" t="str">
        <f>IFERROR(_xlfn.XLOOKUP(F126,ccustos!A:A,ccustos!B:B),"Sem termo")</f>
        <v>COTEC</v>
      </c>
    </row>
    <row r="127" spans="1:10" ht="36.75" customHeight="1" x14ac:dyDescent="0.25">
      <c r="A127" s="16">
        <v>10196</v>
      </c>
      <c r="B127" s="17" t="s">
        <v>236</v>
      </c>
      <c r="C127" s="17" t="s">
        <v>237</v>
      </c>
      <c r="D127" s="17" t="s">
        <v>312</v>
      </c>
      <c r="E127" s="17" t="s">
        <v>239</v>
      </c>
      <c r="F127" s="17" t="s">
        <v>25</v>
      </c>
      <c r="G127" s="17" t="s">
        <v>311</v>
      </c>
      <c r="H127" s="18">
        <v>2897.35</v>
      </c>
      <c r="I127" s="18">
        <v>765.82</v>
      </c>
      <c r="J127" s="7" t="str">
        <f>IFERROR(_xlfn.XLOOKUP(F127,ccustos!A:A,ccustos!B:B),"Sem termo")</f>
        <v>COTEC</v>
      </c>
    </row>
    <row r="128" spans="1:10" ht="36.75" customHeight="1" x14ac:dyDescent="0.25">
      <c r="A128" s="14">
        <v>10197</v>
      </c>
      <c r="B128" s="7" t="s">
        <v>236</v>
      </c>
      <c r="C128" s="7" t="s">
        <v>313</v>
      </c>
      <c r="D128" s="7" t="s">
        <v>314</v>
      </c>
      <c r="E128" s="7" t="s">
        <v>250</v>
      </c>
      <c r="F128" s="7" t="s">
        <v>25</v>
      </c>
      <c r="G128" s="7" t="s">
        <v>315</v>
      </c>
      <c r="H128" s="15">
        <v>620</v>
      </c>
      <c r="I128" s="15">
        <v>196.91</v>
      </c>
      <c r="J128" s="7" t="str">
        <f>IFERROR(_xlfn.XLOOKUP(F128,ccustos!A:A,ccustos!B:B),"Sem termo")</f>
        <v>COTEC</v>
      </c>
    </row>
    <row r="129" spans="1:10" ht="36.75" customHeight="1" x14ac:dyDescent="0.25">
      <c r="A129" s="16">
        <v>10198</v>
      </c>
      <c r="B129" s="17" t="s">
        <v>236</v>
      </c>
      <c r="C129" s="17" t="s">
        <v>316</v>
      </c>
      <c r="D129" s="17" t="s">
        <v>317</v>
      </c>
      <c r="E129" s="17" t="s">
        <v>318</v>
      </c>
      <c r="F129" s="17" t="s">
        <v>25</v>
      </c>
      <c r="G129" s="17" t="s">
        <v>319</v>
      </c>
      <c r="H129" s="18">
        <v>696</v>
      </c>
      <c r="I129" s="18">
        <v>394.79</v>
      </c>
      <c r="J129" s="7" t="str">
        <f>IFERROR(_xlfn.XLOOKUP(F129,ccustos!A:A,ccustos!B:B),"Sem termo")</f>
        <v>COTEC</v>
      </c>
    </row>
    <row r="130" spans="1:10" ht="36.75" customHeight="1" x14ac:dyDescent="0.25">
      <c r="A130" s="14">
        <v>10199</v>
      </c>
      <c r="B130" s="7" t="s">
        <v>236</v>
      </c>
      <c r="C130" s="7" t="s">
        <v>320</v>
      </c>
      <c r="D130" s="7" t="s">
        <v>321</v>
      </c>
      <c r="E130" s="7" t="s">
        <v>250</v>
      </c>
      <c r="F130" s="7" t="s">
        <v>16</v>
      </c>
      <c r="G130" s="7" t="s">
        <v>322</v>
      </c>
      <c r="H130" s="15">
        <v>1428</v>
      </c>
      <c r="I130" s="15">
        <v>634.94000000000005</v>
      </c>
      <c r="J130" s="7" t="str">
        <f>IFERROR(_xlfn.XLOOKUP(F130,ccustos!A:A,ccustos!B:B),"Sem termo")</f>
        <v>SEPAT</v>
      </c>
    </row>
    <row r="131" spans="1:10" ht="36.75" customHeight="1" x14ac:dyDescent="0.25">
      <c r="A131" s="16">
        <v>10200</v>
      </c>
      <c r="B131" s="17" t="s">
        <v>236</v>
      </c>
      <c r="C131" s="17" t="s">
        <v>241</v>
      </c>
      <c r="D131" s="17" t="s">
        <v>323</v>
      </c>
      <c r="E131" s="17" t="s">
        <v>239</v>
      </c>
      <c r="F131" s="17" t="s">
        <v>25</v>
      </c>
      <c r="G131" s="17" t="s">
        <v>324</v>
      </c>
      <c r="H131" s="18">
        <v>5576.64</v>
      </c>
      <c r="I131" s="18">
        <v>2479.59</v>
      </c>
      <c r="J131" s="7" t="str">
        <f>IFERROR(_xlfn.XLOOKUP(F131,ccustos!A:A,ccustos!B:B),"Sem termo")</f>
        <v>COTEC</v>
      </c>
    </row>
    <row r="132" spans="1:10" ht="36.75" customHeight="1" x14ac:dyDescent="0.25">
      <c r="A132" s="14">
        <v>10201</v>
      </c>
      <c r="B132" s="7" t="s">
        <v>236</v>
      </c>
      <c r="C132" s="7" t="s">
        <v>325</v>
      </c>
      <c r="D132" s="7" t="s">
        <v>326</v>
      </c>
      <c r="E132" s="7" t="s">
        <v>239</v>
      </c>
      <c r="F132" s="7" t="s">
        <v>25</v>
      </c>
      <c r="G132" s="7" t="s">
        <v>311</v>
      </c>
      <c r="H132" s="15">
        <v>2279.6799999999998</v>
      </c>
      <c r="I132" s="15">
        <v>998.17</v>
      </c>
      <c r="J132" s="7" t="str">
        <f>IFERROR(_xlfn.XLOOKUP(F132,ccustos!A:A,ccustos!B:B),"Sem termo")</f>
        <v>COTEC</v>
      </c>
    </row>
    <row r="133" spans="1:10" ht="36.75" customHeight="1" x14ac:dyDescent="0.25">
      <c r="A133" s="16">
        <v>10202</v>
      </c>
      <c r="B133" s="17" t="s">
        <v>236</v>
      </c>
      <c r="C133" s="17" t="s">
        <v>327</v>
      </c>
      <c r="D133" s="17" t="s">
        <v>328</v>
      </c>
      <c r="E133" s="17" t="s">
        <v>239</v>
      </c>
      <c r="F133" s="17" t="s">
        <v>185</v>
      </c>
      <c r="G133" s="17" t="s">
        <v>329</v>
      </c>
      <c r="H133" s="18">
        <v>3150</v>
      </c>
      <c r="I133" s="18">
        <v>2128.39</v>
      </c>
      <c r="J133" s="7" t="str">
        <f>IFERROR(_xlfn.XLOOKUP(F133,ccustos!A:A,ccustos!B:B),"Sem termo")</f>
        <v>CGGE</v>
      </c>
    </row>
    <row r="134" spans="1:10" ht="25.5" customHeight="1" x14ac:dyDescent="0.25">
      <c r="A134" s="14">
        <v>10203</v>
      </c>
      <c r="B134" s="7" t="s">
        <v>236</v>
      </c>
      <c r="C134" s="7" t="s">
        <v>241</v>
      </c>
      <c r="D134" s="7" t="s">
        <v>330</v>
      </c>
      <c r="E134" s="7" t="s">
        <v>239</v>
      </c>
      <c r="F134" s="7" t="s">
        <v>185</v>
      </c>
      <c r="G134" s="7" t="s">
        <v>331</v>
      </c>
      <c r="H134" s="15">
        <v>446</v>
      </c>
      <c r="I134" s="15">
        <v>1634.57</v>
      </c>
      <c r="J134" s="7" t="str">
        <f>IFERROR(_xlfn.XLOOKUP(F134,ccustos!A:A,ccustos!B:B),"Sem termo")</f>
        <v>CGGE</v>
      </c>
    </row>
    <row r="135" spans="1:10" ht="25.5" customHeight="1" x14ac:dyDescent="0.25">
      <c r="A135" s="16">
        <v>10207</v>
      </c>
      <c r="B135" s="17" t="s">
        <v>236</v>
      </c>
      <c r="C135" s="17" t="s">
        <v>237</v>
      </c>
      <c r="D135" s="17" t="s">
        <v>332</v>
      </c>
      <c r="E135" s="17" t="s">
        <v>239</v>
      </c>
      <c r="F135" s="17" t="s">
        <v>0</v>
      </c>
      <c r="G135" s="17" t="s">
        <v>278</v>
      </c>
      <c r="H135" s="18">
        <v>354.2</v>
      </c>
      <c r="I135" s="18">
        <v>202.69</v>
      </c>
      <c r="J135" s="7" t="str">
        <f>IFERROR(_xlfn.XLOOKUP(F135,ccustos!A:A,ccustos!B:B),"Sem termo")</f>
        <v>SEPAT</v>
      </c>
    </row>
    <row r="136" spans="1:10" ht="25.5" customHeight="1" x14ac:dyDescent="0.25">
      <c r="A136" s="14">
        <v>10210</v>
      </c>
      <c r="B136" s="7" t="s">
        <v>236</v>
      </c>
      <c r="C136" s="7" t="s">
        <v>333</v>
      </c>
      <c r="D136" s="7" t="s">
        <v>334</v>
      </c>
      <c r="E136" s="7" t="s">
        <v>335</v>
      </c>
      <c r="F136" s="7" t="s">
        <v>6</v>
      </c>
      <c r="G136" s="7" t="s">
        <v>336</v>
      </c>
      <c r="H136" s="15">
        <v>750</v>
      </c>
      <c r="I136" s="15">
        <v>152.19999999999999</v>
      </c>
      <c r="J136" s="7" t="str">
        <f>IFERROR(_xlfn.XLOOKUP(F136,ccustos!A:A,ccustos!B:B),"Sem termo")</f>
        <v>SEPAT</v>
      </c>
    </row>
    <row r="137" spans="1:10" ht="36.75" customHeight="1" x14ac:dyDescent="0.25">
      <c r="A137" s="16">
        <v>10211</v>
      </c>
      <c r="B137" s="17" t="s">
        <v>236</v>
      </c>
      <c r="C137" s="17" t="s">
        <v>337</v>
      </c>
      <c r="D137" s="17" t="s">
        <v>338</v>
      </c>
      <c r="E137" s="17" t="s">
        <v>239</v>
      </c>
      <c r="F137" s="17" t="s">
        <v>303</v>
      </c>
      <c r="G137" s="17" t="s">
        <v>339</v>
      </c>
      <c r="H137" s="18">
        <v>237</v>
      </c>
      <c r="I137" s="18">
        <v>213.43</v>
      </c>
      <c r="J137" s="7" t="str">
        <f>IFERROR(_xlfn.XLOOKUP(F137,ccustos!A:A,ccustos!B:B),"Sem termo")</f>
        <v>Sem termo</v>
      </c>
    </row>
    <row r="138" spans="1:10" ht="25.5" customHeight="1" x14ac:dyDescent="0.25">
      <c r="A138" s="14">
        <v>10212</v>
      </c>
      <c r="B138" s="7" t="s">
        <v>236</v>
      </c>
      <c r="C138" s="7" t="s">
        <v>333</v>
      </c>
      <c r="D138" s="7" t="s">
        <v>340</v>
      </c>
      <c r="E138" s="7" t="s">
        <v>335</v>
      </c>
      <c r="F138" s="7" t="s">
        <v>27</v>
      </c>
      <c r="G138" s="7" t="s">
        <v>336</v>
      </c>
      <c r="H138" s="15">
        <v>750</v>
      </c>
      <c r="I138" s="15">
        <v>152.19999999999999</v>
      </c>
      <c r="J138" s="7" t="str">
        <f>IFERROR(_xlfn.XLOOKUP(F138,ccustos!A:A,ccustos!B:B),"Sem termo")</f>
        <v>CCI</v>
      </c>
    </row>
    <row r="139" spans="1:10" ht="36.75" customHeight="1" x14ac:dyDescent="0.25">
      <c r="A139" s="16">
        <v>10214</v>
      </c>
      <c r="B139" s="17" t="s">
        <v>236</v>
      </c>
      <c r="C139" s="17" t="s">
        <v>237</v>
      </c>
      <c r="D139" s="17" t="s">
        <v>341</v>
      </c>
      <c r="E139" s="17" t="s">
        <v>239</v>
      </c>
      <c r="F139" s="17" t="s">
        <v>0</v>
      </c>
      <c r="G139" s="17" t="s">
        <v>342</v>
      </c>
      <c r="H139" s="18">
        <v>1289.05</v>
      </c>
      <c r="I139" s="18">
        <v>405.3</v>
      </c>
      <c r="J139" s="7" t="str">
        <f>IFERROR(_xlfn.XLOOKUP(F139,ccustos!A:A,ccustos!B:B),"Sem termo")</f>
        <v>SEPAT</v>
      </c>
    </row>
    <row r="140" spans="1:10" ht="25.5" customHeight="1" x14ac:dyDescent="0.25">
      <c r="A140" s="14">
        <v>10215</v>
      </c>
      <c r="B140" s="7" t="s">
        <v>236</v>
      </c>
      <c r="C140" s="7" t="s">
        <v>337</v>
      </c>
      <c r="D140" s="7" t="s">
        <v>338</v>
      </c>
      <c r="E140" s="7" t="s">
        <v>239</v>
      </c>
      <c r="F140" s="7" t="s">
        <v>22</v>
      </c>
      <c r="G140" s="7" t="s">
        <v>339</v>
      </c>
      <c r="H140" s="15">
        <v>237</v>
      </c>
      <c r="I140" s="15">
        <v>213.43</v>
      </c>
      <c r="J140" s="7" t="str">
        <f>IFERROR(_xlfn.XLOOKUP(F140,ccustos!A:A,ccustos!B:B),"Sem termo")</f>
        <v>COTEC</v>
      </c>
    </row>
    <row r="141" spans="1:10" ht="25.5" customHeight="1" x14ac:dyDescent="0.25">
      <c r="A141" s="16">
        <v>10216</v>
      </c>
      <c r="B141" s="17" t="s">
        <v>236</v>
      </c>
      <c r="C141" s="17" t="s">
        <v>237</v>
      </c>
      <c r="D141" s="17" t="s">
        <v>302</v>
      </c>
      <c r="E141" s="17" t="s">
        <v>239</v>
      </c>
      <c r="F141" s="17" t="s">
        <v>303</v>
      </c>
      <c r="G141" s="17" t="s">
        <v>280</v>
      </c>
      <c r="H141" s="18">
        <v>310.76</v>
      </c>
      <c r="I141" s="18">
        <v>149.01</v>
      </c>
      <c r="J141" s="7" t="str">
        <f>IFERROR(_xlfn.XLOOKUP(F141,ccustos!A:A,ccustos!B:B),"Sem termo")</f>
        <v>Sem termo</v>
      </c>
    </row>
    <row r="142" spans="1:10" ht="25.5" customHeight="1" x14ac:dyDescent="0.25">
      <c r="A142" s="14">
        <v>10217</v>
      </c>
      <c r="B142" s="7" t="s">
        <v>236</v>
      </c>
      <c r="C142" s="7" t="s">
        <v>237</v>
      </c>
      <c r="D142" s="7" t="s">
        <v>302</v>
      </c>
      <c r="E142" s="7" t="s">
        <v>239</v>
      </c>
      <c r="F142" s="7" t="s">
        <v>303</v>
      </c>
      <c r="G142" s="7" t="s">
        <v>343</v>
      </c>
      <c r="H142" s="15">
        <v>292.58</v>
      </c>
      <c r="I142" s="15">
        <v>149.01</v>
      </c>
      <c r="J142" s="7" t="str">
        <f>IFERROR(_xlfn.XLOOKUP(F142,ccustos!A:A,ccustos!B:B),"Sem termo")</f>
        <v>Sem termo</v>
      </c>
    </row>
    <row r="143" spans="1:10" ht="25.5" customHeight="1" x14ac:dyDescent="0.25">
      <c r="A143" s="16">
        <v>10218</v>
      </c>
      <c r="B143" s="17" t="s">
        <v>236</v>
      </c>
      <c r="C143" s="17" t="s">
        <v>241</v>
      </c>
      <c r="D143" s="17" t="s">
        <v>344</v>
      </c>
      <c r="E143" s="17" t="s">
        <v>239</v>
      </c>
      <c r="F143" s="17" t="s">
        <v>22</v>
      </c>
      <c r="G143" s="17" t="s">
        <v>345</v>
      </c>
      <c r="H143" s="18">
        <v>1819.94</v>
      </c>
      <c r="I143" s="18">
        <v>263.05</v>
      </c>
      <c r="J143" s="7" t="str">
        <f>IFERROR(_xlfn.XLOOKUP(F143,ccustos!A:A,ccustos!B:B),"Sem termo")</f>
        <v>COTEC</v>
      </c>
    </row>
    <row r="144" spans="1:10" ht="25.5" customHeight="1" x14ac:dyDescent="0.25">
      <c r="A144" s="14">
        <v>10220</v>
      </c>
      <c r="B144" s="7" t="s">
        <v>236</v>
      </c>
      <c r="C144" s="7" t="s">
        <v>337</v>
      </c>
      <c r="D144" s="7" t="s">
        <v>346</v>
      </c>
      <c r="E144" s="7" t="s">
        <v>239</v>
      </c>
      <c r="F144" s="7" t="s">
        <v>22</v>
      </c>
      <c r="G144" s="7" t="s">
        <v>331</v>
      </c>
      <c r="H144" s="15">
        <v>298</v>
      </c>
      <c r="I144" s="15">
        <v>213.43</v>
      </c>
      <c r="J144" s="7" t="str">
        <f>IFERROR(_xlfn.XLOOKUP(F144,ccustos!A:A,ccustos!B:B),"Sem termo")</f>
        <v>COTEC</v>
      </c>
    </row>
    <row r="145" spans="1:10" ht="25.5" customHeight="1" x14ac:dyDescent="0.25">
      <c r="A145" s="16">
        <v>10222</v>
      </c>
      <c r="B145" s="17" t="s">
        <v>236</v>
      </c>
      <c r="C145" s="17" t="s">
        <v>333</v>
      </c>
      <c r="D145" s="17" t="s">
        <v>347</v>
      </c>
      <c r="E145" s="17" t="s">
        <v>335</v>
      </c>
      <c r="F145" s="17" t="s">
        <v>20</v>
      </c>
      <c r="G145" s="17" t="s">
        <v>348</v>
      </c>
      <c r="H145" s="18">
        <v>618.41999999999996</v>
      </c>
      <c r="I145" s="18">
        <v>152.19999999999999</v>
      </c>
      <c r="J145" s="7" t="str">
        <f>IFERROR(_xlfn.XLOOKUP(F145,ccustos!A:A,ccustos!B:B),"Sem termo")</f>
        <v>CGTI</v>
      </c>
    </row>
    <row r="146" spans="1:10" ht="36.75" customHeight="1" x14ac:dyDescent="0.25">
      <c r="A146" s="14">
        <v>10223</v>
      </c>
      <c r="B146" s="7" t="s">
        <v>236</v>
      </c>
      <c r="C146" s="7" t="s">
        <v>337</v>
      </c>
      <c r="D146" s="7" t="s">
        <v>349</v>
      </c>
      <c r="E146" s="7" t="s">
        <v>239</v>
      </c>
      <c r="F146" s="7" t="s">
        <v>53</v>
      </c>
      <c r="G146" s="7" t="s">
        <v>350</v>
      </c>
      <c r="H146" s="15">
        <v>227.27</v>
      </c>
      <c r="I146" s="15">
        <v>498</v>
      </c>
      <c r="J146" s="7" t="str">
        <f>IFERROR(_xlfn.XLOOKUP(F146,ccustos!A:A,ccustos!B:B),"Sem termo")</f>
        <v>DELIC</v>
      </c>
    </row>
    <row r="147" spans="1:10" ht="25.5" customHeight="1" x14ac:dyDescent="0.25">
      <c r="A147" s="16">
        <v>10227</v>
      </c>
      <c r="B147" s="17" t="s">
        <v>236</v>
      </c>
      <c r="C147" s="17" t="s">
        <v>337</v>
      </c>
      <c r="D147" s="17" t="s">
        <v>351</v>
      </c>
      <c r="E147" s="17" t="s">
        <v>239</v>
      </c>
      <c r="F147" s="17" t="s">
        <v>30</v>
      </c>
      <c r="G147" s="17" t="s">
        <v>331</v>
      </c>
      <c r="H147" s="18">
        <v>298</v>
      </c>
      <c r="I147" s="18">
        <v>222.85</v>
      </c>
      <c r="J147" s="7" t="str">
        <f>IFERROR(_xlfn.XLOOKUP(F147,ccustos!A:A,ccustos!B:B),"Sem termo")</f>
        <v>COFIS</v>
      </c>
    </row>
    <row r="148" spans="1:10" ht="25.5" customHeight="1" x14ac:dyDescent="0.25">
      <c r="A148" s="14">
        <v>10229</v>
      </c>
      <c r="B148" s="7" t="s">
        <v>236</v>
      </c>
      <c r="C148" s="7" t="s">
        <v>333</v>
      </c>
      <c r="D148" s="7" t="s">
        <v>352</v>
      </c>
      <c r="E148" s="7" t="s">
        <v>335</v>
      </c>
      <c r="F148" s="7" t="s">
        <v>27</v>
      </c>
      <c r="G148" s="7" t="s">
        <v>336</v>
      </c>
      <c r="H148" s="15">
        <v>750</v>
      </c>
      <c r="I148" s="15">
        <v>58.27</v>
      </c>
      <c r="J148" s="7" t="str">
        <f>IFERROR(_xlfn.XLOOKUP(F148,ccustos!A:A,ccustos!B:B),"Sem termo")</f>
        <v>CCI</v>
      </c>
    </row>
    <row r="149" spans="1:10" ht="25.5" customHeight="1" x14ac:dyDescent="0.25">
      <c r="A149" s="16">
        <v>10232</v>
      </c>
      <c r="B149" s="17" t="s">
        <v>236</v>
      </c>
      <c r="C149" s="17" t="s">
        <v>333</v>
      </c>
      <c r="D149" s="17" t="s">
        <v>353</v>
      </c>
      <c r="E149" s="17" t="s">
        <v>335</v>
      </c>
      <c r="F149" s="17" t="s">
        <v>205</v>
      </c>
      <c r="G149" s="17" t="s">
        <v>336</v>
      </c>
      <c r="H149" s="18">
        <v>750</v>
      </c>
      <c r="I149" s="18">
        <v>152.19999999999999</v>
      </c>
      <c r="J149" s="7" t="str">
        <f>IFERROR(_xlfn.XLOOKUP(F149,ccustos!A:A,ccustos!B:B),"Sem termo")</f>
        <v>CCOM</v>
      </c>
    </row>
    <row r="150" spans="1:10" ht="25.5" customHeight="1" x14ac:dyDescent="0.25">
      <c r="A150" s="14">
        <v>10239</v>
      </c>
      <c r="B150" s="7" t="s">
        <v>236</v>
      </c>
      <c r="C150" s="7" t="s">
        <v>337</v>
      </c>
      <c r="D150" s="7" t="s">
        <v>346</v>
      </c>
      <c r="E150" s="7" t="s">
        <v>239</v>
      </c>
      <c r="F150" s="7" t="s">
        <v>205</v>
      </c>
      <c r="G150" s="7" t="s">
        <v>331</v>
      </c>
      <c r="H150" s="15">
        <v>298</v>
      </c>
      <c r="I150" s="15">
        <v>213.43</v>
      </c>
      <c r="J150" s="7" t="str">
        <f>IFERROR(_xlfn.XLOOKUP(F150,ccustos!A:A,ccustos!B:B),"Sem termo")</f>
        <v>CCOM</v>
      </c>
    </row>
    <row r="151" spans="1:10" ht="36.75" customHeight="1" x14ac:dyDescent="0.25">
      <c r="A151" s="16">
        <v>10240</v>
      </c>
      <c r="B151" s="17" t="s">
        <v>236</v>
      </c>
      <c r="C151" s="17" t="s">
        <v>241</v>
      </c>
      <c r="D151" s="17" t="s">
        <v>354</v>
      </c>
      <c r="E151" s="17" t="s">
        <v>239</v>
      </c>
      <c r="F151" s="17" t="s">
        <v>64</v>
      </c>
      <c r="G151" s="17" t="s">
        <v>339</v>
      </c>
      <c r="H151" s="18">
        <v>238</v>
      </c>
      <c r="I151" s="18">
        <v>141.34</v>
      </c>
      <c r="J151" s="7" t="str">
        <f>IFERROR(_xlfn.XLOOKUP(F151,ccustos!A:A,ccustos!B:B),"Sem termo")</f>
        <v>SEPAT</v>
      </c>
    </row>
    <row r="152" spans="1:10" ht="36.75" customHeight="1" x14ac:dyDescent="0.25">
      <c r="A152" s="14">
        <v>10241</v>
      </c>
      <c r="B152" s="7" t="s">
        <v>236</v>
      </c>
      <c r="C152" s="7" t="s">
        <v>337</v>
      </c>
      <c r="D152" s="7" t="s">
        <v>349</v>
      </c>
      <c r="E152" s="7" t="s">
        <v>239</v>
      </c>
      <c r="F152" s="7" t="s">
        <v>22</v>
      </c>
      <c r="G152" s="7" t="s">
        <v>350</v>
      </c>
      <c r="H152" s="15">
        <v>227.27</v>
      </c>
      <c r="I152" s="15">
        <v>498</v>
      </c>
      <c r="J152" s="7" t="str">
        <f>IFERROR(_xlfn.XLOOKUP(F152,ccustos!A:A,ccustos!B:B),"Sem termo")</f>
        <v>COTEC</v>
      </c>
    </row>
    <row r="153" spans="1:10" ht="25.5" customHeight="1" x14ac:dyDescent="0.25">
      <c r="A153" s="16">
        <v>10242</v>
      </c>
      <c r="B153" s="17" t="s">
        <v>236</v>
      </c>
      <c r="C153" s="17" t="s">
        <v>306</v>
      </c>
      <c r="D153" s="17" t="s">
        <v>355</v>
      </c>
      <c r="E153" s="17" t="s">
        <v>239</v>
      </c>
      <c r="F153" s="17" t="s">
        <v>22</v>
      </c>
      <c r="G153" s="17" t="s">
        <v>356</v>
      </c>
      <c r="H153" s="18">
        <v>5500.2</v>
      </c>
      <c r="I153" s="18">
        <v>807.74</v>
      </c>
      <c r="J153" s="7" t="str">
        <f>IFERROR(_xlfn.XLOOKUP(F153,ccustos!A:A,ccustos!B:B),"Sem termo")</f>
        <v>COTEC</v>
      </c>
    </row>
    <row r="154" spans="1:10" ht="36.75" customHeight="1" x14ac:dyDescent="0.25">
      <c r="A154" s="14">
        <v>10243</v>
      </c>
      <c r="B154" s="7" t="s">
        <v>236</v>
      </c>
      <c r="C154" s="7" t="s">
        <v>313</v>
      </c>
      <c r="D154" s="7" t="s">
        <v>357</v>
      </c>
      <c r="E154" s="7" t="s">
        <v>250</v>
      </c>
      <c r="F154" s="7" t="s">
        <v>22</v>
      </c>
      <c r="G154" s="7" t="s">
        <v>315</v>
      </c>
      <c r="H154" s="15">
        <v>620</v>
      </c>
      <c r="I154" s="15">
        <v>196.91</v>
      </c>
      <c r="J154" s="7" t="str">
        <f>IFERROR(_xlfn.XLOOKUP(F154,ccustos!A:A,ccustos!B:B),"Sem termo")</f>
        <v>COTEC</v>
      </c>
    </row>
    <row r="155" spans="1:10" ht="36.75" customHeight="1" x14ac:dyDescent="0.25">
      <c r="A155" s="16">
        <v>10244</v>
      </c>
      <c r="B155" s="17" t="s">
        <v>236</v>
      </c>
      <c r="C155" s="17" t="s">
        <v>237</v>
      </c>
      <c r="D155" s="17" t="s">
        <v>358</v>
      </c>
      <c r="E155" s="17" t="s">
        <v>239</v>
      </c>
      <c r="F155" s="17" t="s">
        <v>22</v>
      </c>
      <c r="G155" s="17" t="s">
        <v>311</v>
      </c>
      <c r="H155" s="18">
        <v>1021.01</v>
      </c>
      <c r="I155" s="18">
        <v>397.35</v>
      </c>
      <c r="J155" s="7" t="str">
        <f>IFERROR(_xlfn.XLOOKUP(F155,ccustos!A:A,ccustos!B:B),"Sem termo")</f>
        <v>COTEC</v>
      </c>
    </row>
    <row r="156" spans="1:10" ht="36.75" customHeight="1" x14ac:dyDescent="0.25">
      <c r="A156" s="14">
        <v>10245</v>
      </c>
      <c r="B156" s="7" t="s">
        <v>236</v>
      </c>
      <c r="C156" s="7" t="s">
        <v>237</v>
      </c>
      <c r="D156" s="7" t="s">
        <v>358</v>
      </c>
      <c r="E156" s="7" t="s">
        <v>239</v>
      </c>
      <c r="F156" s="7" t="s">
        <v>22</v>
      </c>
      <c r="G156" s="7" t="s">
        <v>311</v>
      </c>
      <c r="H156" s="15">
        <v>1021.01</v>
      </c>
      <c r="I156" s="15">
        <v>397.35</v>
      </c>
      <c r="J156" s="7" t="str">
        <f>IFERROR(_xlfn.XLOOKUP(F156,ccustos!A:A,ccustos!B:B),"Sem termo")</f>
        <v>COTEC</v>
      </c>
    </row>
    <row r="157" spans="1:10" ht="36.75" customHeight="1" x14ac:dyDescent="0.25">
      <c r="A157" s="16">
        <v>10246</v>
      </c>
      <c r="B157" s="17" t="s">
        <v>236</v>
      </c>
      <c r="C157" s="17" t="s">
        <v>241</v>
      </c>
      <c r="D157" s="17" t="s">
        <v>359</v>
      </c>
      <c r="E157" s="17" t="s">
        <v>239</v>
      </c>
      <c r="F157" s="17" t="s">
        <v>22</v>
      </c>
      <c r="G157" s="17" t="s">
        <v>324</v>
      </c>
      <c r="H157" s="18">
        <v>1267.6099999999999</v>
      </c>
      <c r="I157" s="18">
        <v>563.63</v>
      </c>
      <c r="J157" s="7" t="str">
        <f>IFERROR(_xlfn.XLOOKUP(F157,ccustos!A:A,ccustos!B:B),"Sem termo")</f>
        <v>COTEC</v>
      </c>
    </row>
    <row r="158" spans="1:10" ht="36.75" customHeight="1" x14ac:dyDescent="0.25">
      <c r="A158" s="14">
        <v>10247</v>
      </c>
      <c r="B158" s="7" t="s">
        <v>236</v>
      </c>
      <c r="C158" s="7" t="s">
        <v>237</v>
      </c>
      <c r="D158" s="7" t="s">
        <v>360</v>
      </c>
      <c r="E158" s="7" t="s">
        <v>239</v>
      </c>
      <c r="F158" s="7" t="s">
        <v>33</v>
      </c>
      <c r="G158" s="7" t="s">
        <v>282</v>
      </c>
      <c r="H158" s="15">
        <v>2690</v>
      </c>
      <c r="I158" s="15">
        <v>765.82</v>
      </c>
      <c r="J158" s="7" t="str">
        <f>IFERROR(_xlfn.XLOOKUP(F158,ccustos!A:A,ccustos!B:B),"Sem termo")</f>
        <v>COPI</v>
      </c>
    </row>
    <row r="159" spans="1:10" ht="14.25" customHeight="1" x14ac:dyDescent="0.25">
      <c r="A159" s="16">
        <v>10248</v>
      </c>
      <c r="B159" s="17" t="s">
        <v>236</v>
      </c>
      <c r="C159" s="17" t="s">
        <v>237</v>
      </c>
      <c r="D159" s="17" t="s">
        <v>360</v>
      </c>
      <c r="E159" s="17" t="s">
        <v>239</v>
      </c>
      <c r="F159" s="17" t="s">
        <v>27</v>
      </c>
      <c r="G159" s="17" t="s">
        <v>282</v>
      </c>
      <c r="H159" s="18">
        <v>2690</v>
      </c>
      <c r="I159" s="18">
        <v>765.82</v>
      </c>
      <c r="J159" s="7" t="str">
        <f>IFERROR(_xlfn.XLOOKUP(F159,ccustos!A:A,ccustos!B:B),"Sem termo")</f>
        <v>CCI</v>
      </c>
    </row>
    <row r="160" spans="1:10" ht="48" customHeight="1" x14ac:dyDescent="0.25">
      <c r="A160" s="14">
        <v>10249</v>
      </c>
      <c r="B160" s="7" t="s">
        <v>236</v>
      </c>
      <c r="C160" s="7" t="s">
        <v>237</v>
      </c>
      <c r="D160" s="7" t="s">
        <v>360</v>
      </c>
      <c r="E160" s="7" t="s">
        <v>239</v>
      </c>
      <c r="F160" s="7" t="s">
        <v>33</v>
      </c>
      <c r="G160" s="7" t="s">
        <v>282</v>
      </c>
      <c r="H160" s="15">
        <v>2690</v>
      </c>
      <c r="I160" s="15">
        <v>765.82</v>
      </c>
      <c r="J160" s="7" t="str">
        <f>IFERROR(_xlfn.XLOOKUP(F160,ccustos!A:A,ccustos!B:B),"Sem termo")</f>
        <v>COPI</v>
      </c>
    </row>
    <row r="161" spans="1:10" ht="25.5" customHeight="1" x14ac:dyDescent="0.25">
      <c r="A161" s="16">
        <v>10250</v>
      </c>
      <c r="B161" s="17" t="s">
        <v>236</v>
      </c>
      <c r="C161" s="17" t="s">
        <v>237</v>
      </c>
      <c r="D161" s="17" t="s">
        <v>360</v>
      </c>
      <c r="E161" s="17" t="s">
        <v>239</v>
      </c>
      <c r="F161" s="17" t="s">
        <v>33</v>
      </c>
      <c r="G161" s="17" t="s">
        <v>282</v>
      </c>
      <c r="H161" s="18">
        <v>2690</v>
      </c>
      <c r="I161" s="18">
        <v>765.82</v>
      </c>
      <c r="J161" s="7" t="str">
        <f>IFERROR(_xlfn.XLOOKUP(F161,ccustos!A:A,ccustos!B:B),"Sem termo")</f>
        <v>COPI</v>
      </c>
    </row>
    <row r="162" spans="1:10" ht="25.5" customHeight="1" x14ac:dyDescent="0.25">
      <c r="A162" s="14">
        <v>10251</v>
      </c>
      <c r="B162" s="7" t="s">
        <v>236</v>
      </c>
      <c r="C162" s="7" t="s">
        <v>237</v>
      </c>
      <c r="D162" s="7" t="s">
        <v>360</v>
      </c>
      <c r="E162" s="7" t="s">
        <v>239</v>
      </c>
      <c r="F162" s="7" t="s">
        <v>28</v>
      </c>
      <c r="G162" s="7" t="s">
        <v>282</v>
      </c>
      <c r="H162" s="15">
        <v>2690</v>
      </c>
      <c r="I162" s="15">
        <v>765.82</v>
      </c>
      <c r="J162" s="7" t="str">
        <f>IFERROR(_xlfn.XLOOKUP(F162,ccustos!A:A,ccustos!B:B),"Sem termo")</f>
        <v>COPI</v>
      </c>
    </row>
    <row r="163" spans="1:10" ht="25.5" customHeight="1" x14ac:dyDescent="0.25">
      <c r="A163" s="16">
        <v>10252</v>
      </c>
      <c r="B163" s="17" t="s">
        <v>236</v>
      </c>
      <c r="C163" s="17" t="s">
        <v>237</v>
      </c>
      <c r="D163" s="17" t="s">
        <v>360</v>
      </c>
      <c r="E163" s="17" t="s">
        <v>239</v>
      </c>
      <c r="F163" s="17" t="s">
        <v>33</v>
      </c>
      <c r="G163" s="17" t="s">
        <v>282</v>
      </c>
      <c r="H163" s="18">
        <v>2690</v>
      </c>
      <c r="I163" s="18">
        <v>765.82</v>
      </c>
      <c r="J163" s="7" t="str">
        <f>IFERROR(_xlfn.XLOOKUP(F163,ccustos!A:A,ccustos!B:B),"Sem termo")</f>
        <v>COPI</v>
      </c>
    </row>
    <row r="164" spans="1:10" ht="36.75" customHeight="1" x14ac:dyDescent="0.25">
      <c r="A164" s="14">
        <v>10253</v>
      </c>
      <c r="B164" s="7" t="s">
        <v>236</v>
      </c>
      <c r="C164" s="7" t="s">
        <v>237</v>
      </c>
      <c r="D164" s="7" t="s">
        <v>360</v>
      </c>
      <c r="E164" s="7" t="s">
        <v>239</v>
      </c>
      <c r="F164" s="7" t="s">
        <v>28</v>
      </c>
      <c r="G164" s="7" t="s">
        <v>282</v>
      </c>
      <c r="H164" s="15">
        <v>2690</v>
      </c>
      <c r="I164" s="15">
        <v>765.82</v>
      </c>
      <c r="J164" s="7" t="str">
        <f>IFERROR(_xlfn.XLOOKUP(F164,ccustos!A:A,ccustos!B:B),"Sem termo")</f>
        <v>COPI</v>
      </c>
    </row>
    <row r="165" spans="1:10" ht="36.75" customHeight="1" x14ac:dyDescent="0.25">
      <c r="A165" s="16">
        <v>10254</v>
      </c>
      <c r="B165" s="17" t="s">
        <v>236</v>
      </c>
      <c r="C165" s="17" t="s">
        <v>237</v>
      </c>
      <c r="D165" s="17" t="s">
        <v>360</v>
      </c>
      <c r="E165" s="17" t="s">
        <v>239</v>
      </c>
      <c r="F165" s="17" t="s">
        <v>28</v>
      </c>
      <c r="G165" s="17" t="s">
        <v>282</v>
      </c>
      <c r="H165" s="18">
        <v>2690</v>
      </c>
      <c r="I165" s="18">
        <v>765.82</v>
      </c>
      <c r="J165" s="7" t="str">
        <f>IFERROR(_xlfn.XLOOKUP(F165,ccustos!A:A,ccustos!B:B),"Sem termo")</f>
        <v>COPI</v>
      </c>
    </row>
    <row r="166" spans="1:10" ht="36.75" customHeight="1" x14ac:dyDescent="0.25">
      <c r="A166" s="14">
        <v>10255</v>
      </c>
      <c r="B166" s="7" t="s">
        <v>236</v>
      </c>
      <c r="C166" s="7" t="s">
        <v>237</v>
      </c>
      <c r="D166" s="7" t="s">
        <v>360</v>
      </c>
      <c r="E166" s="7" t="s">
        <v>239</v>
      </c>
      <c r="F166" s="7" t="s">
        <v>35</v>
      </c>
      <c r="G166" s="7" t="s">
        <v>282</v>
      </c>
      <c r="H166" s="15">
        <v>2690</v>
      </c>
      <c r="I166" s="15">
        <v>765.82</v>
      </c>
      <c r="J166" s="7" t="str">
        <f>IFERROR(_xlfn.XLOOKUP(F166,ccustos!A:A,ccustos!B:B),"Sem termo")</f>
        <v>DEINFRA</v>
      </c>
    </row>
    <row r="167" spans="1:10" ht="25.5" customHeight="1" x14ac:dyDescent="0.25">
      <c r="A167" s="16">
        <v>10256</v>
      </c>
      <c r="B167" s="17" t="s">
        <v>236</v>
      </c>
      <c r="C167" s="17" t="s">
        <v>241</v>
      </c>
      <c r="D167" s="17" t="s">
        <v>361</v>
      </c>
      <c r="E167" s="17" t="s">
        <v>239</v>
      </c>
      <c r="F167" s="17" t="s">
        <v>33</v>
      </c>
      <c r="G167" s="17" t="s">
        <v>324</v>
      </c>
      <c r="H167" s="18">
        <v>6249.39</v>
      </c>
      <c r="I167" s="18">
        <v>2778.72</v>
      </c>
      <c r="J167" s="7" t="str">
        <f>IFERROR(_xlfn.XLOOKUP(F167,ccustos!A:A,ccustos!B:B),"Sem termo")</f>
        <v>COPI</v>
      </c>
    </row>
    <row r="168" spans="1:10" ht="36.75" customHeight="1" x14ac:dyDescent="0.25">
      <c r="A168" s="14">
        <v>10257</v>
      </c>
      <c r="B168" s="7" t="s">
        <v>236</v>
      </c>
      <c r="C168" s="7" t="s">
        <v>241</v>
      </c>
      <c r="D168" s="7" t="s">
        <v>362</v>
      </c>
      <c r="E168" s="7" t="s">
        <v>239</v>
      </c>
      <c r="F168" s="7" t="s">
        <v>6</v>
      </c>
      <c r="G168" s="7" t="s">
        <v>331</v>
      </c>
      <c r="H168" s="15">
        <v>232</v>
      </c>
      <c r="I168" s="15">
        <v>95.8</v>
      </c>
      <c r="J168" s="7" t="str">
        <f>IFERROR(_xlfn.XLOOKUP(F168,ccustos!A:A,ccustos!B:B),"Sem termo")</f>
        <v>SEPAT</v>
      </c>
    </row>
    <row r="169" spans="1:10" ht="36.75" customHeight="1" x14ac:dyDescent="0.25">
      <c r="A169" s="16">
        <v>10258</v>
      </c>
      <c r="B169" s="17" t="s">
        <v>236</v>
      </c>
      <c r="C169" s="17" t="s">
        <v>306</v>
      </c>
      <c r="D169" s="17" t="s">
        <v>363</v>
      </c>
      <c r="E169" s="17" t="s">
        <v>239</v>
      </c>
      <c r="F169" s="17" t="s">
        <v>28</v>
      </c>
      <c r="G169" s="17" t="s">
        <v>331</v>
      </c>
      <c r="H169" s="18">
        <v>812</v>
      </c>
      <c r="I169" s="18">
        <v>195.89</v>
      </c>
      <c r="J169" s="7" t="str">
        <f>IFERROR(_xlfn.XLOOKUP(F169,ccustos!A:A,ccustos!B:B),"Sem termo")</f>
        <v>COPI</v>
      </c>
    </row>
    <row r="170" spans="1:10" ht="25.5" customHeight="1" x14ac:dyDescent="0.25">
      <c r="A170" s="14">
        <v>10259</v>
      </c>
      <c r="B170" s="7" t="s">
        <v>236</v>
      </c>
      <c r="C170" s="7" t="s">
        <v>364</v>
      </c>
      <c r="D170" s="7" t="s">
        <v>364</v>
      </c>
      <c r="E170" s="7" t="s">
        <v>250</v>
      </c>
      <c r="F170" s="7" t="s">
        <v>7</v>
      </c>
      <c r="G170" s="7" t="s">
        <v>322</v>
      </c>
      <c r="H170" s="15">
        <v>2409.12</v>
      </c>
      <c r="I170" s="15">
        <v>596.03</v>
      </c>
      <c r="J170" s="7" t="str">
        <f>IFERROR(_xlfn.XLOOKUP(F170,ccustos!A:A,ccustos!B:B),"Sem termo")</f>
        <v>SEPAT</v>
      </c>
    </row>
    <row r="171" spans="1:10" ht="25.5" customHeight="1" x14ac:dyDescent="0.25">
      <c r="A171" s="16">
        <v>10264</v>
      </c>
      <c r="B171" s="17" t="s">
        <v>236</v>
      </c>
      <c r="C171" s="17" t="s">
        <v>333</v>
      </c>
      <c r="D171" s="17" t="s">
        <v>365</v>
      </c>
      <c r="E171" s="17" t="s">
        <v>335</v>
      </c>
      <c r="F171" s="17" t="s">
        <v>37</v>
      </c>
      <c r="G171" s="17" t="s">
        <v>366</v>
      </c>
      <c r="H171" s="18">
        <v>618.41999999999996</v>
      </c>
      <c r="I171" s="18">
        <v>142.68</v>
      </c>
      <c r="J171" s="7" t="str">
        <f>IFERROR(_xlfn.XLOOKUP(F171,ccustos!A:A,ccustos!B:B),"Sem termo")</f>
        <v>PROJUR</v>
      </c>
    </row>
    <row r="172" spans="1:10" ht="25.5" customHeight="1" x14ac:dyDescent="0.25">
      <c r="A172" s="14">
        <v>10271</v>
      </c>
      <c r="B172" s="7" t="s">
        <v>236</v>
      </c>
      <c r="C172" s="7" t="s">
        <v>241</v>
      </c>
      <c r="D172" s="7" t="s">
        <v>367</v>
      </c>
      <c r="E172" s="7" t="s">
        <v>239</v>
      </c>
      <c r="F172" s="7" t="s">
        <v>28</v>
      </c>
      <c r="G172" s="7" t="s">
        <v>345</v>
      </c>
      <c r="H172" s="15">
        <v>1819.94</v>
      </c>
      <c r="I172" s="15">
        <v>900.39</v>
      </c>
      <c r="J172" s="7" t="str">
        <f>IFERROR(_xlfn.XLOOKUP(F172,ccustos!A:A,ccustos!B:B),"Sem termo")</f>
        <v>COPI</v>
      </c>
    </row>
    <row r="173" spans="1:10" ht="25.5" customHeight="1" x14ac:dyDescent="0.25">
      <c r="A173" s="16">
        <v>10272</v>
      </c>
      <c r="B173" s="17" t="s">
        <v>236</v>
      </c>
      <c r="C173" s="17" t="s">
        <v>306</v>
      </c>
      <c r="D173" s="17" t="s">
        <v>307</v>
      </c>
      <c r="E173" s="17" t="s">
        <v>239</v>
      </c>
      <c r="F173" s="17" t="s">
        <v>185</v>
      </c>
      <c r="G173" s="17" t="s">
        <v>308</v>
      </c>
      <c r="H173" s="18">
        <v>310.75</v>
      </c>
      <c r="I173" s="18">
        <v>151.19999999999999</v>
      </c>
      <c r="J173" s="7" t="str">
        <f>IFERROR(_xlfn.XLOOKUP(F173,ccustos!A:A,ccustos!B:B),"Sem termo")</f>
        <v>CGGE</v>
      </c>
    </row>
    <row r="174" spans="1:10" ht="36.75" customHeight="1" x14ac:dyDescent="0.25">
      <c r="A174" s="14">
        <v>10273</v>
      </c>
      <c r="B174" s="7" t="s">
        <v>236</v>
      </c>
      <c r="C174" s="7" t="s">
        <v>306</v>
      </c>
      <c r="D174" s="7" t="s">
        <v>368</v>
      </c>
      <c r="E174" s="7" t="s">
        <v>239</v>
      </c>
      <c r="F174" s="7" t="s">
        <v>28</v>
      </c>
      <c r="G174" s="7" t="s">
        <v>289</v>
      </c>
      <c r="H174" s="15">
        <v>444.97</v>
      </c>
      <c r="I174" s="15">
        <v>137.18</v>
      </c>
      <c r="J174" s="7" t="str">
        <f>IFERROR(_xlfn.XLOOKUP(F174,ccustos!A:A,ccustos!B:B),"Sem termo")</f>
        <v>COPI</v>
      </c>
    </row>
    <row r="175" spans="1:10" ht="25.5" customHeight="1" x14ac:dyDescent="0.25">
      <c r="A175" s="16">
        <v>10274</v>
      </c>
      <c r="B175" s="17" t="s">
        <v>236</v>
      </c>
      <c r="C175" s="17" t="s">
        <v>306</v>
      </c>
      <c r="D175" s="17" t="s">
        <v>307</v>
      </c>
      <c r="E175" s="17" t="s">
        <v>239</v>
      </c>
      <c r="F175" s="17" t="s">
        <v>28</v>
      </c>
      <c r="G175" s="17" t="s">
        <v>308</v>
      </c>
      <c r="H175" s="18">
        <v>310.75</v>
      </c>
      <c r="I175" s="18">
        <v>151.19999999999999</v>
      </c>
      <c r="J175" s="7" t="str">
        <f>IFERROR(_xlfn.XLOOKUP(F175,ccustos!A:A,ccustos!B:B),"Sem termo")</f>
        <v>COPI</v>
      </c>
    </row>
    <row r="176" spans="1:10" ht="25.5" customHeight="1" x14ac:dyDescent="0.25">
      <c r="A176" s="14">
        <v>10275</v>
      </c>
      <c r="B176" s="7" t="s">
        <v>236</v>
      </c>
      <c r="C176" s="7" t="s">
        <v>306</v>
      </c>
      <c r="D176" s="7" t="s">
        <v>369</v>
      </c>
      <c r="E176" s="7" t="s">
        <v>239</v>
      </c>
      <c r="F176" s="7" t="s">
        <v>28</v>
      </c>
      <c r="G176" s="7" t="s">
        <v>370</v>
      </c>
      <c r="H176" s="15">
        <v>0</v>
      </c>
      <c r="I176" s="15">
        <v>464.2</v>
      </c>
      <c r="J176" s="7" t="str">
        <f>IFERROR(_xlfn.XLOOKUP(F176,ccustos!A:A,ccustos!B:B),"Sem termo")</f>
        <v>COPI</v>
      </c>
    </row>
    <row r="177" spans="1:10" ht="25.5" customHeight="1" x14ac:dyDescent="0.25">
      <c r="A177" s="16">
        <v>10276</v>
      </c>
      <c r="B177" s="17" t="s">
        <v>236</v>
      </c>
      <c r="C177" s="17" t="s">
        <v>306</v>
      </c>
      <c r="D177" s="17" t="s">
        <v>369</v>
      </c>
      <c r="E177" s="17" t="s">
        <v>239</v>
      </c>
      <c r="F177" s="17" t="s">
        <v>28</v>
      </c>
      <c r="G177" s="17" t="s">
        <v>308</v>
      </c>
      <c r="H177" s="18">
        <v>447.96</v>
      </c>
      <c r="I177" s="18">
        <v>195.89</v>
      </c>
      <c r="J177" s="7" t="str">
        <f>IFERROR(_xlfn.XLOOKUP(F177,ccustos!A:A,ccustos!B:B),"Sem termo")</f>
        <v>COPI</v>
      </c>
    </row>
    <row r="178" spans="1:10" ht="36.75" customHeight="1" x14ac:dyDescent="0.25">
      <c r="A178" s="14">
        <v>10277</v>
      </c>
      <c r="B178" s="7" t="s">
        <v>236</v>
      </c>
      <c r="C178" s="7" t="s">
        <v>237</v>
      </c>
      <c r="D178" s="7" t="s">
        <v>360</v>
      </c>
      <c r="E178" s="7" t="s">
        <v>239</v>
      </c>
      <c r="F178" s="7" t="s">
        <v>38</v>
      </c>
      <c r="G178" s="7" t="s">
        <v>282</v>
      </c>
      <c r="H178" s="15">
        <v>2690</v>
      </c>
      <c r="I178" s="15">
        <v>765.82</v>
      </c>
      <c r="J178" s="7" t="str">
        <f>IFERROR(_xlfn.XLOOKUP(F178,ccustos!A:A,ccustos!B:B),"Sem termo")</f>
        <v>CDPROF</v>
      </c>
    </row>
    <row r="179" spans="1:10" ht="25.5" customHeight="1" x14ac:dyDescent="0.25">
      <c r="A179" s="16">
        <v>10278</v>
      </c>
      <c r="B179" s="17" t="s">
        <v>236</v>
      </c>
      <c r="C179" s="17" t="s">
        <v>306</v>
      </c>
      <c r="D179" s="17" t="s">
        <v>307</v>
      </c>
      <c r="E179" s="17" t="s">
        <v>239</v>
      </c>
      <c r="F179" s="17" t="s">
        <v>28</v>
      </c>
      <c r="G179" s="17" t="s">
        <v>308</v>
      </c>
      <c r="H179" s="18">
        <v>310.75</v>
      </c>
      <c r="I179" s="18">
        <v>165.21</v>
      </c>
      <c r="J179" s="7" t="str">
        <f>IFERROR(_xlfn.XLOOKUP(F179,ccustos!A:A,ccustos!B:B),"Sem termo")</f>
        <v>COPI</v>
      </c>
    </row>
    <row r="180" spans="1:10" ht="36.75" customHeight="1" x14ac:dyDescent="0.25">
      <c r="A180" s="14">
        <v>10279</v>
      </c>
      <c r="B180" s="7" t="s">
        <v>236</v>
      </c>
      <c r="C180" s="7" t="s">
        <v>241</v>
      </c>
      <c r="D180" s="7" t="s">
        <v>371</v>
      </c>
      <c r="E180" s="7" t="s">
        <v>239</v>
      </c>
      <c r="F180" s="7" t="s">
        <v>28</v>
      </c>
      <c r="G180" s="7" t="s">
        <v>308</v>
      </c>
      <c r="H180" s="15">
        <v>711.67</v>
      </c>
      <c r="I180" s="15">
        <v>249.33</v>
      </c>
      <c r="J180" s="7" t="str">
        <f>IFERROR(_xlfn.XLOOKUP(F180,ccustos!A:A,ccustos!B:B),"Sem termo")</f>
        <v>COPI</v>
      </c>
    </row>
    <row r="181" spans="1:10" ht="36.75" customHeight="1" x14ac:dyDescent="0.25">
      <c r="A181" s="16">
        <v>10280</v>
      </c>
      <c r="B181" s="17" t="s">
        <v>236</v>
      </c>
      <c r="C181" s="17" t="s">
        <v>237</v>
      </c>
      <c r="D181" s="17" t="s">
        <v>372</v>
      </c>
      <c r="E181" s="17" t="s">
        <v>239</v>
      </c>
      <c r="F181" s="17" t="s">
        <v>39</v>
      </c>
      <c r="G181" s="17" t="s">
        <v>280</v>
      </c>
      <c r="H181" s="18">
        <v>310.77</v>
      </c>
      <c r="I181" s="18">
        <v>149.01</v>
      </c>
      <c r="J181" s="7" t="str">
        <f>IFERROR(_xlfn.XLOOKUP(F181,ccustos!A:A,ccustos!B:B),"Sem termo")</f>
        <v>COREG</v>
      </c>
    </row>
    <row r="182" spans="1:10" ht="36.75" customHeight="1" x14ac:dyDescent="0.25">
      <c r="A182" s="14">
        <v>10281</v>
      </c>
      <c r="B182" s="7" t="s">
        <v>236</v>
      </c>
      <c r="C182" s="7" t="s">
        <v>237</v>
      </c>
      <c r="D182" s="7" t="s">
        <v>302</v>
      </c>
      <c r="E182" s="7" t="s">
        <v>239</v>
      </c>
      <c r="F182" s="7" t="s">
        <v>28</v>
      </c>
      <c r="G182" s="7" t="s">
        <v>280</v>
      </c>
      <c r="H182" s="15">
        <v>310.77</v>
      </c>
      <c r="I182" s="15">
        <v>149.01</v>
      </c>
      <c r="J182" s="7" t="str">
        <f>IFERROR(_xlfn.XLOOKUP(F182,ccustos!A:A,ccustos!B:B),"Sem termo")</f>
        <v>COPI</v>
      </c>
    </row>
    <row r="183" spans="1:10" ht="36.75" customHeight="1" x14ac:dyDescent="0.25">
      <c r="A183" s="16">
        <v>10285</v>
      </c>
      <c r="B183" s="17" t="s">
        <v>236</v>
      </c>
      <c r="C183" s="17" t="s">
        <v>313</v>
      </c>
      <c r="D183" s="17" t="s">
        <v>373</v>
      </c>
      <c r="E183" s="17" t="s">
        <v>250</v>
      </c>
      <c r="F183" s="17" t="s">
        <v>28</v>
      </c>
      <c r="G183" s="17" t="s">
        <v>315</v>
      </c>
      <c r="H183" s="18">
        <v>620</v>
      </c>
      <c r="I183" s="18">
        <v>196.91</v>
      </c>
      <c r="J183" s="7" t="str">
        <f>IFERROR(_xlfn.XLOOKUP(F183,ccustos!A:A,ccustos!B:B),"Sem termo")</f>
        <v>COPI</v>
      </c>
    </row>
    <row r="184" spans="1:10" ht="25.5" customHeight="1" x14ac:dyDescent="0.25">
      <c r="A184" s="14">
        <v>10286</v>
      </c>
      <c r="B184" s="7" t="s">
        <v>236</v>
      </c>
      <c r="C184" s="7" t="s">
        <v>316</v>
      </c>
      <c r="D184" s="7" t="s">
        <v>317</v>
      </c>
      <c r="E184" s="7" t="s">
        <v>318</v>
      </c>
      <c r="F184" s="7" t="s">
        <v>40</v>
      </c>
      <c r="G184" s="7" t="s">
        <v>319</v>
      </c>
      <c r="H184" s="15">
        <v>696</v>
      </c>
      <c r="I184" s="15">
        <v>340.28</v>
      </c>
      <c r="J184" s="7" t="str">
        <f>IFERROR(_xlfn.XLOOKUP(F184,ccustos!A:A,ccustos!B:B),"Sem termo")</f>
        <v>COPI</v>
      </c>
    </row>
    <row r="185" spans="1:10" ht="25.5" customHeight="1" x14ac:dyDescent="0.25">
      <c r="A185" s="16">
        <v>10287</v>
      </c>
      <c r="B185" s="17" t="s">
        <v>236</v>
      </c>
      <c r="C185" s="17" t="s">
        <v>237</v>
      </c>
      <c r="D185" s="17" t="s">
        <v>374</v>
      </c>
      <c r="E185" s="17" t="s">
        <v>239</v>
      </c>
      <c r="F185" s="17" t="s">
        <v>38</v>
      </c>
      <c r="G185" s="17" t="s">
        <v>375</v>
      </c>
      <c r="H185" s="18">
        <v>1134</v>
      </c>
      <c r="I185" s="18">
        <v>765.82</v>
      </c>
      <c r="J185" s="7" t="str">
        <f>IFERROR(_xlfn.XLOOKUP(F185,ccustos!A:A,ccustos!B:B),"Sem termo")</f>
        <v>CDPROF</v>
      </c>
    </row>
    <row r="186" spans="1:10" ht="25.5" customHeight="1" x14ac:dyDescent="0.25">
      <c r="A186" s="14">
        <v>10288</v>
      </c>
      <c r="B186" s="7" t="s">
        <v>236</v>
      </c>
      <c r="C186" s="7" t="s">
        <v>237</v>
      </c>
      <c r="D186" s="7" t="s">
        <v>360</v>
      </c>
      <c r="E186" s="7" t="s">
        <v>239</v>
      </c>
      <c r="F186" s="7" t="s">
        <v>38</v>
      </c>
      <c r="G186" s="7" t="s">
        <v>282</v>
      </c>
      <c r="H186" s="15">
        <v>2690</v>
      </c>
      <c r="I186" s="15">
        <v>765.82</v>
      </c>
      <c r="J186" s="7" t="str">
        <f>IFERROR(_xlfn.XLOOKUP(F186,ccustos!A:A,ccustos!B:B),"Sem termo")</f>
        <v>CDPROF</v>
      </c>
    </row>
    <row r="187" spans="1:10" ht="25.5" customHeight="1" x14ac:dyDescent="0.25">
      <c r="A187" s="16">
        <v>10289</v>
      </c>
      <c r="B187" s="17" t="s">
        <v>236</v>
      </c>
      <c r="C187" s="17" t="s">
        <v>237</v>
      </c>
      <c r="D187" s="17" t="s">
        <v>360</v>
      </c>
      <c r="E187" s="17" t="s">
        <v>239</v>
      </c>
      <c r="F187" s="17" t="s">
        <v>186</v>
      </c>
      <c r="G187" s="17" t="s">
        <v>282</v>
      </c>
      <c r="H187" s="18">
        <v>2690</v>
      </c>
      <c r="I187" s="18">
        <v>765.82</v>
      </c>
      <c r="J187" s="7" t="str">
        <f>IFERROR(_xlfn.XLOOKUP(F187,ccustos!A:A,ccustos!B:B),"Sem termo")</f>
        <v>CGGE</v>
      </c>
    </row>
    <row r="188" spans="1:10" ht="25.5" customHeight="1" x14ac:dyDescent="0.25">
      <c r="A188" s="14">
        <v>10290</v>
      </c>
      <c r="B188" s="7" t="s">
        <v>236</v>
      </c>
      <c r="C188" s="7" t="s">
        <v>337</v>
      </c>
      <c r="D188" s="7" t="s">
        <v>376</v>
      </c>
      <c r="E188" s="7" t="s">
        <v>239</v>
      </c>
      <c r="F188" s="7" t="s">
        <v>26</v>
      </c>
      <c r="G188" s="7" t="s">
        <v>331</v>
      </c>
      <c r="H188" s="15">
        <v>298</v>
      </c>
      <c r="I188" s="15">
        <v>215.09</v>
      </c>
      <c r="J188" s="7" t="str">
        <f>IFERROR(_xlfn.XLOOKUP(F188,ccustos!A:A,ccustos!B:B),"Sem termo")</f>
        <v>COLOG</v>
      </c>
    </row>
    <row r="189" spans="1:10" ht="25.5" customHeight="1" x14ac:dyDescent="0.25">
      <c r="A189" s="16">
        <v>10291</v>
      </c>
      <c r="B189" s="17" t="s">
        <v>236</v>
      </c>
      <c r="C189" s="17" t="s">
        <v>337</v>
      </c>
      <c r="D189" s="17" t="s">
        <v>377</v>
      </c>
      <c r="E189" s="17" t="s">
        <v>239</v>
      </c>
      <c r="F189" s="17" t="s">
        <v>30</v>
      </c>
      <c r="G189" s="17" t="s">
        <v>350</v>
      </c>
      <c r="H189" s="18">
        <v>227.27</v>
      </c>
      <c r="I189" s="18">
        <v>498</v>
      </c>
      <c r="J189" s="7" t="str">
        <f>IFERROR(_xlfn.XLOOKUP(F189,ccustos!A:A,ccustos!B:B),"Sem termo")</f>
        <v>COFIS</v>
      </c>
    </row>
    <row r="190" spans="1:10" ht="25.5" customHeight="1" x14ac:dyDescent="0.25">
      <c r="A190" s="14">
        <v>10292</v>
      </c>
      <c r="B190" s="7" t="s">
        <v>236</v>
      </c>
      <c r="C190" s="7" t="s">
        <v>337</v>
      </c>
      <c r="D190" s="7" t="s">
        <v>346</v>
      </c>
      <c r="E190" s="7" t="s">
        <v>239</v>
      </c>
      <c r="F190" s="7" t="s">
        <v>185</v>
      </c>
      <c r="G190" s="7" t="s">
        <v>331</v>
      </c>
      <c r="H190" s="15">
        <v>298</v>
      </c>
      <c r="I190" s="15">
        <v>213.43</v>
      </c>
      <c r="J190" s="7" t="str">
        <f>IFERROR(_xlfn.XLOOKUP(F190,ccustos!A:A,ccustos!B:B),"Sem termo")</f>
        <v>CGGE</v>
      </c>
    </row>
    <row r="191" spans="1:10" ht="25.5" customHeight="1" x14ac:dyDescent="0.25">
      <c r="A191" s="16">
        <v>10293</v>
      </c>
      <c r="B191" s="17" t="s">
        <v>236</v>
      </c>
      <c r="C191" s="17" t="s">
        <v>337</v>
      </c>
      <c r="D191" s="17" t="s">
        <v>338</v>
      </c>
      <c r="E191" s="17" t="s">
        <v>239</v>
      </c>
      <c r="F191" s="17" t="s">
        <v>29</v>
      </c>
      <c r="G191" s="17" t="s">
        <v>339</v>
      </c>
      <c r="H191" s="18">
        <v>237</v>
      </c>
      <c r="I191" s="18">
        <v>213.43</v>
      </c>
      <c r="J191" s="7" t="str">
        <f>IFERROR(_xlfn.XLOOKUP(F191,ccustos!A:A,ccustos!B:B),"Sem termo")</f>
        <v>COAD</v>
      </c>
    </row>
    <row r="192" spans="1:10" ht="36.75" customHeight="1" x14ac:dyDescent="0.25">
      <c r="A192" s="14">
        <v>10294</v>
      </c>
      <c r="B192" s="7" t="s">
        <v>236</v>
      </c>
      <c r="C192" s="7" t="s">
        <v>237</v>
      </c>
      <c r="D192" s="7" t="s">
        <v>279</v>
      </c>
      <c r="E192" s="7" t="s">
        <v>239</v>
      </c>
      <c r="F192" s="7" t="s">
        <v>0</v>
      </c>
      <c r="G192" s="7" t="s">
        <v>280</v>
      </c>
      <c r="H192" s="15">
        <v>565.46</v>
      </c>
      <c r="I192" s="15">
        <v>173.7</v>
      </c>
      <c r="J192" s="7" t="str">
        <f>IFERROR(_xlfn.XLOOKUP(F192,ccustos!A:A,ccustos!B:B),"Sem termo")</f>
        <v>SEPAT</v>
      </c>
    </row>
    <row r="193" spans="1:10" ht="36.75" customHeight="1" x14ac:dyDescent="0.25">
      <c r="A193" s="16">
        <v>10297</v>
      </c>
      <c r="B193" s="17" t="s">
        <v>236</v>
      </c>
      <c r="C193" s="17" t="s">
        <v>237</v>
      </c>
      <c r="D193" s="17" t="s">
        <v>279</v>
      </c>
      <c r="E193" s="17" t="s">
        <v>239</v>
      </c>
      <c r="F193" s="17" t="s">
        <v>34</v>
      </c>
      <c r="G193" s="17" t="s">
        <v>342</v>
      </c>
      <c r="H193" s="18">
        <v>1289.05</v>
      </c>
      <c r="I193" s="18">
        <v>405.3</v>
      </c>
      <c r="J193" s="7" t="str">
        <f>IFERROR(_xlfn.XLOOKUP(F193,ccustos!A:A,ccustos!B:B),"Sem termo")</f>
        <v>COFIS</v>
      </c>
    </row>
    <row r="194" spans="1:10" ht="36.75" customHeight="1" x14ac:dyDescent="0.25">
      <c r="A194" s="14">
        <v>10298</v>
      </c>
      <c r="B194" s="7" t="s">
        <v>236</v>
      </c>
      <c r="C194" s="7" t="s">
        <v>237</v>
      </c>
      <c r="D194" s="7" t="s">
        <v>277</v>
      </c>
      <c r="E194" s="7" t="s">
        <v>239</v>
      </c>
      <c r="F194" s="7" t="s">
        <v>0</v>
      </c>
      <c r="G194" s="7" t="s">
        <v>278</v>
      </c>
      <c r="H194" s="15">
        <v>201.3</v>
      </c>
      <c r="I194" s="15">
        <v>173.7</v>
      </c>
      <c r="J194" s="7" t="str">
        <f>IFERROR(_xlfn.XLOOKUP(F194,ccustos!A:A,ccustos!B:B),"Sem termo")</f>
        <v>SEPAT</v>
      </c>
    </row>
    <row r="195" spans="1:10" ht="36.75" customHeight="1" x14ac:dyDescent="0.25">
      <c r="A195" s="16">
        <v>10300</v>
      </c>
      <c r="B195" s="17" t="s">
        <v>236</v>
      </c>
      <c r="C195" s="17" t="s">
        <v>337</v>
      </c>
      <c r="D195" s="17" t="s">
        <v>346</v>
      </c>
      <c r="E195" s="17" t="s">
        <v>239</v>
      </c>
      <c r="F195" s="17" t="s">
        <v>205</v>
      </c>
      <c r="G195" s="17" t="s">
        <v>331</v>
      </c>
      <c r="H195" s="18">
        <v>298</v>
      </c>
      <c r="I195" s="18">
        <v>213.43</v>
      </c>
      <c r="J195" s="7" t="str">
        <f>IFERROR(_xlfn.XLOOKUP(F195,ccustos!A:A,ccustos!B:B),"Sem termo")</f>
        <v>CCOM</v>
      </c>
    </row>
    <row r="196" spans="1:10" ht="36.75" customHeight="1" x14ac:dyDescent="0.25">
      <c r="A196" s="14">
        <v>10323</v>
      </c>
      <c r="B196" s="7" t="s">
        <v>236</v>
      </c>
      <c r="C196" s="7" t="s">
        <v>237</v>
      </c>
      <c r="D196" s="7" t="s">
        <v>378</v>
      </c>
      <c r="E196" s="7" t="s">
        <v>239</v>
      </c>
      <c r="F196" s="7" t="s">
        <v>14</v>
      </c>
      <c r="G196" s="7" t="s">
        <v>350</v>
      </c>
      <c r="H196" s="15">
        <v>180</v>
      </c>
      <c r="I196" s="15">
        <v>405.3</v>
      </c>
      <c r="J196" s="7" t="str">
        <f>IFERROR(_xlfn.XLOOKUP(F196,ccustos!A:A,ccustos!B:B),"Sem termo")</f>
        <v>SEPAT</v>
      </c>
    </row>
    <row r="197" spans="1:10" ht="36.75" customHeight="1" x14ac:dyDescent="0.25">
      <c r="A197" s="16">
        <v>10324</v>
      </c>
      <c r="B197" s="17" t="s">
        <v>236</v>
      </c>
      <c r="C197" s="17" t="s">
        <v>237</v>
      </c>
      <c r="D197" s="17" t="s">
        <v>379</v>
      </c>
      <c r="E197" s="17" t="s">
        <v>239</v>
      </c>
      <c r="F197" s="17" t="s">
        <v>14</v>
      </c>
      <c r="G197" s="17" t="s">
        <v>350</v>
      </c>
      <c r="H197" s="18">
        <v>180</v>
      </c>
      <c r="I197" s="18">
        <v>405.3</v>
      </c>
      <c r="J197" s="7" t="str">
        <f>IFERROR(_xlfn.XLOOKUP(F197,ccustos!A:A,ccustos!B:B),"Sem termo")</f>
        <v>SEPAT</v>
      </c>
    </row>
    <row r="198" spans="1:10" ht="36.75" customHeight="1" x14ac:dyDescent="0.25">
      <c r="A198" s="14">
        <v>10325</v>
      </c>
      <c r="B198" s="7" t="s">
        <v>236</v>
      </c>
      <c r="C198" s="7" t="s">
        <v>237</v>
      </c>
      <c r="D198" s="7" t="s">
        <v>378</v>
      </c>
      <c r="E198" s="7" t="s">
        <v>239</v>
      </c>
      <c r="F198" s="7" t="s">
        <v>14</v>
      </c>
      <c r="G198" s="7" t="s">
        <v>350</v>
      </c>
      <c r="H198" s="15">
        <v>180</v>
      </c>
      <c r="I198" s="15">
        <v>405.3</v>
      </c>
      <c r="J198" s="7" t="str">
        <f>IFERROR(_xlfn.XLOOKUP(F198,ccustos!A:A,ccustos!B:B),"Sem termo")</f>
        <v>SEPAT</v>
      </c>
    </row>
    <row r="199" spans="1:10" ht="36.75" customHeight="1" x14ac:dyDescent="0.25">
      <c r="A199" s="16">
        <v>10326</v>
      </c>
      <c r="B199" s="17" t="s">
        <v>236</v>
      </c>
      <c r="C199" s="17" t="s">
        <v>237</v>
      </c>
      <c r="D199" s="17" t="s">
        <v>378</v>
      </c>
      <c r="E199" s="17" t="s">
        <v>239</v>
      </c>
      <c r="F199" s="17" t="s">
        <v>14</v>
      </c>
      <c r="G199" s="17" t="s">
        <v>350</v>
      </c>
      <c r="H199" s="18">
        <v>180</v>
      </c>
      <c r="I199" s="18">
        <v>405.3</v>
      </c>
      <c r="J199" s="7" t="str">
        <f>IFERROR(_xlfn.XLOOKUP(F199,ccustos!A:A,ccustos!B:B),"Sem termo")</f>
        <v>SEPAT</v>
      </c>
    </row>
    <row r="200" spans="1:10" ht="36.75" customHeight="1" x14ac:dyDescent="0.25">
      <c r="A200" s="14">
        <v>10327</v>
      </c>
      <c r="B200" s="7" t="s">
        <v>236</v>
      </c>
      <c r="C200" s="7" t="s">
        <v>237</v>
      </c>
      <c r="D200" s="7" t="s">
        <v>277</v>
      </c>
      <c r="E200" s="7" t="s">
        <v>239</v>
      </c>
      <c r="F200" s="7" t="s">
        <v>0</v>
      </c>
      <c r="G200" s="7" t="s">
        <v>278</v>
      </c>
      <c r="H200" s="15">
        <v>201.3</v>
      </c>
      <c r="I200" s="15">
        <v>173.7</v>
      </c>
      <c r="J200" s="7" t="str">
        <f>IFERROR(_xlfn.XLOOKUP(F200,ccustos!A:A,ccustos!B:B),"Sem termo")</f>
        <v>SEPAT</v>
      </c>
    </row>
    <row r="201" spans="1:10" ht="25.5" customHeight="1" x14ac:dyDescent="0.25">
      <c r="A201" s="16">
        <v>10328</v>
      </c>
      <c r="B201" s="17" t="s">
        <v>236</v>
      </c>
      <c r="C201" s="17" t="s">
        <v>237</v>
      </c>
      <c r="D201" s="17" t="s">
        <v>378</v>
      </c>
      <c r="E201" s="17" t="s">
        <v>239</v>
      </c>
      <c r="F201" s="17" t="s">
        <v>14</v>
      </c>
      <c r="G201" s="17" t="s">
        <v>350</v>
      </c>
      <c r="H201" s="18">
        <v>180</v>
      </c>
      <c r="I201" s="18">
        <v>405.3</v>
      </c>
      <c r="J201" s="7" t="str">
        <f>IFERROR(_xlfn.XLOOKUP(F201,ccustos!A:A,ccustos!B:B),"Sem termo")</f>
        <v>SEPAT</v>
      </c>
    </row>
    <row r="202" spans="1:10" ht="25.5" customHeight="1" x14ac:dyDescent="0.25">
      <c r="A202" s="14">
        <v>10329</v>
      </c>
      <c r="B202" s="7" t="s">
        <v>236</v>
      </c>
      <c r="C202" s="7" t="s">
        <v>237</v>
      </c>
      <c r="D202" s="7" t="s">
        <v>378</v>
      </c>
      <c r="E202" s="7" t="s">
        <v>239</v>
      </c>
      <c r="F202" s="7" t="s">
        <v>14</v>
      </c>
      <c r="G202" s="7" t="s">
        <v>350</v>
      </c>
      <c r="H202" s="15">
        <v>180</v>
      </c>
      <c r="I202" s="15">
        <v>405.3</v>
      </c>
      <c r="J202" s="7" t="str">
        <f>IFERROR(_xlfn.XLOOKUP(F202,ccustos!A:A,ccustos!B:B),"Sem termo")</f>
        <v>SEPAT</v>
      </c>
    </row>
    <row r="203" spans="1:10" ht="25.5" customHeight="1" x14ac:dyDescent="0.25">
      <c r="A203" s="16">
        <v>10331</v>
      </c>
      <c r="B203" s="17" t="s">
        <v>236</v>
      </c>
      <c r="C203" s="17" t="s">
        <v>237</v>
      </c>
      <c r="D203" s="17" t="s">
        <v>378</v>
      </c>
      <c r="E203" s="17" t="s">
        <v>239</v>
      </c>
      <c r="F203" s="17" t="s">
        <v>14</v>
      </c>
      <c r="G203" s="17" t="s">
        <v>350</v>
      </c>
      <c r="H203" s="18">
        <v>180</v>
      </c>
      <c r="I203" s="18">
        <v>405.3</v>
      </c>
      <c r="J203" s="7" t="str">
        <f>IFERROR(_xlfn.XLOOKUP(F203,ccustos!A:A,ccustos!B:B),"Sem termo")</f>
        <v>SEPAT</v>
      </c>
    </row>
    <row r="204" spans="1:10" ht="14.25" customHeight="1" x14ac:dyDescent="0.25">
      <c r="A204" s="14">
        <v>10332</v>
      </c>
      <c r="B204" s="7" t="s">
        <v>236</v>
      </c>
      <c r="C204" s="7" t="s">
        <v>237</v>
      </c>
      <c r="D204" s="7" t="s">
        <v>277</v>
      </c>
      <c r="E204" s="7" t="s">
        <v>239</v>
      </c>
      <c r="F204" s="7" t="s">
        <v>205</v>
      </c>
      <c r="G204" s="7" t="s">
        <v>278</v>
      </c>
      <c r="H204" s="15">
        <v>201.3</v>
      </c>
      <c r="I204" s="15">
        <v>173.7</v>
      </c>
      <c r="J204" s="7" t="str">
        <f>IFERROR(_xlfn.XLOOKUP(F204,ccustos!A:A,ccustos!B:B),"Sem termo")</f>
        <v>CCOM</v>
      </c>
    </row>
    <row r="205" spans="1:10" ht="25.5" customHeight="1" x14ac:dyDescent="0.25">
      <c r="A205" s="16">
        <v>10333</v>
      </c>
      <c r="B205" s="17" t="s">
        <v>236</v>
      </c>
      <c r="C205" s="17" t="s">
        <v>237</v>
      </c>
      <c r="D205" s="17" t="s">
        <v>277</v>
      </c>
      <c r="E205" s="17" t="s">
        <v>239</v>
      </c>
      <c r="F205" s="17" t="s">
        <v>14</v>
      </c>
      <c r="G205" s="17" t="s">
        <v>278</v>
      </c>
      <c r="H205" s="18">
        <v>201.3</v>
      </c>
      <c r="I205" s="18">
        <v>173.7</v>
      </c>
      <c r="J205" s="7" t="str">
        <f>IFERROR(_xlfn.XLOOKUP(F205,ccustos!A:A,ccustos!B:B),"Sem termo")</f>
        <v>SEPAT</v>
      </c>
    </row>
    <row r="206" spans="1:10" ht="36.75" customHeight="1" x14ac:dyDescent="0.25">
      <c r="A206" s="14">
        <v>10335</v>
      </c>
      <c r="B206" s="7" t="s">
        <v>236</v>
      </c>
      <c r="C206" s="7" t="s">
        <v>237</v>
      </c>
      <c r="D206" s="7" t="s">
        <v>378</v>
      </c>
      <c r="E206" s="7" t="s">
        <v>239</v>
      </c>
      <c r="F206" s="7" t="s">
        <v>14</v>
      </c>
      <c r="G206" s="7" t="s">
        <v>350</v>
      </c>
      <c r="H206" s="15">
        <v>180</v>
      </c>
      <c r="I206" s="15">
        <v>405.3</v>
      </c>
      <c r="J206" s="7" t="str">
        <f>IFERROR(_xlfn.XLOOKUP(F206,ccustos!A:A,ccustos!B:B),"Sem termo")</f>
        <v>SEPAT</v>
      </c>
    </row>
    <row r="207" spans="1:10" ht="25.5" customHeight="1" x14ac:dyDescent="0.25">
      <c r="A207" s="16">
        <v>10336</v>
      </c>
      <c r="B207" s="17" t="s">
        <v>236</v>
      </c>
      <c r="C207" s="17" t="s">
        <v>237</v>
      </c>
      <c r="D207" s="17" t="s">
        <v>378</v>
      </c>
      <c r="E207" s="17" t="s">
        <v>239</v>
      </c>
      <c r="F207" s="17" t="s">
        <v>14</v>
      </c>
      <c r="G207" s="17" t="s">
        <v>350</v>
      </c>
      <c r="H207" s="18">
        <v>180</v>
      </c>
      <c r="I207" s="18">
        <v>405.3</v>
      </c>
      <c r="J207" s="7" t="str">
        <f>IFERROR(_xlfn.XLOOKUP(F207,ccustos!A:A,ccustos!B:B),"Sem termo")</f>
        <v>SEPAT</v>
      </c>
    </row>
    <row r="208" spans="1:10" ht="36.75" customHeight="1" x14ac:dyDescent="0.25">
      <c r="A208" s="14">
        <v>10337</v>
      </c>
      <c r="B208" s="7" t="s">
        <v>236</v>
      </c>
      <c r="C208" s="7" t="s">
        <v>237</v>
      </c>
      <c r="D208" s="7" t="s">
        <v>378</v>
      </c>
      <c r="E208" s="7" t="s">
        <v>239</v>
      </c>
      <c r="F208" s="7" t="s">
        <v>14</v>
      </c>
      <c r="G208" s="7" t="s">
        <v>350</v>
      </c>
      <c r="H208" s="15">
        <v>180</v>
      </c>
      <c r="I208" s="15">
        <v>405.3</v>
      </c>
      <c r="J208" s="7" t="str">
        <f>IFERROR(_xlfn.XLOOKUP(F208,ccustos!A:A,ccustos!B:B),"Sem termo")</f>
        <v>SEPAT</v>
      </c>
    </row>
    <row r="209" spans="1:10" ht="25.5" customHeight="1" x14ac:dyDescent="0.25">
      <c r="A209" s="16">
        <v>10339</v>
      </c>
      <c r="B209" s="17" t="s">
        <v>236</v>
      </c>
      <c r="C209" s="17" t="s">
        <v>237</v>
      </c>
      <c r="D209" s="17" t="s">
        <v>378</v>
      </c>
      <c r="E209" s="17" t="s">
        <v>239</v>
      </c>
      <c r="F209" s="17" t="s">
        <v>14</v>
      </c>
      <c r="G209" s="17" t="s">
        <v>350</v>
      </c>
      <c r="H209" s="18">
        <v>180</v>
      </c>
      <c r="I209" s="18">
        <v>405.3</v>
      </c>
      <c r="J209" s="7" t="str">
        <f>IFERROR(_xlfn.XLOOKUP(F209,ccustos!A:A,ccustos!B:B),"Sem termo")</f>
        <v>SEPAT</v>
      </c>
    </row>
    <row r="210" spans="1:10" ht="36.75" customHeight="1" x14ac:dyDescent="0.25">
      <c r="A210" s="14">
        <v>10340</v>
      </c>
      <c r="B210" s="7" t="s">
        <v>236</v>
      </c>
      <c r="C210" s="7" t="s">
        <v>237</v>
      </c>
      <c r="D210" s="7" t="s">
        <v>378</v>
      </c>
      <c r="E210" s="7" t="s">
        <v>239</v>
      </c>
      <c r="F210" s="7" t="s">
        <v>14</v>
      </c>
      <c r="G210" s="7" t="s">
        <v>350</v>
      </c>
      <c r="H210" s="15">
        <v>180</v>
      </c>
      <c r="I210" s="15">
        <v>405.3</v>
      </c>
      <c r="J210" s="7" t="str">
        <f>IFERROR(_xlfn.XLOOKUP(F210,ccustos!A:A,ccustos!B:B),"Sem termo")</f>
        <v>SEPAT</v>
      </c>
    </row>
    <row r="211" spans="1:10" ht="36.75" customHeight="1" x14ac:dyDescent="0.25">
      <c r="A211" s="16">
        <v>10341</v>
      </c>
      <c r="B211" s="17" t="s">
        <v>236</v>
      </c>
      <c r="C211" s="17" t="s">
        <v>237</v>
      </c>
      <c r="D211" s="17" t="s">
        <v>378</v>
      </c>
      <c r="E211" s="17" t="s">
        <v>239</v>
      </c>
      <c r="F211" s="17" t="s">
        <v>14</v>
      </c>
      <c r="G211" s="17" t="s">
        <v>350</v>
      </c>
      <c r="H211" s="18">
        <v>180</v>
      </c>
      <c r="I211" s="18">
        <v>405.3</v>
      </c>
      <c r="J211" s="7" t="str">
        <f>IFERROR(_xlfn.XLOOKUP(F211,ccustos!A:A,ccustos!B:B),"Sem termo")</f>
        <v>SEPAT</v>
      </c>
    </row>
    <row r="212" spans="1:10" ht="36.75" customHeight="1" x14ac:dyDescent="0.25">
      <c r="A212" s="14">
        <v>10343</v>
      </c>
      <c r="B212" s="7" t="s">
        <v>236</v>
      </c>
      <c r="C212" s="7" t="s">
        <v>380</v>
      </c>
      <c r="D212" s="7" t="s">
        <v>381</v>
      </c>
      <c r="E212" s="7" t="s">
        <v>250</v>
      </c>
      <c r="F212" s="7" t="s">
        <v>256</v>
      </c>
      <c r="G212" s="7" t="s">
        <v>382</v>
      </c>
      <c r="H212" s="15">
        <v>1000</v>
      </c>
      <c r="I212" s="15">
        <v>411.72</v>
      </c>
      <c r="J212" s="7" t="str">
        <f>IFERROR(_xlfn.XLOOKUP(F212,ccustos!A:A,ccustos!B:B),"Sem termo")</f>
        <v>Sem termo</v>
      </c>
    </row>
    <row r="213" spans="1:10" ht="25.5" customHeight="1" x14ac:dyDescent="0.25">
      <c r="A213" s="16">
        <v>10344</v>
      </c>
      <c r="B213" s="17" t="s">
        <v>236</v>
      </c>
      <c r="C213" s="17" t="s">
        <v>380</v>
      </c>
      <c r="D213" s="17" t="s">
        <v>381</v>
      </c>
      <c r="E213" s="17" t="s">
        <v>250</v>
      </c>
      <c r="F213" s="17" t="s">
        <v>256</v>
      </c>
      <c r="G213" s="17" t="s">
        <v>382</v>
      </c>
      <c r="H213" s="18">
        <v>1000</v>
      </c>
      <c r="I213" s="18">
        <v>411.72</v>
      </c>
      <c r="J213" s="7" t="str">
        <f>IFERROR(_xlfn.XLOOKUP(F213,ccustos!A:A,ccustos!B:B),"Sem termo")</f>
        <v>Sem termo</v>
      </c>
    </row>
    <row r="214" spans="1:10" ht="25.5" customHeight="1" x14ac:dyDescent="0.25">
      <c r="A214" s="14">
        <v>10345</v>
      </c>
      <c r="B214" s="7" t="s">
        <v>236</v>
      </c>
      <c r="C214" s="7" t="s">
        <v>306</v>
      </c>
      <c r="D214" s="7" t="s">
        <v>383</v>
      </c>
      <c r="E214" s="7" t="s">
        <v>239</v>
      </c>
      <c r="F214" s="7" t="s">
        <v>41</v>
      </c>
      <c r="G214" s="7" t="s">
        <v>384</v>
      </c>
      <c r="H214" s="15">
        <v>830</v>
      </c>
      <c r="I214" s="15">
        <v>323.56</v>
      </c>
      <c r="J214" s="7" t="str">
        <f>IFERROR(_xlfn.XLOOKUP(F214,ccustos!A:A,ccustos!B:B),"Sem termo")</f>
        <v>SEPAT</v>
      </c>
    </row>
    <row r="215" spans="1:10" ht="36.75" customHeight="1" x14ac:dyDescent="0.25">
      <c r="A215" s="16">
        <v>10346</v>
      </c>
      <c r="B215" s="17" t="s">
        <v>236</v>
      </c>
      <c r="C215" s="17" t="s">
        <v>306</v>
      </c>
      <c r="D215" s="17" t="s">
        <v>385</v>
      </c>
      <c r="E215" s="17" t="s">
        <v>239</v>
      </c>
      <c r="F215" s="17" t="s">
        <v>41</v>
      </c>
      <c r="G215" s="17" t="s">
        <v>386</v>
      </c>
      <c r="H215" s="18">
        <v>1500</v>
      </c>
      <c r="I215" s="18">
        <v>337.42</v>
      </c>
      <c r="J215" s="7" t="str">
        <f>IFERROR(_xlfn.XLOOKUP(F215,ccustos!A:A,ccustos!B:B),"Sem termo")</f>
        <v>SEPAT</v>
      </c>
    </row>
    <row r="216" spans="1:10" ht="36.75" customHeight="1" x14ac:dyDescent="0.25">
      <c r="A216" s="14">
        <v>10347</v>
      </c>
      <c r="B216" s="7" t="s">
        <v>236</v>
      </c>
      <c r="C216" s="7" t="s">
        <v>387</v>
      </c>
      <c r="D216" s="7" t="s">
        <v>388</v>
      </c>
      <c r="E216" s="7" t="s">
        <v>250</v>
      </c>
      <c r="F216" s="7" t="s">
        <v>42</v>
      </c>
      <c r="G216" s="7" t="s">
        <v>389</v>
      </c>
      <c r="H216" s="15">
        <v>720</v>
      </c>
      <c r="I216" s="15">
        <v>320.14</v>
      </c>
      <c r="J216" s="7" t="str">
        <f>IFERROR(_xlfn.XLOOKUP(F216,ccustos!A:A,ccustos!B:B),"Sem termo")</f>
        <v>SEPAT</v>
      </c>
    </row>
    <row r="217" spans="1:10" ht="36.75" customHeight="1" x14ac:dyDescent="0.25">
      <c r="A217" s="16">
        <v>10348</v>
      </c>
      <c r="B217" s="17" t="s">
        <v>236</v>
      </c>
      <c r="C217" s="17" t="s">
        <v>241</v>
      </c>
      <c r="D217" s="17" t="s">
        <v>390</v>
      </c>
      <c r="E217" s="17" t="s">
        <v>239</v>
      </c>
      <c r="F217" s="17" t="s">
        <v>19</v>
      </c>
      <c r="G217" s="17" t="s">
        <v>291</v>
      </c>
      <c r="H217" s="18">
        <v>207</v>
      </c>
      <c r="I217" s="18">
        <v>141.34</v>
      </c>
      <c r="J217" s="7" t="str">
        <f>IFERROR(_xlfn.XLOOKUP(F217,ccustos!A:A,ccustos!B:B),"Sem termo")</f>
        <v>SEGED</v>
      </c>
    </row>
    <row r="218" spans="1:10" ht="25.5" customHeight="1" x14ac:dyDescent="0.25">
      <c r="A218" s="14">
        <v>10349</v>
      </c>
      <c r="B218" s="7" t="s">
        <v>236</v>
      </c>
      <c r="C218" s="7" t="s">
        <v>241</v>
      </c>
      <c r="D218" s="7" t="s">
        <v>390</v>
      </c>
      <c r="E218" s="7" t="s">
        <v>239</v>
      </c>
      <c r="F218" s="7" t="s">
        <v>205</v>
      </c>
      <c r="G218" s="7" t="s">
        <v>291</v>
      </c>
      <c r="H218" s="15">
        <v>207.04</v>
      </c>
      <c r="I218" s="15">
        <v>141.34</v>
      </c>
      <c r="J218" s="7" t="str">
        <f>IFERROR(_xlfn.XLOOKUP(F218,ccustos!A:A,ccustos!B:B),"Sem termo")</f>
        <v>CCOM</v>
      </c>
    </row>
    <row r="219" spans="1:10" ht="25.5" customHeight="1" x14ac:dyDescent="0.25">
      <c r="A219" s="16">
        <v>10350</v>
      </c>
      <c r="B219" s="17" t="s">
        <v>236</v>
      </c>
      <c r="C219" s="17" t="s">
        <v>241</v>
      </c>
      <c r="D219" s="17" t="s">
        <v>391</v>
      </c>
      <c r="E219" s="17" t="s">
        <v>239</v>
      </c>
      <c r="F219" s="17" t="s">
        <v>186</v>
      </c>
      <c r="G219" s="17" t="s">
        <v>244</v>
      </c>
      <c r="H219" s="18">
        <v>0.01</v>
      </c>
      <c r="I219" s="18">
        <v>141.34</v>
      </c>
      <c r="J219" s="7" t="str">
        <f>IFERROR(_xlfn.XLOOKUP(F219,ccustos!A:A,ccustos!B:B),"Sem termo")</f>
        <v>CGGE</v>
      </c>
    </row>
    <row r="220" spans="1:10" ht="25.5" customHeight="1" x14ac:dyDescent="0.25">
      <c r="A220" s="14">
        <v>10351</v>
      </c>
      <c r="B220" s="7" t="s">
        <v>236</v>
      </c>
      <c r="C220" s="7" t="s">
        <v>241</v>
      </c>
      <c r="D220" s="7" t="s">
        <v>392</v>
      </c>
      <c r="E220" s="7" t="s">
        <v>239</v>
      </c>
      <c r="F220" s="7" t="s">
        <v>47</v>
      </c>
      <c r="G220" s="7" t="s">
        <v>393</v>
      </c>
      <c r="H220" s="15">
        <v>2820</v>
      </c>
      <c r="I220" s="15">
        <v>141.34</v>
      </c>
      <c r="J220" s="7" t="str">
        <f>IFERROR(_xlfn.XLOOKUP(F220,ccustos!A:A,ccustos!B:B),"Sem termo")</f>
        <v>CDPROF</v>
      </c>
    </row>
    <row r="221" spans="1:10" ht="36.75" customHeight="1" x14ac:dyDescent="0.25">
      <c r="A221" s="16">
        <v>10352</v>
      </c>
      <c r="B221" s="17" t="s">
        <v>236</v>
      </c>
      <c r="C221" s="17" t="s">
        <v>306</v>
      </c>
      <c r="D221" s="17" t="s">
        <v>394</v>
      </c>
      <c r="E221" s="17" t="s">
        <v>239</v>
      </c>
      <c r="F221" s="17" t="s">
        <v>12</v>
      </c>
      <c r="G221" s="17" t="s">
        <v>291</v>
      </c>
      <c r="H221" s="18">
        <v>307.07</v>
      </c>
      <c r="I221" s="18">
        <v>157.81</v>
      </c>
      <c r="J221" s="7" t="str">
        <f>IFERROR(_xlfn.XLOOKUP(F221,ccustos!A:A,ccustos!B:B),"Sem termo")</f>
        <v>SEPAT</v>
      </c>
    </row>
    <row r="222" spans="1:10" ht="25.5" customHeight="1" x14ac:dyDescent="0.25">
      <c r="A222" s="14">
        <v>10353</v>
      </c>
      <c r="B222" s="7" t="s">
        <v>236</v>
      </c>
      <c r="C222" s="7" t="s">
        <v>237</v>
      </c>
      <c r="D222" s="7" t="s">
        <v>395</v>
      </c>
      <c r="E222" s="7" t="s">
        <v>239</v>
      </c>
      <c r="F222" s="7" t="s">
        <v>0</v>
      </c>
      <c r="G222" s="7" t="s">
        <v>286</v>
      </c>
      <c r="H222" s="15">
        <v>375.35</v>
      </c>
      <c r="I222" s="15">
        <v>248.35</v>
      </c>
      <c r="J222" s="7" t="str">
        <f>IFERROR(_xlfn.XLOOKUP(F222,ccustos!A:A,ccustos!B:B),"Sem termo")</f>
        <v>SEPAT</v>
      </c>
    </row>
    <row r="223" spans="1:10" ht="36.75" customHeight="1" x14ac:dyDescent="0.25">
      <c r="A223" s="16">
        <v>10354</v>
      </c>
      <c r="B223" s="17" t="s">
        <v>236</v>
      </c>
      <c r="C223" s="17" t="s">
        <v>237</v>
      </c>
      <c r="D223" s="17" t="s">
        <v>395</v>
      </c>
      <c r="E223" s="17" t="s">
        <v>239</v>
      </c>
      <c r="F223" s="17" t="s">
        <v>0</v>
      </c>
      <c r="G223" s="17" t="s">
        <v>286</v>
      </c>
      <c r="H223" s="18">
        <v>375.35</v>
      </c>
      <c r="I223" s="18">
        <v>248.35</v>
      </c>
      <c r="J223" s="7" t="str">
        <f>IFERROR(_xlfn.XLOOKUP(F223,ccustos!A:A,ccustos!B:B),"Sem termo")</f>
        <v>SEPAT</v>
      </c>
    </row>
    <row r="224" spans="1:10" ht="36.75" customHeight="1" x14ac:dyDescent="0.25">
      <c r="A224" s="14">
        <v>10355</v>
      </c>
      <c r="B224" s="7" t="s">
        <v>236</v>
      </c>
      <c r="C224" s="7" t="s">
        <v>237</v>
      </c>
      <c r="D224" s="7" t="s">
        <v>396</v>
      </c>
      <c r="E224" s="7" t="s">
        <v>239</v>
      </c>
      <c r="F224" s="7" t="s">
        <v>0</v>
      </c>
      <c r="G224" s="7" t="s">
        <v>286</v>
      </c>
      <c r="H224" s="15">
        <v>375.35</v>
      </c>
      <c r="I224" s="15">
        <v>248.35</v>
      </c>
      <c r="J224" s="7" t="str">
        <f>IFERROR(_xlfn.XLOOKUP(F224,ccustos!A:A,ccustos!B:B),"Sem termo")</f>
        <v>SEPAT</v>
      </c>
    </row>
    <row r="225" spans="1:10" ht="36.75" customHeight="1" x14ac:dyDescent="0.25">
      <c r="A225" s="16">
        <v>10356</v>
      </c>
      <c r="B225" s="17" t="s">
        <v>236</v>
      </c>
      <c r="C225" s="17" t="s">
        <v>237</v>
      </c>
      <c r="D225" s="17" t="s">
        <v>396</v>
      </c>
      <c r="E225" s="17" t="s">
        <v>239</v>
      </c>
      <c r="F225" s="17" t="s">
        <v>0</v>
      </c>
      <c r="G225" s="17" t="s">
        <v>286</v>
      </c>
      <c r="H225" s="18">
        <v>375.35</v>
      </c>
      <c r="I225" s="18">
        <v>248.35</v>
      </c>
      <c r="J225" s="7" t="str">
        <f>IFERROR(_xlfn.XLOOKUP(F225,ccustos!A:A,ccustos!B:B),"Sem termo")</f>
        <v>SEPAT</v>
      </c>
    </row>
    <row r="226" spans="1:10" ht="36.75" customHeight="1" x14ac:dyDescent="0.25">
      <c r="A226" s="14">
        <v>10357</v>
      </c>
      <c r="B226" s="7" t="s">
        <v>236</v>
      </c>
      <c r="C226" s="7" t="s">
        <v>241</v>
      </c>
      <c r="D226" s="7" t="s">
        <v>397</v>
      </c>
      <c r="E226" s="7" t="s">
        <v>239</v>
      </c>
      <c r="F226" s="7" t="s">
        <v>0</v>
      </c>
      <c r="G226" s="7" t="s">
        <v>398</v>
      </c>
      <c r="H226" s="15">
        <v>280</v>
      </c>
      <c r="I226" s="15">
        <v>376.92</v>
      </c>
      <c r="J226" s="7" t="str">
        <f>IFERROR(_xlfn.XLOOKUP(F226,ccustos!A:A,ccustos!B:B),"Sem termo")</f>
        <v>SEPAT</v>
      </c>
    </row>
    <row r="227" spans="1:10" ht="25.5" customHeight="1" x14ac:dyDescent="0.25">
      <c r="A227" s="16">
        <v>10358</v>
      </c>
      <c r="B227" s="17" t="s">
        <v>236</v>
      </c>
      <c r="C227" s="17" t="s">
        <v>399</v>
      </c>
      <c r="D227" s="17" t="s">
        <v>400</v>
      </c>
      <c r="E227" s="17" t="s">
        <v>239</v>
      </c>
      <c r="F227" s="17" t="s">
        <v>37</v>
      </c>
      <c r="G227" s="17" t="s">
        <v>401</v>
      </c>
      <c r="H227" s="18">
        <v>1410</v>
      </c>
      <c r="I227" s="18">
        <v>268.69</v>
      </c>
      <c r="J227" s="7" t="str">
        <f>IFERROR(_xlfn.XLOOKUP(F227,ccustos!A:A,ccustos!B:B),"Sem termo")</f>
        <v>PROJUR</v>
      </c>
    </row>
    <row r="228" spans="1:10" ht="36.75" customHeight="1" x14ac:dyDescent="0.25">
      <c r="A228" s="14">
        <v>10360</v>
      </c>
      <c r="B228" s="7" t="s">
        <v>236</v>
      </c>
      <c r="C228" s="7" t="s">
        <v>237</v>
      </c>
      <c r="D228" s="7" t="s">
        <v>402</v>
      </c>
      <c r="E228" s="7" t="s">
        <v>239</v>
      </c>
      <c r="F228" s="7" t="s">
        <v>211</v>
      </c>
      <c r="G228" s="7" t="s">
        <v>286</v>
      </c>
      <c r="H228" s="15">
        <v>538.55999999999995</v>
      </c>
      <c r="I228" s="15">
        <v>248.35</v>
      </c>
      <c r="J228" s="7" t="str">
        <f>IFERROR(_xlfn.XLOOKUP(F228,ccustos!A:A,ccustos!B:B),"Sem termo")</f>
        <v>DIGEO</v>
      </c>
    </row>
    <row r="229" spans="1:10" ht="25.5" customHeight="1" x14ac:dyDescent="0.25">
      <c r="A229" s="16">
        <v>10361</v>
      </c>
      <c r="B229" s="17" t="s">
        <v>236</v>
      </c>
      <c r="C229" s="17" t="s">
        <v>237</v>
      </c>
      <c r="D229" s="17" t="s">
        <v>402</v>
      </c>
      <c r="E229" s="17" t="s">
        <v>239</v>
      </c>
      <c r="F229" s="17" t="s">
        <v>211</v>
      </c>
      <c r="G229" s="17" t="s">
        <v>398</v>
      </c>
      <c r="H229" s="18">
        <v>581</v>
      </c>
      <c r="I229" s="18">
        <v>397.35</v>
      </c>
      <c r="J229" s="7" t="str">
        <f>IFERROR(_xlfn.XLOOKUP(F229,ccustos!A:A,ccustos!B:B),"Sem termo")</f>
        <v>DIGEO</v>
      </c>
    </row>
    <row r="230" spans="1:10" ht="25.5" customHeight="1" x14ac:dyDescent="0.25">
      <c r="A230" s="14">
        <v>10362</v>
      </c>
      <c r="B230" s="7" t="s">
        <v>236</v>
      </c>
      <c r="C230" s="7" t="s">
        <v>237</v>
      </c>
      <c r="D230" s="7" t="s">
        <v>402</v>
      </c>
      <c r="E230" s="7" t="s">
        <v>239</v>
      </c>
      <c r="F230" s="7" t="s">
        <v>211</v>
      </c>
      <c r="G230" s="7" t="s">
        <v>398</v>
      </c>
      <c r="H230" s="15">
        <v>581</v>
      </c>
      <c r="I230" s="15">
        <v>397.35</v>
      </c>
      <c r="J230" s="7" t="str">
        <f>IFERROR(_xlfn.XLOOKUP(F230,ccustos!A:A,ccustos!B:B),"Sem termo")</f>
        <v>DIGEO</v>
      </c>
    </row>
    <row r="231" spans="1:10" ht="36.75" customHeight="1" x14ac:dyDescent="0.25">
      <c r="A231" s="16">
        <v>10363</v>
      </c>
      <c r="B231" s="17" t="s">
        <v>236</v>
      </c>
      <c r="C231" s="17" t="s">
        <v>241</v>
      </c>
      <c r="D231" s="17" t="s">
        <v>403</v>
      </c>
      <c r="E231" s="17" t="s">
        <v>239</v>
      </c>
      <c r="F231" s="17" t="s">
        <v>27</v>
      </c>
      <c r="G231" s="17" t="s">
        <v>286</v>
      </c>
      <c r="H231" s="18">
        <v>764.32</v>
      </c>
      <c r="I231" s="18">
        <v>235.57</v>
      </c>
      <c r="J231" s="7" t="str">
        <f>IFERROR(_xlfn.XLOOKUP(F231,ccustos!A:A,ccustos!B:B),"Sem termo")</f>
        <v>CCI</v>
      </c>
    </row>
    <row r="232" spans="1:10" ht="36.75" customHeight="1" x14ac:dyDescent="0.25">
      <c r="A232" s="14">
        <v>10364</v>
      </c>
      <c r="B232" s="7" t="s">
        <v>236</v>
      </c>
      <c r="C232" s="7" t="s">
        <v>241</v>
      </c>
      <c r="D232" s="7" t="s">
        <v>404</v>
      </c>
      <c r="E232" s="7" t="s">
        <v>239</v>
      </c>
      <c r="F232" s="7" t="s">
        <v>193</v>
      </c>
      <c r="G232" s="7" t="s">
        <v>398</v>
      </c>
      <c r="H232" s="15">
        <v>420</v>
      </c>
      <c r="I232" s="15">
        <v>376.92</v>
      </c>
      <c r="J232" s="7" t="str">
        <f>IFERROR(_xlfn.XLOOKUP(F232,ccustos!A:A,ccustos!B:B),"Sem termo")</f>
        <v>SEPAT</v>
      </c>
    </row>
    <row r="233" spans="1:10" ht="36.75" customHeight="1" x14ac:dyDescent="0.25">
      <c r="A233" s="16">
        <v>10365</v>
      </c>
      <c r="B233" s="17" t="s">
        <v>236</v>
      </c>
      <c r="C233" s="17" t="s">
        <v>241</v>
      </c>
      <c r="D233" s="17" t="s">
        <v>405</v>
      </c>
      <c r="E233" s="17" t="s">
        <v>239</v>
      </c>
      <c r="F233" s="17" t="s">
        <v>187</v>
      </c>
      <c r="G233" s="17" t="s">
        <v>286</v>
      </c>
      <c r="H233" s="18">
        <v>484.16</v>
      </c>
      <c r="I233" s="18">
        <v>235.57</v>
      </c>
      <c r="J233" s="7" t="str">
        <f>IFERROR(_xlfn.XLOOKUP(F233,ccustos!A:A,ccustos!B:B),"Sem termo")</f>
        <v>CGGE</v>
      </c>
    </row>
    <row r="234" spans="1:10" ht="36.75" customHeight="1" x14ac:dyDescent="0.25">
      <c r="A234" s="14">
        <v>10366</v>
      </c>
      <c r="B234" s="7" t="s">
        <v>236</v>
      </c>
      <c r="C234" s="7" t="s">
        <v>241</v>
      </c>
      <c r="D234" s="7" t="s">
        <v>406</v>
      </c>
      <c r="E234" s="7" t="s">
        <v>239</v>
      </c>
      <c r="F234" s="7" t="s">
        <v>43</v>
      </c>
      <c r="G234" s="7" t="s">
        <v>398</v>
      </c>
      <c r="H234" s="15">
        <v>553</v>
      </c>
      <c r="I234" s="15">
        <v>376.92</v>
      </c>
      <c r="J234" s="7" t="str">
        <f>IFERROR(_xlfn.XLOOKUP(F234,ccustos!A:A,ccustos!B:B),"Sem termo")</f>
        <v>SEPAT</v>
      </c>
    </row>
    <row r="235" spans="1:10" ht="36.75" customHeight="1" x14ac:dyDescent="0.25">
      <c r="A235" s="16">
        <v>10367</v>
      </c>
      <c r="B235" s="17" t="s">
        <v>236</v>
      </c>
      <c r="C235" s="17" t="s">
        <v>325</v>
      </c>
      <c r="D235" s="17" t="s">
        <v>407</v>
      </c>
      <c r="E235" s="17" t="s">
        <v>239</v>
      </c>
      <c r="F235" s="17" t="s">
        <v>37</v>
      </c>
      <c r="G235" s="17" t="s">
        <v>253</v>
      </c>
      <c r="H235" s="18">
        <v>593</v>
      </c>
      <c r="I235" s="18">
        <v>332.36</v>
      </c>
      <c r="J235" s="7" t="str">
        <f>IFERROR(_xlfn.XLOOKUP(F235,ccustos!A:A,ccustos!B:B),"Sem termo")</f>
        <v>PROJUR</v>
      </c>
    </row>
    <row r="236" spans="1:10" ht="25.5" customHeight="1" x14ac:dyDescent="0.25">
      <c r="A236" s="14">
        <v>10368</v>
      </c>
      <c r="B236" s="7" t="s">
        <v>236</v>
      </c>
      <c r="C236" s="7" t="s">
        <v>325</v>
      </c>
      <c r="D236" s="7" t="s">
        <v>408</v>
      </c>
      <c r="E236" s="7" t="s">
        <v>239</v>
      </c>
      <c r="F236" s="7" t="s">
        <v>43</v>
      </c>
      <c r="G236" s="7" t="s">
        <v>409</v>
      </c>
      <c r="H236" s="15">
        <v>700</v>
      </c>
      <c r="I236" s="15">
        <v>657.34</v>
      </c>
      <c r="J236" s="7" t="str">
        <f>IFERROR(_xlfn.XLOOKUP(F236,ccustos!A:A,ccustos!B:B),"Sem termo")</f>
        <v>SEPAT</v>
      </c>
    </row>
    <row r="237" spans="1:10" ht="36.75" customHeight="1" x14ac:dyDescent="0.25">
      <c r="A237" s="16">
        <v>10369</v>
      </c>
      <c r="B237" s="17" t="s">
        <v>236</v>
      </c>
      <c r="C237" s="17" t="s">
        <v>325</v>
      </c>
      <c r="D237" s="17" t="s">
        <v>410</v>
      </c>
      <c r="E237" s="17" t="s">
        <v>239</v>
      </c>
      <c r="F237" s="17" t="s">
        <v>44</v>
      </c>
      <c r="G237" s="17" t="s">
        <v>411</v>
      </c>
      <c r="H237" s="18">
        <v>2842.3</v>
      </c>
      <c r="I237" s="18">
        <v>332.36</v>
      </c>
      <c r="J237" s="7" t="str">
        <f>IFERROR(_xlfn.XLOOKUP(F237,ccustos!A:A,ccustos!B:B),"Sem termo")</f>
        <v>COFIS</v>
      </c>
    </row>
    <row r="238" spans="1:10" ht="36.75" customHeight="1" x14ac:dyDescent="0.25">
      <c r="A238" s="14">
        <v>10370</v>
      </c>
      <c r="B238" s="7" t="s">
        <v>236</v>
      </c>
      <c r="C238" s="7" t="s">
        <v>241</v>
      </c>
      <c r="D238" s="7" t="s">
        <v>412</v>
      </c>
      <c r="E238" s="7" t="s">
        <v>239</v>
      </c>
      <c r="F238" s="7" t="s">
        <v>0</v>
      </c>
      <c r="G238" s="7" t="s">
        <v>413</v>
      </c>
      <c r="H238" s="15">
        <v>500</v>
      </c>
      <c r="I238" s="15">
        <v>221.88</v>
      </c>
      <c r="J238" s="7" t="str">
        <f>IFERROR(_xlfn.XLOOKUP(F238,ccustos!A:A,ccustos!B:B),"Sem termo")</f>
        <v>SEPAT</v>
      </c>
    </row>
    <row r="239" spans="1:10" ht="25.5" customHeight="1" x14ac:dyDescent="0.25">
      <c r="A239" s="16">
        <v>10373</v>
      </c>
      <c r="B239" s="17" t="s">
        <v>236</v>
      </c>
      <c r="C239" s="17" t="s">
        <v>241</v>
      </c>
      <c r="D239" s="17" t="s">
        <v>414</v>
      </c>
      <c r="E239" s="17" t="s">
        <v>239</v>
      </c>
      <c r="F239" s="17" t="s">
        <v>43</v>
      </c>
      <c r="G239" s="17" t="s">
        <v>286</v>
      </c>
      <c r="H239" s="18">
        <v>821.44</v>
      </c>
      <c r="I239" s="18">
        <v>275.26</v>
      </c>
      <c r="J239" s="7" t="str">
        <f>IFERROR(_xlfn.XLOOKUP(F239,ccustos!A:A,ccustos!B:B),"Sem termo")</f>
        <v>SEPAT</v>
      </c>
    </row>
    <row r="240" spans="1:10" ht="36.75" customHeight="1" x14ac:dyDescent="0.25">
      <c r="A240" s="14">
        <v>10377</v>
      </c>
      <c r="B240" s="7" t="s">
        <v>236</v>
      </c>
      <c r="C240" s="7" t="s">
        <v>241</v>
      </c>
      <c r="D240" s="7" t="s">
        <v>415</v>
      </c>
      <c r="E240" s="7" t="s">
        <v>239</v>
      </c>
      <c r="F240" s="7" t="s">
        <v>211</v>
      </c>
      <c r="G240" s="7" t="s">
        <v>413</v>
      </c>
      <c r="H240" s="15">
        <v>750</v>
      </c>
      <c r="I240" s="15">
        <v>176.58</v>
      </c>
      <c r="J240" s="7" t="str">
        <f>IFERROR(_xlfn.XLOOKUP(F240,ccustos!A:A,ccustos!B:B),"Sem termo")</f>
        <v>DIGEO</v>
      </c>
    </row>
    <row r="241" spans="1:10" ht="36.75" customHeight="1" x14ac:dyDescent="0.25">
      <c r="A241" s="16">
        <v>10378</v>
      </c>
      <c r="B241" s="17" t="s">
        <v>236</v>
      </c>
      <c r="C241" s="17" t="s">
        <v>241</v>
      </c>
      <c r="D241" s="17" t="s">
        <v>415</v>
      </c>
      <c r="E241" s="17" t="s">
        <v>239</v>
      </c>
      <c r="F241" s="17" t="s">
        <v>185</v>
      </c>
      <c r="G241" s="17" t="s">
        <v>413</v>
      </c>
      <c r="H241" s="18">
        <v>500</v>
      </c>
      <c r="I241" s="18">
        <v>176.58</v>
      </c>
      <c r="J241" s="7" t="str">
        <f>IFERROR(_xlfn.XLOOKUP(F241,ccustos!A:A,ccustos!B:B),"Sem termo")</f>
        <v>CGGE</v>
      </c>
    </row>
    <row r="242" spans="1:10" ht="36.75" customHeight="1" x14ac:dyDescent="0.25">
      <c r="A242" s="14">
        <v>10379</v>
      </c>
      <c r="B242" s="7" t="s">
        <v>236</v>
      </c>
      <c r="C242" s="7" t="s">
        <v>241</v>
      </c>
      <c r="D242" s="7" t="s">
        <v>416</v>
      </c>
      <c r="E242" s="7" t="s">
        <v>239</v>
      </c>
      <c r="F242" s="7" t="s">
        <v>0</v>
      </c>
      <c r="G242" s="7" t="s">
        <v>413</v>
      </c>
      <c r="H242" s="15">
        <v>900</v>
      </c>
      <c r="I242" s="15">
        <v>176.58</v>
      </c>
      <c r="J242" s="7" t="str">
        <f>IFERROR(_xlfn.XLOOKUP(F242,ccustos!A:A,ccustos!B:B),"Sem termo")</f>
        <v>SEPAT</v>
      </c>
    </row>
    <row r="243" spans="1:10" ht="36.75" customHeight="1" x14ac:dyDescent="0.25">
      <c r="A243" s="16">
        <v>10380</v>
      </c>
      <c r="B243" s="17" t="s">
        <v>236</v>
      </c>
      <c r="C243" s="17" t="s">
        <v>241</v>
      </c>
      <c r="D243" s="17" t="s">
        <v>417</v>
      </c>
      <c r="E243" s="17" t="s">
        <v>239</v>
      </c>
      <c r="F243" s="17" t="s">
        <v>0</v>
      </c>
      <c r="G243" s="17" t="s">
        <v>398</v>
      </c>
      <c r="H243" s="18">
        <v>560</v>
      </c>
      <c r="I243" s="18">
        <v>346.54</v>
      </c>
      <c r="J243" s="7" t="str">
        <f>IFERROR(_xlfn.XLOOKUP(F243,ccustos!A:A,ccustos!B:B),"Sem termo")</f>
        <v>SEPAT</v>
      </c>
    </row>
    <row r="244" spans="1:10" ht="36.75" customHeight="1" x14ac:dyDescent="0.25">
      <c r="A244" s="14">
        <v>10381</v>
      </c>
      <c r="B244" s="7" t="s">
        <v>236</v>
      </c>
      <c r="C244" s="7" t="s">
        <v>237</v>
      </c>
      <c r="D244" s="7" t="s">
        <v>418</v>
      </c>
      <c r="E244" s="7" t="s">
        <v>239</v>
      </c>
      <c r="F244" s="7" t="s">
        <v>27</v>
      </c>
      <c r="G244" s="7" t="s">
        <v>419</v>
      </c>
      <c r="H244" s="15">
        <v>1332.8</v>
      </c>
      <c r="I244" s="15">
        <v>202.69</v>
      </c>
      <c r="J244" s="7" t="str">
        <f>IFERROR(_xlfn.XLOOKUP(F244,ccustos!A:A,ccustos!B:B),"Sem termo")</f>
        <v>CCI</v>
      </c>
    </row>
    <row r="245" spans="1:10" ht="36.75" customHeight="1" x14ac:dyDescent="0.25">
      <c r="A245" s="16">
        <v>10382</v>
      </c>
      <c r="B245" s="17" t="s">
        <v>236</v>
      </c>
      <c r="C245" s="17" t="s">
        <v>237</v>
      </c>
      <c r="D245" s="17" t="s">
        <v>418</v>
      </c>
      <c r="E245" s="17" t="s">
        <v>239</v>
      </c>
      <c r="F245" s="17" t="s">
        <v>27</v>
      </c>
      <c r="G245" s="17" t="s">
        <v>419</v>
      </c>
      <c r="H245" s="18">
        <v>1332.8</v>
      </c>
      <c r="I245" s="18">
        <v>202.69</v>
      </c>
      <c r="J245" s="7" t="str">
        <f>IFERROR(_xlfn.XLOOKUP(F245,ccustos!A:A,ccustos!B:B),"Sem termo")</f>
        <v>CCI</v>
      </c>
    </row>
    <row r="246" spans="1:10" ht="36.75" customHeight="1" x14ac:dyDescent="0.25">
      <c r="A246" s="14">
        <v>10383</v>
      </c>
      <c r="B246" s="7" t="s">
        <v>236</v>
      </c>
      <c r="C246" s="7" t="s">
        <v>325</v>
      </c>
      <c r="D246" s="7" t="s">
        <v>420</v>
      </c>
      <c r="E246" s="7" t="s">
        <v>239</v>
      </c>
      <c r="F246" s="7" t="s">
        <v>43</v>
      </c>
      <c r="G246" s="7" t="s">
        <v>419</v>
      </c>
      <c r="H246" s="15">
        <v>1099.8</v>
      </c>
      <c r="I246" s="15">
        <v>328.67</v>
      </c>
      <c r="J246" s="7" t="str">
        <f>IFERROR(_xlfn.XLOOKUP(F246,ccustos!A:A,ccustos!B:B),"Sem termo")</f>
        <v>SEPAT</v>
      </c>
    </row>
    <row r="247" spans="1:10" ht="36.75" customHeight="1" x14ac:dyDescent="0.25">
      <c r="A247" s="16">
        <v>10384</v>
      </c>
      <c r="B247" s="17" t="s">
        <v>236</v>
      </c>
      <c r="C247" s="17" t="s">
        <v>325</v>
      </c>
      <c r="D247" s="17" t="s">
        <v>420</v>
      </c>
      <c r="E247" s="17" t="s">
        <v>239</v>
      </c>
      <c r="F247" s="17" t="s">
        <v>43</v>
      </c>
      <c r="G247" s="17" t="s">
        <v>419</v>
      </c>
      <c r="H247" s="18">
        <v>1099.8</v>
      </c>
      <c r="I247" s="18">
        <v>328.67</v>
      </c>
      <c r="J247" s="7" t="str">
        <f>IFERROR(_xlfn.XLOOKUP(F247,ccustos!A:A,ccustos!B:B),"Sem termo")</f>
        <v>SEPAT</v>
      </c>
    </row>
    <row r="248" spans="1:10" ht="36.75" customHeight="1" x14ac:dyDescent="0.25">
      <c r="A248" s="14">
        <v>10386</v>
      </c>
      <c r="B248" s="7" t="s">
        <v>236</v>
      </c>
      <c r="C248" s="7" t="s">
        <v>237</v>
      </c>
      <c r="D248" s="7" t="s">
        <v>378</v>
      </c>
      <c r="E248" s="7" t="s">
        <v>239</v>
      </c>
      <c r="F248" s="7" t="s">
        <v>14</v>
      </c>
      <c r="G248" s="7" t="s">
        <v>350</v>
      </c>
      <c r="H248" s="15">
        <v>180</v>
      </c>
      <c r="I248" s="15">
        <v>405.3</v>
      </c>
      <c r="J248" s="7" t="str">
        <f>IFERROR(_xlfn.XLOOKUP(F248,ccustos!A:A,ccustos!B:B),"Sem termo")</f>
        <v>SEPAT</v>
      </c>
    </row>
    <row r="249" spans="1:10" ht="36.75" customHeight="1" x14ac:dyDescent="0.25">
      <c r="A249" s="16">
        <v>10387</v>
      </c>
      <c r="B249" s="17" t="s">
        <v>236</v>
      </c>
      <c r="C249" s="17" t="s">
        <v>241</v>
      </c>
      <c r="D249" s="17" t="s">
        <v>421</v>
      </c>
      <c r="E249" s="17" t="s">
        <v>239</v>
      </c>
      <c r="F249" s="17" t="s">
        <v>35</v>
      </c>
      <c r="G249" s="17" t="s">
        <v>422</v>
      </c>
      <c r="H249" s="18">
        <v>0.01</v>
      </c>
      <c r="I249" s="18">
        <v>141.57</v>
      </c>
      <c r="J249" s="7" t="str">
        <f>IFERROR(_xlfn.XLOOKUP(F249,ccustos!A:A,ccustos!B:B),"Sem termo")</f>
        <v>DEINFRA</v>
      </c>
    </row>
    <row r="250" spans="1:10" ht="36.75" customHeight="1" x14ac:dyDescent="0.25">
      <c r="A250" s="14">
        <v>10388</v>
      </c>
      <c r="B250" s="7" t="s">
        <v>236</v>
      </c>
      <c r="C250" s="7" t="s">
        <v>316</v>
      </c>
      <c r="D250" s="7" t="s">
        <v>423</v>
      </c>
      <c r="E250" s="7" t="s">
        <v>250</v>
      </c>
      <c r="F250" s="7" t="s">
        <v>35</v>
      </c>
      <c r="G250" s="7" t="s">
        <v>398</v>
      </c>
      <c r="H250" s="15">
        <v>2700</v>
      </c>
      <c r="I250" s="15">
        <v>773.76</v>
      </c>
      <c r="J250" s="7" t="str">
        <f>IFERROR(_xlfn.XLOOKUP(F250,ccustos!A:A,ccustos!B:B),"Sem termo")</f>
        <v>DEINFRA</v>
      </c>
    </row>
    <row r="251" spans="1:10" ht="36.75" customHeight="1" x14ac:dyDescent="0.25">
      <c r="A251" s="16">
        <v>10389</v>
      </c>
      <c r="B251" s="17" t="s">
        <v>236</v>
      </c>
      <c r="C251" s="17" t="s">
        <v>424</v>
      </c>
      <c r="D251" s="17" t="s">
        <v>425</v>
      </c>
      <c r="E251" s="17" t="s">
        <v>318</v>
      </c>
      <c r="F251" s="17" t="s">
        <v>35</v>
      </c>
      <c r="G251" s="17" t="s">
        <v>426</v>
      </c>
      <c r="H251" s="18">
        <v>695</v>
      </c>
      <c r="I251" s="18">
        <v>229.7</v>
      </c>
      <c r="J251" s="7" t="str">
        <f>IFERROR(_xlfn.XLOOKUP(F251,ccustos!A:A,ccustos!B:B),"Sem termo")</f>
        <v>DEINFRA</v>
      </c>
    </row>
    <row r="252" spans="1:10" ht="36.75" customHeight="1" x14ac:dyDescent="0.25">
      <c r="A252" s="14">
        <v>10392</v>
      </c>
      <c r="B252" s="7" t="s">
        <v>236</v>
      </c>
      <c r="C252" s="7" t="s">
        <v>316</v>
      </c>
      <c r="D252" s="7" t="s">
        <v>427</v>
      </c>
      <c r="E252" s="7" t="s">
        <v>250</v>
      </c>
      <c r="F252" s="7" t="s">
        <v>35</v>
      </c>
      <c r="G252" s="7" t="s">
        <v>311</v>
      </c>
      <c r="H252" s="15">
        <v>2310</v>
      </c>
      <c r="I252" s="15">
        <v>639.84</v>
      </c>
      <c r="J252" s="7" t="str">
        <f>IFERROR(_xlfn.XLOOKUP(F252,ccustos!A:A,ccustos!B:B),"Sem termo")</f>
        <v>DEINFRA</v>
      </c>
    </row>
    <row r="253" spans="1:10" ht="36.75" customHeight="1" x14ac:dyDescent="0.25">
      <c r="A253" s="16">
        <v>10393</v>
      </c>
      <c r="B253" s="17" t="s">
        <v>236</v>
      </c>
      <c r="C253" s="17" t="s">
        <v>316</v>
      </c>
      <c r="D253" s="17" t="s">
        <v>427</v>
      </c>
      <c r="E253" s="17" t="s">
        <v>250</v>
      </c>
      <c r="F253" s="17" t="s">
        <v>35</v>
      </c>
      <c r="G253" s="17" t="s">
        <v>311</v>
      </c>
      <c r="H253" s="18">
        <v>2310</v>
      </c>
      <c r="I253" s="18">
        <v>639.84</v>
      </c>
      <c r="J253" s="7" t="str">
        <f>IFERROR(_xlfn.XLOOKUP(F253,ccustos!A:A,ccustos!B:B),"Sem termo")</f>
        <v>DEINFRA</v>
      </c>
    </row>
    <row r="254" spans="1:10" ht="36.75" customHeight="1" x14ac:dyDescent="0.25">
      <c r="A254" s="14">
        <v>10394</v>
      </c>
      <c r="B254" s="7" t="s">
        <v>236</v>
      </c>
      <c r="C254" s="7" t="s">
        <v>294</v>
      </c>
      <c r="D254" s="7" t="s">
        <v>428</v>
      </c>
      <c r="E254" s="7" t="s">
        <v>239</v>
      </c>
      <c r="F254" s="7" t="s">
        <v>35</v>
      </c>
      <c r="G254" s="7" t="s">
        <v>398</v>
      </c>
      <c r="H254" s="15">
        <v>720</v>
      </c>
      <c r="I254" s="15">
        <v>414.84</v>
      </c>
      <c r="J254" s="7" t="str">
        <f>IFERROR(_xlfn.XLOOKUP(F254,ccustos!A:A,ccustos!B:B),"Sem termo")</f>
        <v>DEINFRA</v>
      </c>
    </row>
    <row r="255" spans="1:10" ht="36.75" customHeight="1" x14ac:dyDescent="0.25">
      <c r="A255" s="16">
        <v>10395</v>
      </c>
      <c r="B255" s="17" t="s">
        <v>236</v>
      </c>
      <c r="C255" s="17" t="s">
        <v>424</v>
      </c>
      <c r="D255" s="17" t="s">
        <v>429</v>
      </c>
      <c r="E255" s="17" t="s">
        <v>318</v>
      </c>
      <c r="F255" s="17" t="s">
        <v>35</v>
      </c>
      <c r="G255" s="17" t="s">
        <v>430</v>
      </c>
      <c r="H255" s="18">
        <v>676</v>
      </c>
      <c r="I255" s="18">
        <v>246.27</v>
      </c>
      <c r="J255" s="7" t="str">
        <f>IFERROR(_xlfn.XLOOKUP(F255,ccustos!A:A,ccustos!B:B),"Sem termo")</f>
        <v>DEINFRA</v>
      </c>
    </row>
    <row r="256" spans="1:10" ht="36.75" customHeight="1" x14ac:dyDescent="0.25">
      <c r="A256" s="14">
        <v>10399</v>
      </c>
      <c r="B256" s="7" t="s">
        <v>236</v>
      </c>
      <c r="C256" s="7" t="s">
        <v>300</v>
      </c>
      <c r="D256" s="7" t="s">
        <v>431</v>
      </c>
      <c r="E256" s="7" t="s">
        <v>239</v>
      </c>
      <c r="F256" s="7" t="s">
        <v>35</v>
      </c>
      <c r="G256" s="7" t="s">
        <v>398</v>
      </c>
      <c r="H256" s="15">
        <v>720</v>
      </c>
      <c r="I256" s="15">
        <v>414.84</v>
      </c>
      <c r="J256" s="7" t="str">
        <f>IFERROR(_xlfn.XLOOKUP(F256,ccustos!A:A,ccustos!B:B),"Sem termo")</f>
        <v>DEINFRA</v>
      </c>
    </row>
    <row r="257" spans="1:10" ht="25.5" customHeight="1" x14ac:dyDescent="0.25">
      <c r="A257" s="16">
        <v>10400</v>
      </c>
      <c r="B257" s="17" t="s">
        <v>236</v>
      </c>
      <c r="C257" s="17" t="s">
        <v>432</v>
      </c>
      <c r="D257" s="17" t="s">
        <v>433</v>
      </c>
      <c r="E257" s="17" t="s">
        <v>250</v>
      </c>
      <c r="F257" s="17" t="s">
        <v>35</v>
      </c>
      <c r="G257" s="17" t="s">
        <v>398</v>
      </c>
      <c r="H257" s="18">
        <v>780</v>
      </c>
      <c r="I257" s="18">
        <v>466.87</v>
      </c>
      <c r="J257" s="7" t="str">
        <f>IFERROR(_xlfn.XLOOKUP(F257,ccustos!A:A,ccustos!B:B),"Sem termo")</f>
        <v>DEINFRA</v>
      </c>
    </row>
    <row r="258" spans="1:10" ht="25.5" customHeight="1" x14ac:dyDescent="0.25">
      <c r="A258" s="14">
        <v>10403</v>
      </c>
      <c r="B258" s="7" t="s">
        <v>236</v>
      </c>
      <c r="C258" s="7" t="s">
        <v>294</v>
      </c>
      <c r="D258" s="7" t="s">
        <v>434</v>
      </c>
      <c r="E258" s="7" t="s">
        <v>239</v>
      </c>
      <c r="F258" s="7" t="s">
        <v>35</v>
      </c>
      <c r="G258" s="7" t="s">
        <v>398</v>
      </c>
      <c r="H258" s="15">
        <v>720</v>
      </c>
      <c r="I258" s="15">
        <v>414.84</v>
      </c>
      <c r="J258" s="7" t="str">
        <f>IFERROR(_xlfn.XLOOKUP(F258,ccustos!A:A,ccustos!B:B),"Sem termo")</f>
        <v>DEINFRA</v>
      </c>
    </row>
    <row r="259" spans="1:10" ht="25.5" customHeight="1" x14ac:dyDescent="0.25">
      <c r="A259" s="16">
        <v>10404</v>
      </c>
      <c r="B259" s="17" t="s">
        <v>236</v>
      </c>
      <c r="C259" s="17" t="s">
        <v>294</v>
      </c>
      <c r="D259" s="17" t="s">
        <v>435</v>
      </c>
      <c r="E259" s="17" t="s">
        <v>239</v>
      </c>
      <c r="F259" s="17" t="s">
        <v>35</v>
      </c>
      <c r="G259" s="17" t="s">
        <v>398</v>
      </c>
      <c r="H259" s="18">
        <v>720</v>
      </c>
      <c r="I259" s="18">
        <v>414.84</v>
      </c>
      <c r="J259" s="7" t="str">
        <f>IFERROR(_xlfn.XLOOKUP(F259,ccustos!A:A,ccustos!B:B),"Sem termo")</f>
        <v>DEINFRA</v>
      </c>
    </row>
    <row r="260" spans="1:10" ht="25.5" customHeight="1" x14ac:dyDescent="0.25">
      <c r="A260" s="14">
        <v>10405</v>
      </c>
      <c r="B260" s="7" t="s">
        <v>236</v>
      </c>
      <c r="C260" s="7" t="s">
        <v>306</v>
      </c>
      <c r="D260" s="7" t="s">
        <v>436</v>
      </c>
      <c r="E260" s="7" t="s">
        <v>239</v>
      </c>
      <c r="F260" s="7" t="s">
        <v>35</v>
      </c>
      <c r="G260" s="7" t="s">
        <v>398</v>
      </c>
      <c r="H260" s="15">
        <v>450</v>
      </c>
      <c r="I260" s="15">
        <v>259.27999999999997</v>
      </c>
      <c r="J260" s="7" t="str">
        <f>IFERROR(_xlfn.XLOOKUP(F260,ccustos!A:A,ccustos!B:B),"Sem termo")</f>
        <v>DEINFRA</v>
      </c>
    </row>
    <row r="261" spans="1:10" ht="25.5" customHeight="1" x14ac:dyDescent="0.25">
      <c r="A261" s="16">
        <v>10406</v>
      </c>
      <c r="B261" s="17" t="s">
        <v>236</v>
      </c>
      <c r="C261" s="17" t="s">
        <v>306</v>
      </c>
      <c r="D261" s="17" t="s">
        <v>436</v>
      </c>
      <c r="E261" s="17" t="s">
        <v>239</v>
      </c>
      <c r="F261" s="17" t="s">
        <v>35</v>
      </c>
      <c r="G261" s="17" t="s">
        <v>398</v>
      </c>
      <c r="H261" s="18">
        <v>450</v>
      </c>
      <c r="I261" s="18">
        <v>259.27999999999997</v>
      </c>
      <c r="J261" s="7" t="str">
        <f>IFERROR(_xlfn.XLOOKUP(F261,ccustos!A:A,ccustos!B:B),"Sem termo")</f>
        <v>DEINFRA</v>
      </c>
    </row>
    <row r="262" spans="1:10" ht="36.75" customHeight="1" x14ac:dyDescent="0.25">
      <c r="A262" s="14">
        <v>10407</v>
      </c>
      <c r="B262" s="7" t="s">
        <v>236</v>
      </c>
      <c r="C262" s="7" t="s">
        <v>294</v>
      </c>
      <c r="D262" s="7" t="s">
        <v>437</v>
      </c>
      <c r="E262" s="7" t="s">
        <v>239</v>
      </c>
      <c r="F262" s="7" t="s">
        <v>35</v>
      </c>
      <c r="G262" s="7" t="s">
        <v>398</v>
      </c>
      <c r="H262" s="15">
        <v>720</v>
      </c>
      <c r="I262" s="15">
        <v>414.84</v>
      </c>
      <c r="J262" s="7" t="str">
        <f>IFERROR(_xlfn.XLOOKUP(F262,ccustos!A:A,ccustos!B:B),"Sem termo")</f>
        <v>DEINFRA</v>
      </c>
    </row>
    <row r="263" spans="1:10" ht="36.75" customHeight="1" x14ac:dyDescent="0.25">
      <c r="A263" s="16">
        <v>10408</v>
      </c>
      <c r="B263" s="17" t="s">
        <v>236</v>
      </c>
      <c r="C263" s="17" t="s">
        <v>294</v>
      </c>
      <c r="D263" s="17" t="s">
        <v>438</v>
      </c>
      <c r="E263" s="17" t="s">
        <v>239</v>
      </c>
      <c r="F263" s="17" t="s">
        <v>35</v>
      </c>
      <c r="G263" s="17" t="s">
        <v>398</v>
      </c>
      <c r="H263" s="18">
        <v>720</v>
      </c>
      <c r="I263" s="18">
        <v>414.84</v>
      </c>
      <c r="J263" s="7" t="str">
        <f>IFERROR(_xlfn.XLOOKUP(F263,ccustos!A:A,ccustos!B:B),"Sem termo")</f>
        <v>DEINFRA</v>
      </c>
    </row>
    <row r="264" spans="1:10" ht="25.5" customHeight="1" x14ac:dyDescent="0.25">
      <c r="A264" s="14">
        <v>10409</v>
      </c>
      <c r="B264" s="7" t="s">
        <v>236</v>
      </c>
      <c r="C264" s="7" t="s">
        <v>316</v>
      </c>
      <c r="D264" s="7" t="s">
        <v>439</v>
      </c>
      <c r="E264" s="7" t="s">
        <v>250</v>
      </c>
      <c r="F264" s="7" t="s">
        <v>35</v>
      </c>
      <c r="G264" s="7" t="s">
        <v>398</v>
      </c>
      <c r="H264" s="15">
        <v>2700</v>
      </c>
      <c r="I264" s="15">
        <v>773.76</v>
      </c>
      <c r="J264" s="7" t="str">
        <f>IFERROR(_xlfn.XLOOKUP(F264,ccustos!A:A,ccustos!B:B),"Sem termo")</f>
        <v>DEINFRA</v>
      </c>
    </row>
    <row r="265" spans="1:10" ht="25.5" customHeight="1" x14ac:dyDescent="0.25">
      <c r="A265" s="16">
        <v>10410</v>
      </c>
      <c r="B265" s="17" t="s">
        <v>236</v>
      </c>
      <c r="C265" s="17" t="s">
        <v>306</v>
      </c>
      <c r="D265" s="17" t="s">
        <v>369</v>
      </c>
      <c r="E265" s="17" t="s">
        <v>239</v>
      </c>
      <c r="F265" s="17" t="s">
        <v>35</v>
      </c>
      <c r="G265" s="17" t="s">
        <v>308</v>
      </c>
      <c r="H265" s="18">
        <v>447.96</v>
      </c>
      <c r="I265" s="18">
        <v>161.69</v>
      </c>
      <c r="J265" s="7" t="str">
        <f>IFERROR(_xlfn.XLOOKUP(F265,ccustos!A:A,ccustos!B:B),"Sem termo")</f>
        <v>DEINFRA</v>
      </c>
    </row>
    <row r="266" spans="1:10" ht="25.5" customHeight="1" x14ac:dyDescent="0.25">
      <c r="A266" s="14">
        <v>10411</v>
      </c>
      <c r="B266" s="7" t="s">
        <v>236</v>
      </c>
      <c r="C266" s="7" t="s">
        <v>306</v>
      </c>
      <c r="D266" s="7" t="s">
        <v>440</v>
      </c>
      <c r="E266" s="7" t="s">
        <v>239</v>
      </c>
      <c r="F266" s="7" t="s">
        <v>35</v>
      </c>
      <c r="G266" s="7" t="s">
        <v>257</v>
      </c>
      <c r="H266" s="15">
        <v>348</v>
      </c>
      <c r="I266" s="15">
        <v>367.84</v>
      </c>
      <c r="J266" s="7" t="str">
        <f>IFERROR(_xlfn.XLOOKUP(F266,ccustos!A:A,ccustos!B:B),"Sem termo")</f>
        <v>DEINFRA</v>
      </c>
    </row>
    <row r="267" spans="1:10" ht="36.75" customHeight="1" x14ac:dyDescent="0.25">
      <c r="A267" s="16">
        <v>10412</v>
      </c>
      <c r="B267" s="17" t="s">
        <v>236</v>
      </c>
      <c r="C267" s="17" t="s">
        <v>306</v>
      </c>
      <c r="D267" s="17" t="s">
        <v>441</v>
      </c>
      <c r="E267" s="17" t="s">
        <v>239</v>
      </c>
      <c r="F267" s="17" t="s">
        <v>35</v>
      </c>
      <c r="G267" s="17" t="s">
        <v>398</v>
      </c>
      <c r="H267" s="18">
        <v>475.3</v>
      </c>
      <c r="I267" s="18">
        <v>300.45999999999998</v>
      </c>
      <c r="J267" s="7" t="str">
        <f>IFERROR(_xlfn.XLOOKUP(F267,ccustos!A:A,ccustos!B:B),"Sem termo")</f>
        <v>DEINFRA</v>
      </c>
    </row>
    <row r="268" spans="1:10" ht="36.75" customHeight="1" x14ac:dyDescent="0.25">
      <c r="A268" s="14">
        <v>10413</v>
      </c>
      <c r="B268" s="7" t="s">
        <v>236</v>
      </c>
      <c r="C268" s="7" t="s">
        <v>306</v>
      </c>
      <c r="D268" s="7" t="s">
        <v>307</v>
      </c>
      <c r="E268" s="7" t="s">
        <v>239</v>
      </c>
      <c r="F268" s="7" t="s">
        <v>35</v>
      </c>
      <c r="G268" s="7" t="s">
        <v>289</v>
      </c>
      <c r="H268" s="15">
        <v>287.67</v>
      </c>
      <c r="I268" s="15">
        <v>216.37</v>
      </c>
      <c r="J268" s="7" t="str">
        <f>IFERROR(_xlfn.XLOOKUP(F268,ccustos!A:A,ccustos!B:B),"Sem termo")</f>
        <v>DEINFRA</v>
      </c>
    </row>
    <row r="269" spans="1:10" ht="36.75" customHeight="1" x14ac:dyDescent="0.25">
      <c r="A269" s="16">
        <v>10415</v>
      </c>
      <c r="B269" s="17" t="s">
        <v>236</v>
      </c>
      <c r="C269" s="17" t="s">
        <v>237</v>
      </c>
      <c r="D269" s="17" t="s">
        <v>442</v>
      </c>
      <c r="E269" s="17" t="s">
        <v>239</v>
      </c>
      <c r="F269" s="17" t="s">
        <v>0</v>
      </c>
      <c r="G269" s="17" t="s">
        <v>443</v>
      </c>
      <c r="H269" s="18">
        <v>208</v>
      </c>
      <c r="I269" s="18">
        <v>149.01</v>
      </c>
      <c r="J269" s="7" t="str">
        <f>IFERROR(_xlfn.XLOOKUP(F269,ccustos!A:A,ccustos!B:B),"Sem termo")</f>
        <v>SEPAT</v>
      </c>
    </row>
    <row r="270" spans="1:10" ht="36.75" customHeight="1" x14ac:dyDescent="0.25">
      <c r="A270" s="14">
        <v>10416</v>
      </c>
      <c r="B270" s="7" t="s">
        <v>236</v>
      </c>
      <c r="C270" s="7" t="s">
        <v>237</v>
      </c>
      <c r="D270" s="7" t="s">
        <v>444</v>
      </c>
      <c r="E270" s="7" t="s">
        <v>239</v>
      </c>
      <c r="F270" s="7" t="s">
        <v>0</v>
      </c>
      <c r="G270" s="7" t="s">
        <v>443</v>
      </c>
      <c r="H270" s="15">
        <v>208</v>
      </c>
      <c r="I270" s="15">
        <v>149.01</v>
      </c>
      <c r="J270" s="7" t="str">
        <f>IFERROR(_xlfn.XLOOKUP(F270,ccustos!A:A,ccustos!B:B),"Sem termo")</f>
        <v>SEPAT</v>
      </c>
    </row>
    <row r="271" spans="1:10" ht="25.5" customHeight="1" x14ac:dyDescent="0.25">
      <c r="A271" s="16">
        <v>10417</v>
      </c>
      <c r="B271" s="17" t="s">
        <v>236</v>
      </c>
      <c r="C271" s="17" t="s">
        <v>237</v>
      </c>
      <c r="D271" s="17" t="s">
        <v>442</v>
      </c>
      <c r="E271" s="17" t="s">
        <v>239</v>
      </c>
      <c r="F271" s="17" t="s">
        <v>0</v>
      </c>
      <c r="G271" s="17" t="s">
        <v>443</v>
      </c>
      <c r="H271" s="18">
        <v>208</v>
      </c>
      <c r="I271" s="18">
        <v>149.01</v>
      </c>
      <c r="J271" s="7" t="str">
        <f>IFERROR(_xlfn.XLOOKUP(F271,ccustos!A:A,ccustos!B:B),"Sem termo")</f>
        <v>SEPAT</v>
      </c>
    </row>
    <row r="272" spans="1:10" ht="25.5" customHeight="1" x14ac:dyDescent="0.25">
      <c r="A272" s="14">
        <v>10419</v>
      </c>
      <c r="B272" s="7" t="s">
        <v>236</v>
      </c>
      <c r="C272" s="7" t="s">
        <v>387</v>
      </c>
      <c r="D272" s="7" t="s">
        <v>445</v>
      </c>
      <c r="E272" s="7" t="s">
        <v>250</v>
      </c>
      <c r="F272" s="7" t="s">
        <v>45</v>
      </c>
      <c r="G272" s="7" t="s">
        <v>389</v>
      </c>
      <c r="H272" s="15">
        <v>0</v>
      </c>
      <c r="I272" s="15">
        <v>320.14</v>
      </c>
      <c r="J272" s="7" t="str">
        <f>IFERROR(_xlfn.XLOOKUP(F272,ccustos!A:A,ccustos!B:B),"Sem termo")</f>
        <v>SEPAT</v>
      </c>
    </row>
    <row r="273" spans="1:10" ht="36.75" customHeight="1" x14ac:dyDescent="0.25">
      <c r="A273" s="16">
        <v>10420</v>
      </c>
      <c r="B273" s="17" t="s">
        <v>236</v>
      </c>
      <c r="C273" s="17" t="s">
        <v>320</v>
      </c>
      <c r="D273" s="17" t="s">
        <v>446</v>
      </c>
      <c r="E273" s="17" t="s">
        <v>250</v>
      </c>
      <c r="F273" s="17" t="s">
        <v>46</v>
      </c>
      <c r="G273" s="17" t="s">
        <v>322</v>
      </c>
      <c r="H273" s="18">
        <v>1428</v>
      </c>
      <c r="I273" s="18">
        <v>634.94000000000005</v>
      </c>
      <c r="J273" s="7" t="str">
        <f>IFERROR(_xlfn.XLOOKUP(F273,ccustos!A:A,ccustos!B:B),"Sem termo")</f>
        <v>CCI</v>
      </c>
    </row>
    <row r="274" spans="1:10" ht="36.75" customHeight="1" x14ac:dyDescent="0.25">
      <c r="A274" s="14">
        <v>10421</v>
      </c>
      <c r="B274" s="7" t="s">
        <v>236</v>
      </c>
      <c r="C274" s="7" t="s">
        <v>316</v>
      </c>
      <c r="D274" s="7" t="s">
        <v>447</v>
      </c>
      <c r="E274" s="7" t="s">
        <v>318</v>
      </c>
      <c r="F274" s="7" t="s">
        <v>46</v>
      </c>
      <c r="G274" s="7" t="s">
        <v>448</v>
      </c>
      <c r="H274" s="15">
        <v>565</v>
      </c>
      <c r="I274" s="15">
        <v>218.55</v>
      </c>
      <c r="J274" s="7" t="str">
        <f>IFERROR(_xlfn.XLOOKUP(F274,ccustos!A:A,ccustos!B:B),"Sem termo")</f>
        <v>CCI</v>
      </c>
    </row>
    <row r="275" spans="1:10" ht="36.75" customHeight="1" x14ac:dyDescent="0.25">
      <c r="A275" s="16">
        <v>10422</v>
      </c>
      <c r="B275" s="17" t="s">
        <v>236</v>
      </c>
      <c r="C275" s="17" t="s">
        <v>306</v>
      </c>
      <c r="D275" s="17" t="s">
        <v>449</v>
      </c>
      <c r="E275" s="17" t="s">
        <v>239</v>
      </c>
      <c r="F275" s="17" t="s">
        <v>46</v>
      </c>
      <c r="G275" s="17" t="s">
        <v>311</v>
      </c>
      <c r="H275" s="18">
        <v>17640</v>
      </c>
      <c r="I275" s="18">
        <v>7925.19</v>
      </c>
      <c r="J275" s="7" t="str">
        <f>IFERROR(_xlfn.XLOOKUP(F275,ccustos!A:A,ccustos!B:B),"Sem termo")</f>
        <v>CCI</v>
      </c>
    </row>
    <row r="276" spans="1:10" ht="36.75" customHeight="1" x14ac:dyDescent="0.25">
      <c r="A276" s="14">
        <v>10423</v>
      </c>
      <c r="B276" s="7" t="s">
        <v>236</v>
      </c>
      <c r="C276" s="7" t="s">
        <v>237</v>
      </c>
      <c r="D276" s="7" t="s">
        <v>450</v>
      </c>
      <c r="E276" s="7" t="s">
        <v>239</v>
      </c>
      <c r="F276" s="7" t="s">
        <v>46</v>
      </c>
      <c r="G276" s="7" t="s">
        <v>311</v>
      </c>
      <c r="H276" s="15">
        <v>2297.58</v>
      </c>
      <c r="I276" s="15">
        <v>397.35</v>
      </c>
      <c r="J276" s="7" t="str">
        <f>IFERROR(_xlfn.XLOOKUP(F276,ccustos!A:A,ccustos!B:B),"Sem termo")</f>
        <v>CCI</v>
      </c>
    </row>
    <row r="277" spans="1:10" ht="25.5" customHeight="1" x14ac:dyDescent="0.25">
      <c r="A277" s="16">
        <v>10424</v>
      </c>
      <c r="B277" s="17" t="s">
        <v>236</v>
      </c>
      <c r="C277" s="17" t="s">
        <v>237</v>
      </c>
      <c r="D277" s="17" t="s">
        <v>450</v>
      </c>
      <c r="E277" s="17" t="s">
        <v>239</v>
      </c>
      <c r="F277" s="17" t="s">
        <v>46</v>
      </c>
      <c r="G277" s="17" t="s">
        <v>311</v>
      </c>
      <c r="H277" s="18">
        <v>2297.58</v>
      </c>
      <c r="I277" s="18">
        <v>397.35</v>
      </c>
      <c r="J277" s="7" t="str">
        <f>IFERROR(_xlfn.XLOOKUP(F277,ccustos!A:A,ccustos!B:B),"Sem termo")</f>
        <v>CCI</v>
      </c>
    </row>
    <row r="278" spans="1:10" ht="36.75" customHeight="1" x14ac:dyDescent="0.25">
      <c r="A278" s="14">
        <v>10425</v>
      </c>
      <c r="B278" s="7" t="s">
        <v>236</v>
      </c>
      <c r="C278" s="7" t="s">
        <v>237</v>
      </c>
      <c r="D278" s="7" t="s">
        <v>451</v>
      </c>
      <c r="E278" s="7" t="s">
        <v>239</v>
      </c>
      <c r="F278" s="7" t="s">
        <v>46</v>
      </c>
      <c r="G278" s="7" t="s">
        <v>311</v>
      </c>
      <c r="H278" s="15">
        <v>2897.35</v>
      </c>
      <c r="I278" s="15">
        <v>724.91</v>
      </c>
      <c r="J278" s="7" t="str">
        <f>IFERROR(_xlfn.XLOOKUP(F278,ccustos!A:A,ccustos!B:B),"Sem termo")</f>
        <v>CCI</v>
      </c>
    </row>
    <row r="279" spans="1:10" ht="36.75" customHeight="1" x14ac:dyDescent="0.25">
      <c r="A279" s="16">
        <v>10426</v>
      </c>
      <c r="B279" s="17" t="s">
        <v>236</v>
      </c>
      <c r="C279" s="17" t="s">
        <v>241</v>
      </c>
      <c r="D279" s="17" t="s">
        <v>361</v>
      </c>
      <c r="E279" s="17" t="s">
        <v>239</v>
      </c>
      <c r="F279" s="17" t="s">
        <v>46</v>
      </c>
      <c r="G279" s="17" t="s">
        <v>324</v>
      </c>
      <c r="H279" s="18">
        <v>5576.64</v>
      </c>
      <c r="I279" s="18">
        <v>2479.59</v>
      </c>
      <c r="J279" s="7" t="str">
        <f>IFERROR(_xlfn.XLOOKUP(F279,ccustos!A:A,ccustos!B:B),"Sem termo")</f>
        <v>CCI</v>
      </c>
    </row>
    <row r="280" spans="1:10" ht="25.5" customHeight="1" x14ac:dyDescent="0.25">
      <c r="A280" s="14">
        <v>10427</v>
      </c>
      <c r="B280" s="7" t="s">
        <v>236</v>
      </c>
      <c r="C280" s="7" t="s">
        <v>325</v>
      </c>
      <c r="D280" s="7" t="s">
        <v>452</v>
      </c>
      <c r="E280" s="7" t="s">
        <v>239</v>
      </c>
      <c r="F280" s="7" t="s">
        <v>46</v>
      </c>
      <c r="G280" s="7" t="s">
        <v>311</v>
      </c>
      <c r="H280" s="15">
        <v>2279.6799999999998</v>
      </c>
      <c r="I280" s="15">
        <v>842.41</v>
      </c>
      <c r="J280" s="7" t="str">
        <f>IFERROR(_xlfn.XLOOKUP(F280,ccustos!A:A,ccustos!B:B),"Sem termo")</f>
        <v>CCI</v>
      </c>
    </row>
    <row r="281" spans="1:10" ht="25.5" customHeight="1" x14ac:dyDescent="0.25">
      <c r="A281" s="16">
        <v>10428</v>
      </c>
      <c r="B281" s="17" t="s">
        <v>236</v>
      </c>
      <c r="C281" s="17" t="s">
        <v>313</v>
      </c>
      <c r="D281" s="17" t="s">
        <v>453</v>
      </c>
      <c r="E281" s="17" t="s">
        <v>250</v>
      </c>
      <c r="F281" s="17" t="s">
        <v>46</v>
      </c>
      <c r="G281" s="17" t="s">
        <v>315</v>
      </c>
      <c r="H281" s="18">
        <v>620</v>
      </c>
      <c r="I281" s="18">
        <v>196.91</v>
      </c>
      <c r="J281" s="7" t="str">
        <f>IFERROR(_xlfn.XLOOKUP(F281,ccustos!A:A,ccustos!B:B),"Sem termo")</f>
        <v>CCI</v>
      </c>
    </row>
    <row r="282" spans="1:10" ht="25.5" customHeight="1" x14ac:dyDescent="0.25">
      <c r="A282" s="14">
        <v>10430</v>
      </c>
      <c r="B282" s="7" t="s">
        <v>236</v>
      </c>
      <c r="C282" s="7" t="s">
        <v>337</v>
      </c>
      <c r="D282" s="7" t="s">
        <v>454</v>
      </c>
      <c r="E282" s="7" t="s">
        <v>239</v>
      </c>
      <c r="F282" s="7" t="s">
        <v>27</v>
      </c>
      <c r="G282" s="7" t="s">
        <v>289</v>
      </c>
      <c r="H282" s="15">
        <v>227.17</v>
      </c>
      <c r="I282" s="15">
        <v>213.43</v>
      </c>
      <c r="J282" s="7" t="str">
        <f>IFERROR(_xlfn.XLOOKUP(F282,ccustos!A:A,ccustos!B:B),"Sem termo")</f>
        <v>CCI</v>
      </c>
    </row>
    <row r="283" spans="1:10" ht="25.5" customHeight="1" x14ac:dyDescent="0.25">
      <c r="A283" s="16">
        <v>10431</v>
      </c>
      <c r="B283" s="17" t="s">
        <v>236</v>
      </c>
      <c r="C283" s="17" t="s">
        <v>306</v>
      </c>
      <c r="D283" s="17" t="s">
        <v>307</v>
      </c>
      <c r="E283" s="17" t="s">
        <v>239</v>
      </c>
      <c r="F283" s="17" t="s">
        <v>27</v>
      </c>
      <c r="G283" s="17" t="s">
        <v>308</v>
      </c>
      <c r="H283" s="18">
        <v>310.75</v>
      </c>
      <c r="I283" s="18">
        <v>127.1</v>
      </c>
      <c r="J283" s="7" t="str">
        <f>IFERROR(_xlfn.XLOOKUP(F283,ccustos!A:A,ccustos!B:B),"Sem termo")</f>
        <v>CCI</v>
      </c>
    </row>
    <row r="284" spans="1:10" ht="36.75" customHeight="1" x14ac:dyDescent="0.25">
      <c r="A284" s="14">
        <v>10432</v>
      </c>
      <c r="B284" s="7" t="s">
        <v>236</v>
      </c>
      <c r="C284" s="7" t="s">
        <v>306</v>
      </c>
      <c r="D284" s="7" t="s">
        <v>455</v>
      </c>
      <c r="E284" s="7" t="s">
        <v>239</v>
      </c>
      <c r="F284" s="7" t="s">
        <v>27</v>
      </c>
      <c r="G284" s="7" t="s">
        <v>289</v>
      </c>
      <c r="H284" s="15">
        <v>444.97</v>
      </c>
      <c r="I284" s="15">
        <v>127.1</v>
      </c>
      <c r="J284" s="7" t="str">
        <f>IFERROR(_xlfn.XLOOKUP(F284,ccustos!A:A,ccustos!B:B),"Sem termo")</f>
        <v>CCI</v>
      </c>
    </row>
    <row r="285" spans="1:10" ht="36.75" customHeight="1" x14ac:dyDescent="0.25">
      <c r="A285" s="16">
        <v>10434</v>
      </c>
      <c r="B285" s="17" t="s">
        <v>236</v>
      </c>
      <c r="C285" s="17" t="s">
        <v>237</v>
      </c>
      <c r="D285" s="17" t="s">
        <v>456</v>
      </c>
      <c r="E285" s="17" t="s">
        <v>239</v>
      </c>
      <c r="F285" s="17" t="s">
        <v>27</v>
      </c>
      <c r="G285" s="17" t="s">
        <v>343</v>
      </c>
      <c r="H285" s="18">
        <v>222.3</v>
      </c>
      <c r="I285" s="18">
        <v>173.7</v>
      </c>
      <c r="J285" s="7" t="str">
        <f>IFERROR(_xlfn.XLOOKUP(F285,ccustos!A:A,ccustos!B:B),"Sem termo")</f>
        <v>CCI</v>
      </c>
    </row>
    <row r="286" spans="1:10" ht="25.5" customHeight="1" x14ac:dyDescent="0.25">
      <c r="A286" s="14">
        <v>10435</v>
      </c>
      <c r="B286" s="7" t="s">
        <v>236</v>
      </c>
      <c r="C286" s="7" t="s">
        <v>241</v>
      </c>
      <c r="D286" s="7" t="s">
        <v>457</v>
      </c>
      <c r="E286" s="7" t="s">
        <v>239</v>
      </c>
      <c r="F286" s="7" t="s">
        <v>37</v>
      </c>
      <c r="G286" s="7" t="s">
        <v>458</v>
      </c>
      <c r="H286" s="15">
        <v>720</v>
      </c>
      <c r="I286" s="15">
        <v>628.65</v>
      </c>
      <c r="J286" s="7" t="str">
        <f>IFERROR(_xlfn.XLOOKUP(F286,ccustos!A:A,ccustos!B:B),"Sem termo")</f>
        <v>PROJUR</v>
      </c>
    </row>
    <row r="287" spans="1:10" ht="25.5" customHeight="1" x14ac:dyDescent="0.25">
      <c r="A287" s="16">
        <v>10436</v>
      </c>
      <c r="B287" s="17" t="s">
        <v>236</v>
      </c>
      <c r="C287" s="17" t="s">
        <v>313</v>
      </c>
      <c r="D287" s="17" t="s">
        <v>459</v>
      </c>
      <c r="E287" s="17" t="s">
        <v>250</v>
      </c>
      <c r="F287" s="17" t="s">
        <v>27</v>
      </c>
      <c r="G287" s="17" t="s">
        <v>315</v>
      </c>
      <c r="H287" s="18">
        <v>620</v>
      </c>
      <c r="I287" s="18">
        <v>196.91</v>
      </c>
      <c r="J287" s="7" t="str">
        <f>IFERROR(_xlfn.XLOOKUP(F287,ccustos!A:A,ccustos!B:B),"Sem termo")</f>
        <v>CCI</v>
      </c>
    </row>
    <row r="288" spans="1:10" ht="36.75" customHeight="1" x14ac:dyDescent="0.25">
      <c r="A288" s="14">
        <v>10437</v>
      </c>
      <c r="B288" s="7" t="s">
        <v>236</v>
      </c>
      <c r="C288" s="7" t="s">
        <v>237</v>
      </c>
      <c r="D288" s="7" t="s">
        <v>341</v>
      </c>
      <c r="E288" s="7" t="s">
        <v>239</v>
      </c>
      <c r="F288" s="7" t="s">
        <v>0</v>
      </c>
      <c r="G288" s="7" t="s">
        <v>343</v>
      </c>
      <c r="H288" s="15">
        <v>530.16999999999996</v>
      </c>
      <c r="I288" s="15">
        <v>173.7</v>
      </c>
      <c r="J288" s="7" t="str">
        <f>IFERROR(_xlfn.XLOOKUP(F288,ccustos!A:A,ccustos!B:B),"Sem termo")</f>
        <v>SEPAT</v>
      </c>
    </row>
    <row r="289" spans="1:10" ht="36.75" customHeight="1" x14ac:dyDescent="0.25">
      <c r="A289" s="16">
        <v>10438</v>
      </c>
      <c r="B289" s="17" t="s">
        <v>236</v>
      </c>
      <c r="C289" s="17" t="s">
        <v>237</v>
      </c>
      <c r="D289" s="17" t="s">
        <v>302</v>
      </c>
      <c r="E289" s="17" t="s">
        <v>239</v>
      </c>
      <c r="F289" s="17" t="s">
        <v>47</v>
      </c>
      <c r="G289" s="17" t="s">
        <v>343</v>
      </c>
      <c r="H289" s="18">
        <v>292.58</v>
      </c>
      <c r="I289" s="18">
        <v>149.01</v>
      </c>
      <c r="J289" s="7" t="str">
        <f>IFERROR(_xlfn.XLOOKUP(F289,ccustos!A:A,ccustos!B:B),"Sem termo")</f>
        <v>CDPROF</v>
      </c>
    </row>
    <row r="290" spans="1:10" ht="36.75" customHeight="1" x14ac:dyDescent="0.25">
      <c r="A290" s="14">
        <v>10439</v>
      </c>
      <c r="B290" s="7" t="s">
        <v>236</v>
      </c>
      <c r="C290" s="7" t="s">
        <v>237</v>
      </c>
      <c r="D290" s="7" t="s">
        <v>302</v>
      </c>
      <c r="E290" s="7" t="s">
        <v>239</v>
      </c>
      <c r="F290" s="7" t="s">
        <v>47</v>
      </c>
      <c r="G290" s="7" t="s">
        <v>343</v>
      </c>
      <c r="H290" s="15">
        <v>292.58</v>
      </c>
      <c r="I290" s="15">
        <v>149.01</v>
      </c>
      <c r="J290" s="7" t="str">
        <f>IFERROR(_xlfn.XLOOKUP(F290,ccustos!A:A,ccustos!B:B),"Sem termo")</f>
        <v>CDPROF</v>
      </c>
    </row>
    <row r="291" spans="1:10" ht="36.75" customHeight="1" x14ac:dyDescent="0.25">
      <c r="A291" s="16">
        <v>10440</v>
      </c>
      <c r="B291" s="17" t="s">
        <v>236</v>
      </c>
      <c r="C291" s="17" t="s">
        <v>241</v>
      </c>
      <c r="D291" s="17" t="s">
        <v>460</v>
      </c>
      <c r="E291" s="17" t="s">
        <v>239</v>
      </c>
      <c r="F291" s="17" t="s">
        <v>27</v>
      </c>
      <c r="G291" s="17" t="s">
        <v>331</v>
      </c>
      <c r="H291" s="18">
        <v>5357</v>
      </c>
      <c r="I291" s="18">
        <v>740.94</v>
      </c>
      <c r="J291" s="7" t="str">
        <f>IFERROR(_xlfn.XLOOKUP(F291,ccustos!A:A,ccustos!B:B),"Sem termo")</f>
        <v>CCI</v>
      </c>
    </row>
    <row r="292" spans="1:10" ht="36.75" customHeight="1" x14ac:dyDescent="0.25">
      <c r="A292" s="14">
        <v>10442</v>
      </c>
      <c r="B292" s="7" t="s">
        <v>236</v>
      </c>
      <c r="C292" s="7" t="s">
        <v>333</v>
      </c>
      <c r="D292" s="7" t="s">
        <v>461</v>
      </c>
      <c r="E292" s="7" t="s">
        <v>335</v>
      </c>
      <c r="F292" s="7" t="s">
        <v>47</v>
      </c>
      <c r="G292" s="7" t="s">
        <v>366</v>
      </c>
      <c r="H292" s="15">
        <v>618.41999999999996</v>
      </c>
      <c r="I292" s="15">
        <v>40.36</v>
      </c>
      <c r="J292" s="7" t="str">
        <f>IFERROR(_xlfn.XLOOKUP(F292,ccustos!A:A,ccustos!B:B),"Sem termo")</f>
        <v>CDPROF</v>
      </c>
    </row>
    <row r="293" spans="1:10" ht="36.75" customHeight="1" x14ac:dyDescent="0.25">
      <c r="A293" s="16">
        <v>10446</v>
      </c>
      <c r="B293" s="17" t="s">
        <v>236</v>
      </c>
      <c r="C293" s="17" t="s">
        <v>337</v>
      </c>
      <c r="D293" s="17" t="s">
        <v>338</v>
      </c>
      <c r="E293" s="17" t="s">
        <v>239</v>
      </c>
      <c r="F293" s="17" t="s">
        <v>185</v>
      </c>
      <c r="G293" s="17" t="s">
        <v>339</v>
      </c>
      <c r="H293" s="18">
        <v>237</v>
      </c>
      <c r="I293" s="18">
        <v>213.43</v>
      </c>
      <c r="J293" s="7" t="str">
        <f>IFERROR(_xlfn.XLOOKUP(F293,ccustos!A:A,ccustos!B:B),"Sem termo")</f>
        <v>CGGE</v>
      </c>
    </row>
    <row r="294" spans="1:10" ht="36.75" customHeight="1" x14ac:dyDescent="0.25">
      <c r="A294" s="14">
        <v>10447</v>
      </c>
      <c r="B294" s="7" t="s">
        <v>236</v>
      </c>
      <c r="C294" s="7" t="s">
        <v>306</v>
      </c>
      <c r="D294" s="7" t="s">
        <v>462</v>
      </c>
      <c r="E294" s="7" t="s">
        <v>239</v>
      </c>
      <c r="F294" s="7" t="s">
        <v>27</v>
      </c>
      <c r="G294" s="7" t="s">
        <v>463</v>
      </c>
      <c r="H294" s="15">
        <v>322.56</v>
      </c>
      <c r="I294" s="15">
        <v>127.1</v>
      </c>
      <c r="J294" s="7" t="str">
        <f>IFERROR(_xlfn.XLOOKUP(F294,ccustos!A:A,ccustos!B:B),"Sem termo")</f>
        <v>CCI</v>
      </c>
    </row>
    <row r="295" spans="1:10" ht="36.75" customHeight="1" x14ac:dyDescent="0.25">
      <c r="A295" s="16">
        <v>10448</v>
      </c>
      <c r="B295" s="17" t="s">
        <v>236</v>
      </c>
      <c r="C295" s="17" t="s">
        <v>237</v>
      </c>
      <c r="D295" s="17" t="s">
        <v>279</v>
      </c>
      <c r="E295" s="17" t="s">
        <v>239</v>
      </c>
      <c r="F295" s="17" t="s">
        <v>0</v>
      </c>
      <c r="G295" s="17" t="s">
        <v>343</v>
      </c>
      <c r="H295" s="18">
        <v>530.16999999999996</v>
      </c>
      <c r="I295" s="18">
        <v>173.7</v>
      </c>
      <c r="J295" s="7" t="str">
        <f>IFERROR(_xlfn.XLOOKUP(F295,ccustos!A:A,ccustos!B:B),"Sem termo")</f>
        <v>SEPAT</v>
      </c>
    </row>
    <row r="296" spans="1:10" ht="36.75" customHeight="1" x14ac:dyDescent="0.25">
      <c r="A296" s="14">
        <v>10451</v>
      </c>
      <c r="B296" s="7" t="s">
        <v>236</v>
      </c>
      <c r="C296" s="7" t="s">
        <v>237</v>
      </c>
      <c r="D296" s="7" t="s">
        <v>464</v>
      </c>
      <c r="E296" s="7" t="s">
        <v>239</v>
      </c>
      <c r="F296" s="7" t="s">
        <v>0</v>
      </c>
      <c r="G296" s="7" t="s">
        <v>343</v>
      </c>
      <c r="H296" s="15">
        <v>530.16999999999996</v>
      </c>
      <c r="I296" s="15">
        <v>377.31</v>
      </c>
      <c r="J296" s="7" t="str">
        <f>IFERROR(_xlfn.XLOOKUP(F296,ccustos!A:A,ccustos!B:B),"Sem termo")</f>
        <v>SEPAT</v>
      </c>
    </row>
    <row r="297" spans="1:10" ht="25.5" customHeight="1" x14ac:dyDescent="0.25">
      <c r="A297" s="16">
        <v>10452</v>
      </c>
      <c r="B297" s="17" t="s">
        <v>236</v>
      </c>
      <c r="C297" s="17" t="s">
        <v>337</v>
      </c>
      <c r="D297" s="17" t="s">
        <v>338</v>
      </c>
      <c r="E297" s="17" t="s">
        <v>239</v>
      </c>
      <c r="F297" s="17" t="s">
        <v>27</v>
      </c>
      <c r="G297" s="17" t="s">
        <v>339</v>
      </c>
      <c r="H297" s="18">
        <v>237</v>
      </c>
      <c r="I297" s="18">
        <v>213.43</v>
      </c>
      <c r="J297" s="7" t="str">
        <f>IFERROR(_xlfn.XLOOKUP(F297,ccustos!A:A,ccustos!B:B),"Sem termo")</f>
        <v>CCI</v>
      </c>
    </row>
    <row r="298" spans="1:10" ht="25.5" customHeight="1" x14ac:dyDescent="0.25">
      <c r="A298" s="14">
        <v>10455</v>
      </c>
      <c r="B298" s="7" t="s">
        <v>236</v>
      </c>
      <c r="C298" s="7" t="s">
        <v>333</v>
      </c>
      <c r="D298" s="7" t="s">
        <v>465</v>
      </c>
      <c r="E298" s="7" t="s">
        <v>335</v>
      </c>
      <c r="F298" s="7" t="s">
        <v>20</v>
      </c>
      <c r="G298" s="7" t="s">
        <v>348</v>
      </c>
      <c r="H298" s="15">
        <v>618.41999999999996</v>
      </c>
      <c r="I298" s="15">
        <v>49.32</v>
      </c>
      <c r="J298" s="7" t="str">
        <f>IFERROR(_xlfn.XLOOKUP(F298,ccustos!A:A,ccustos!B:B),"Sem termo")</f>
        <v>CGTI</v>
      </c>
    </row>
    <row r="299" spans="1:10" ht="25.5" customHeight="1" x14ac:dyDescent="0.25">
      <c r="A299" s="16">
        <v>10456</v>
      </c>
      <c r="B299" s="17" t="s">
        <v>236</v>
      </c>
      <c r="C299" s="17" t="s">
        <v>237</v>
      </c>
      <c r="D299" s="17" t="s">
        <v>456</v>
      </c>
      <c r="E299" s="17" t="s">
        <v>239</v>
      </c>
      <c r="F299" s="17" t="s">
        <v>83</v>
      </c>
      <c r="G299" s="17" t="s">
        <v>280</v>
      </c>
      <c r="H299" s="18">
        <v>236.15</v>
      </c>
      <c r="I299" s="18">
        <v>173.7</v>
      </c>
      <c r="J299" s="7" t="str">
        <f>IFERROR(_xlfn.XLOOKUP(F299,ccustos!A:A,ccustos!B:B),"Sem termo")</f>
        <v>GABIN</v>
      </c>
    </row>
    <row r="300" spans="1:10" ht="25.5" customHeight="1" x14ac:dyDescent="0.25">
      <c r="A300" s="14">
        <v>10457</v>
      </c>
      <c r="B300" s="7" t="s">
        <v>236</v>
      </c>
      <c r="C300" s="7" t="s">
        <v>306</v>
      </c>
      <c r="D300" s="7" t="s">
        <v>307</v>
      </c>
      <c r="E300" s="7" t="s">
        <v>239</v>
      </c>
      <c r="F300" s="7" t="s">
        <v>27</v>
      </c>
      <c r="G300" s="7" t="s">
        <v>289</v>
      </c>
      <c r="H300" s="15">
        <v>287.67</v>
      </c>
      <c r="I300" s="15">
        <v>127.1</v>
      </c>
      <c r="J300" s="7" t="str">
        <f>IFERROR(_xlfn.XLOOKUP(F300,ccustos!A:A,ccustos!B:B),"Sem termo")</f>
        <v>CCI</v>
      </c>
    </row>
    <row r="301" spans="1:10" ht="25.5" customHeight="1" x14ac:dyDescent="0.25">
      <c r="A301" s="16">
        <v>10459</v>
      </c>
      <c r="B301" s="17" t="s">
        <v>236</v>
      </c>
      <c r="C301" s="17" t="s">
        <v>306</v>
      </c>
      <c r="D301" s="17" t="s">
        <v>307</v>
      </c>
      <c r="E301" s="17" t="s">
        <v>239</v>
      </c>
      <c r="F301" s="17" t="s">
        <v>27</v>
      </c>
      <c r="G301" s="17" t="s">
        <v>308</v>
      </c>
      <c r="H301" s="18">
        <v>310.75</v>
      </c>
      <c r="I301" s="18">
        <v>127.1</v>
      </c>
      <c r="J301" s="7" t="str">
        <f>IFERROR(_xlfn.XLOOKUP(F301,ccustos!A:A,ccustos!B:B),"Sem termo")</f>
        <v>CCI</v>
      </c>
    </row>
    <row r="302" spans="1:10" ht="36.75" customHeight="1" x14ac:dyDescent="0.25">
      <c r="A302" s="14">
        <v>10460</v>
      </c>
      <c r="B302" s="7" t="s">
        <v>236</v>
      </c>
      <c r="C302" s="7" t="s">
        <v>337</v>
      </c>
      <c r="D302" s="7" t="s">
        <v>338</v>
      </c>
      <c r="E302" s="7" t="s">
        <v>239</v>
      </c>
      <c r="F302" s="7" t="s">
        <v>48</v>
      </c>
      <c r="G302" s="7" t="s">
        <v>339</v>
      </c>
      <c r="H302" s="15">
        <v>237</v>
      </c>
      <c r="I302" s="15">
        <v>213.43</v>
      </c>
      <c r="J302" s="7" t="str">
        <f>IFERROR(_xlfn.XLOOKUP(F302,ccustos!A:A,ccustos!B:B),"Sem termo")</f>
        <v>DEPES</v>
      </c>
    </row>
    <row r="303" spans="1:10" ht="25.5" customHeight="1" x14ac:dyDescent="0.25">
      <c r="A303" s="16">
        <v>10461</v>
      </c>
      <c r="B303" s="17" t="s">
        <v>236</v>
      </c>
      <c r="C303" s="17" t="s">
        <v>337</v>
      </c>
      <c r="D303" s="17" t="s">
        <v>346</v>
      </c>
      <c r="E303" s="17" t="s">
        <v>239</v>
      </c>
      <c r="F303" s="17" t="s">
        <v>27</v>
      </c>
      <c r="G303" s="17" t="s">
        <v>331</v>
      </c>
      <c r="H303" s="18">
        <v>298</v>
      </c>
      <c r="I303" s="18">
        <v>213.43</v>
      </c>
      <c r="J303" s="7" t="str">
        <f>IFERROR(_xlfn.XLOOKUP(F303,ccustos!A:A,ccustos!B:B),"Sem termo")</f>
        <v>CCI</v>
      </c>
    </row>
    <row r="304" spans="1:10" ht="25.5" customHeight="1" x14ac:dyDescent="0.25">
      <c r="A304" s="14">
        <v>10462</v>
      </c>
      <c r="B304" s="7" t="s">
        <v>236</v>
      </c>
      <c r="C304" s="7" t="s">
        <v>237</v>
      </c>
      <c r="D304" s="7" t="s">
        <v>279</v>
      </c>
      <c r="E304" s="7" t="s">
        <v>239</v>
      </c>
      <c r="F304" s="7" t="s">
        <v>0</v>
      </c>
      <c r="G304" s="7" t="s">
        <v>280</v>
      </c>
      <c r="H304" s="15">
        <v>565.47</v>
      </c>
      <c r="I304" s="15">
        <v>173.7</v>
      </c>
      <c r="J304" s="7" t="str">
        <f>IFERROR(_xlfn.XLOOKUP(F304,ccustos!A:A,ccustos!B:B),"Sem termo")</f>
        <v>SEPAT</v>
      </c>
    </row>
    <row r="305" spans="1:10" ht="25.5" customHeight="1" x14ac:dyDescent="0.25">
      <c r="A305" s="16">
        <v>10463</v>
      </c>
      <c r="B305" s="17" t="s">
        <v>236</v>
      </c>
      <c r="C305" s="17" t="s">
        <v>337</v>
      </c>
      <c r="D305" s="17" t="s">
        <v>466</v>
      </c>
      <c r="E305" s="17" t="s">
        <v>239</v>
      </c>
      <c r="F305" s="17" t="s">
        <v>27</v>
      </c>
      <c r="G305" s="17" t="s">
        <v>350</v>
      </c>
      <c r="H305" s="18">
        <v>227.27</v>
      </c>
      <c r="I305" s="18">
        <v>498</v>
      </c>
      <c r="J305" s="7" t="str">
        <f>IFERROR(_xlfn.XLOOKUP(F305,ccustos!A:A,ccustos!B:B),"Sem termo")</f>
        <v>CCI</v>
      </c>
    </row>
    <row r="306" spans="1:10" ht="36.75" customHeight="1" x14ac:dyDescent="0.25">
      <c r="A306" s="14">
        <v>10467</v>
      </c>
      <c r="B306" s="7" t="s">
        <v>236</v>
      </c>
      <c r="C306" s="7" t="s">
        <v>337</v>
      </c>
      <c r="D306" s="7" t="s">
        <v>467</v>
      </c>
      <c r="E306" s="7" t="s">
        <v>239</v>
      </c>
      <c r="F306" s="7" t="s">
        <v>185</v>
      </c>
      <c r="G306" s="7" t="s">
        <v>350</v>
      </c>
      <c r="H306" s="15">
        <v>227.27</v>
      </c>
      <c r="I306" s="15">
        <v>498</v>
      </c>
      <c r="J306" s="7" t="str">
        <f>IFERROR(_xlfn.XLOOKUP(F306,ccustos!A:A,ccustos!B:B),"Sem termo")</f>
        <v>CGGE</v>
      </c>
    </row>
    <row r="307" spans="1:10" ht="25.5" customHeight="1" x14ac:dyDescent="0.25">
      <c r="A307" s="16">
        <v>10468</v>
      </c>
      <c r="B307" s="17" t="s">
        <v>236</v>
      </c>
      <c r="C307" s="17" t="s">
        <v>241</v>
      </c>
      <c r="D307" s="17" t="s">
        <v>460</v>
      </c>
      <c r="E307" s="17" t="s">
        <v>239</v>
      </c>
      <c r="F307" s="17" t="s">
        <v>27</v>
      </c>
      <c r="G307" s="17" t="s">
        <v>331</v>
      </c>
      <c r="H307" s="18">
        <v>5357</v>
      </c>
      <c r="I307" s="18">
        <v>740.94</v>
      </c>
      <c r="J307" s="7" t="str">
        <f>IFERROR(_xlfn.XLOOKUP(F307,ccustos!A:A,ccustos!B:B),"Sem termo")</f>
        <v>CCI</v>
      </c>
    </row>
    <row r="308" spans="1:10" ht="25.5" customHeight="1" x14ac:dyDescent="0.25">
      <c r="A308" s="14">
        <v>10469</v>
      </c>
      <c r="B308" s="7" t="s">
        <v>236</v>
      </c>
      <c r="C308" s="7" t="s">
        <v>237</v>
      </c>
      <c r="D308" s="7" t="s">
        <v>468</v>
      </c>
      <c r="E308" s="7" t="s">
        <v>239</v>
      </c>
      <c r="F308" s="7" t="s">
        <v>22</v>
      </c>
      <c r="G308" s="7" t="s">
        <v>343</v>
      </c>
      <c r="H308" s="15">
        <v>530.16999999999996</v>
      </c>
      <c r="I308" s="15">
        <v>173.7</v>
      </c>
      <c r="J308" s="7" t="str">
        <f>IFERROR(_xlfn.XLOOKUP(F308,ccustos!A:A,ccustos!B:B),"Sem termo")</f>
        <v>COTEC</v>
      </c>
    </row>
    <row r="309" spans="1:10" ht="25.5" customHeight="1" x14ac:dyDescent="0.25">
      <c r="A309" s="16">
        <v>10470</v>
      </c>
      <c r="B309" s="17" t="s">
        <v>236</v>
      </c>
      <c r="C309" s="17" t="s">
        <v>237</v>
      </c>
      <c r="D309" s="17" t="s">
        <v>456</v>
      </c>
      <c r="E309" s="17" t="s">
        <v>239</v>
      </c>
      <c r="F309" s="17" t="s">
        <v>27</v>
      </c>
      <c r="G309" s="17" t="s">
        <v>280</v>
      </c>
      <c r="H309" s="18">
        <v>236.15</v>
      </c>
      <c r="I309" s="18">
        <v>173.7</v>
      </c>
      <c r="J309" s="7" t="str">
        <f>IFERROR(_xlfn.XLOOKUP(F309,ccustos!A:A,ccustos!B:B),"Sem termo")</f>
        <v>CCI</v>
      </c>
    </row>
    <row r="310" spans="1:10" ht="25.5" customHeight="1" x14ac:dyDescent="0.25">
      <c r="A310" s="14">
        <v>10471</v>
      </c>
      <c r="B310" s="7" t="s">
        <v>236</v>
      </c>
      <c r="C310" s="7" t="s">
        <v>306</v>
      </c>
      <c r="D310" s="7" t="s">
        <v>307</v>
      </c>
      <c r="E310" s="7" t="s">
        <v>239</v>
      </c>
      <c r="F310" s="7" t="s">
        <v>27</v>
      </c>
      <c r="G310" s="7" t="s">
        <v>308</v>
      </c>
      <c r="H310" s="15">
        <v>310.75</v>
      </c>
      <c r="I310" s="15">
        <v>127.1</v>
      </c>
      <c r="J310" s="7" t="str">
        <f>IFERROR(_xlfn.XLOOKUP(F310,ccustos!A:A,ccustos!B:B),"Sem termo")</f>
        <v>CCI</v>
      </c>
    </row>
    <row r="311" spans="1:10" ht="25.5" customHeight="1" x14ac:dyDescent="0.25">
      <c r="A311" s="16">
        <v>10472</v>
      </c>
      <c r="B311" s="17" t="s">
        <v>236</v>
      </c>
      <c r="C311" s="17" t="s">
        <v>306</v>
      </c>
      <c r="D311" s="17" t="s">
        <v>307</v>
      </c>
      <c r="E311" s="17" t="s">
        <v>239</v>
      </c>
      <c r="F311" s="17" t="s">
        <v>27</v>
      </c>
      <c r="G311" s="17" t="s">
        <v>308</v>
      </c>
      <c r="H311" s="18">
        <v>310.75</v>
      </c>
      <c r="I311" s="18">
        <v>127.1</v>
      </c>
      <c r="J311" s="7" t="str">
        <f>IFERROR(_xlfn.XLOOKUP(F311,ccustos!A:A,ccustos!B:B),"Sem termo")</f>
        <v>CCI</v>
      </c>
    </row>
    <row r="312" spans="1:10" ht="36.75" customHeight="1" x14ac:dyDescent="0.25">
      <c r="A312" s="14">
        <v>10473</v>
      </c>
      <c r="B312" s="7" t="s">
        <v>236</v>
      </c>
      <c r="C312" s="7" t="s">
        <v>306</v>
      </c>
      <c r="D312" s="7" t="s">
        <v>307</v>
      </c>
      <c r="E312" s="7" t="s">
        <v>239</v>
      </c>
      <c r="F312" s="7" t="s">
        <v>27</v>
      </c>
      <c r="G312" s="7" t="s">
        <v>308</v>
      </c>
      <c r="H312" s="15">
        <v>310.75</v>
      </c>
      <c r="I312" s="15">
        <v>127.1</v>
      </c>
      <c r="J312" s="7" t="str">
        <f>IFERROR(_xlfn.XLOOKUP(F312,ccustos!A:A,ccustos!B:B),"Sem termo")</f>
        <v>CCI</v>
      </c>
    </row>
    <row r="313" spans="1:10" ht="36.75" customHeight="1" x14ac:dyDescent="0.25">
      <c r="A313" s="16">
        <v>10474</v>
      </c>
      <c r="B313" s="17" t="s">
        <v>236</v>
      </c>
      <c r="C313" s="17" t="s">
        <v>306</v>
      </c>
      <c r="D313" s="17" t="s">
        <v>369</v>
      </c>
      <c r="E313" s="17" t="s">
        <v>239</v>
      </c>
      <c r="F313" s="17" t="s">
        <v>27</v>
      </c>
      <c r="G313" s="17" t="s">
        <v>289</v>
      </c>
      <c r="H313" s="18">
        <v>879.52</v>
      </c>
      <c r="I313" s="18">
        <v>154.72999999999999</v>
      </c>
      <c r="J313" s="7" t="str">
        <f>IFERROR(_xlfn.XLOOKUP(F313,ccustos!A:A,ccustos!B:B),"Sem termo")</f>
        <v>CCI</v>
      </c>
    </row>
    <row r="314" spans="1:10" ht="25.5" customHeight="1" x14ac:dyDescent="0.25">
      <c r="A314" s="14">
        <v>10475</v>
      </c>
      <c r="B314" s="7" t="s">
        <v>236</v>
      </c>
      <c r="C314" s="7" t="s">
        <v>306</v>
      </c>
      <c r="D314" s="7" t="s">
        <v>369</v>
      </c>
      <c r="E314" s="7" t="s">
        <v>239</v>
      </c>
      <c r="F314" s="7" t="s">
        <v>27</v>
      </c>
      <c r="G314" s="7" t="s">
        <v>308</v>
      </c>
      <c r="H314" s="15">
        <v>447.96</v>
      </c>
      <c r="I314" s="15">
        <v>154.72999999999999</v>
      </c>
      <c r="J314" s="7" t="str">
        <f>IFERROR(_xlfn.XLOOKUP(F314,ccustos!A:A,ccustos!B:B),"Sem termo")</f>
        <v>CCI</v>
      </c>
    </row>
    <row r="315" spans="1:10" ht="36.75" customHeight="1" x14ac:dyDescent="0.25">
      <c r="A315" s="16">
        <v>10476</v>
      </c>
      <c r="B315" s="17" t="s">
        <v>236</v>
      </c>
      <c r="C315" s="17" t="s">
        <v>306</v>
      </c>
      <c r="D315" s="17" t="s">
        <v>369</v>
      </c>
      <c r="E315" s="17" t="s">
        <v>239</v>
      </c>
      <c r="F315" s="17" t="s">
        <v>27</v>
      </c>
      <c r="G315" s="17" t="s">
        <v>308</v>
      </c>
      <c r="H315" s="18">
        <v>447.96</v>
      </c>
      <c r="I315" s="18">
        <v>154.72999999999999</v>
      </c>
      <c r="J315" s="7" t="str">
        <f>IFERROR(_xlfn.XLOOKUP(F315,ccustos!A:A,ccustos!B:B),"Sem termo")</f>
        <v>CCI</v>
      </c>
    </row>
    <row r="316" spans="1:10" ht="36.75" customHeight="1" x14ac:dyDescent="0.25">
      <c r="A316" s="14">
        <v>10477</v>
      </c>
      <c r="B316" s="7" t="s">
        <v>236</v>
      </c>
      <c r="C316" s="7" t="s">
        <v>269</v>
      </c>
      <c r="D316" s="7" t="s">
        <v>469</v>
      </c>
      <c r="E316" s="7" t="s">
        <v>239</v>
      </c>
      <c r="F316" s="7" t="s">
        <v>27</v>
      </c>
      <c r="G316" s="7" t="s">
        <v>470</v>
      </c>
      <c r="H316" s="15">
        <v>420</v>
      </c>
      <c r="I316" s="15">
        <v>178.81</v>
      </c>
      <c r="J316" s="7" t="str">
        <f>IFERROR(_xlfn.XLOOKUP(F316,ccustos!A:A,ccustos!B:B),"Sem termo")</f>
        <v>CCI</v>
      </c>
    </row>
    <row r="317" spans="1:10" ht="36.75" customHeight="1" x14ac:dyDescent="0.25">
      <c r="A317" s="16">
        <v>10478</v>
      </c>
      <c r="B317" s="17" t="s">
        <v>236</v>
      </c>
      <c r="C317" s="17" t="s">
        <v>471</v>
      </c>
      <c r="D317" s="17" t="s">
        <v>472</v>
      </c>
      <c r="E317" s="17" t="s">
        <v>335</v>
      </c>
      <c r="F317" s="17" t="s">
        <v>6</v>
      </c>
      <c r="G317" s="17" t="s">
        <v>473</v>
      </c>
      <c r="H317" s="18">
        <v>1650</v>
      </c>
      <c r="I317" s="18">
        <v>314.42</v>
      </c>
      <c r="J317" s="7" t="str">
        <f>IFERROR(_xlfn.XLOOKUP(F317,ccustos!A:A,ccustos!B:B),"Sem termo")</f>
        <v>SEPAT</v>
      </c>
    </row>
    <row r="318" spans="1:10" ht="25.5" customHeight="1" x14ac:dyDescent="0.25">
      <c r="A318" s="14">
        <v>10482</v>
      </c>
      <c r="B318" s="7" t="s">
        <v>236</v>
      </c>
      <c r="C318" s="7" t="s">
        <v>337</v>
      </c>
      <c r="D318" s="7" t="s">
        <v>346</v>
      </c>
      <c r="E318" s="7" t="s">
        <v>239</v>
      </c>
      <c r="F318" s="7" t="s">
        <v>28</v>
      </c>
      <c r="G318" s="7" t="s">
        <v>331</v>
      </c>
      <c r="H318" s="15">
        <v>298</v>
      </c>
      <c r="I318" s="15">
        <v>213.43</v>
      </c>
      <c r="J318" s="7" t="str">
        <f>IFERROR(_xlfn.XLOOKUP(F318,ccustos!A:A,ccustos!B:B),"Sem termo")</f>
        <v>COPI</v>
      </c>
    </row>
    <row r="319" spans="1:10" ht="25.5" customHeight="1" x14ac:dyDescent="0.25">
      <c r="A319" s="16">
        <v>10484</v>
      </c>
      <c r="B319" s="17" t="s">
        <v>236</v>
      </c>
      <c r="C319" s="17" t="s">
        <v>241</v>
      </c>
      <c r="D319" s="17" t="s">
        <v>354</v>
      </c>
      <c r="E319" s="17" t="s">
        <v>239</v>
      </c>
      <c r="F319" s="17" t="s">
        <v>303</v>
      </c>
      <c r="G319" s="17" t="s">
        <v>339</v>
      </c>
      <c r="H319" s="18">
        <v>238</v>
      </c>
      <c r="I319" s="18">
        <v>141.34</v>
      </c>
      <c r="J319" s="7" t="str">
        <f>IFERROR(_xlfn.XLOOKUP(F319,ccustos!A:A,ccustos!B:B),"Sem termo")</f>
        <v>Sem termo</v>
      </c>
    </row>
    <row r="320" spans="1:10" ht="25.5" customHeight="1" x14ac:dyDescent="0.25">
      <c r="A320" s="14">
        <v>10485</v>
      </c>
      <c r="B320" s="7" t="s">
        <v>236</v>
      </c>
      <c r="C320" s="7" t="s">
        <v>474</v>
      </c>
      <c r="D320" s="7" t="s">
        <v>475</v>
      </c>
      <c r="E320" s="7" t="s">
        <v>250</v>
      </c>
      <c r="F320" s="7" t="s">
        <v>27</v>
      </c>
      <c r="G320" s="7" t="s">
        <v>476</v>
      </c>
      <c r="H320" s="15">
        <v>2980</v>
      </c>
      <c r="I320" s="15">
        <v>361.48</v>
      </c>
      <c r="J320" s="7" t="str">
        <f>IFERROR(_xlfn.XLOOKUP(F320,ccustos!A:A,ccustos!B:B),"Sem termo")</f>
        <v>CCI</v>
      </c>
    </row>
    <row r="321" spans="1:10" ht="25.5" customHeight="1" x14ac:dyDescent="0.25">
      <c r="A321" s="16">
        <v>10486</v>
      </c>
      <c r="B321" s="17" t="s">
        <v>236</v>
      </c>
      <c r="C321" s="17" t="s">
        <v>474</v>
      </c>
      <c r="D321" s="17" t="s">
        <v>477</v>
      </c>
      <c r="E321" s="17" t="s">
        <v>250</v>
      </c>
      <c r="F321" s="17" t="s">
        <v>185</v>
      </c>
      <c r="G321" s="17" t="s">
        <v>478</v>
      </c>
      <c r="H321" s="18">
        <v>310</v>
      </c>
      <c r="I321" s="18">
        <v>155.31</v>
      </c>
      <c r="J321" s="7" t="str">
        <f>IFERROR(_xlfn.XLOOKUP(F321,ccustos!A:A,ccustos!B:B),"Sem termo")</f>
        <v>CGGE</v>
      </c>
    </row>
    <row r="322" spans="1:10" ht="25.5" customHeight="1" x14ac:dyDescent="0.25">
      <c r="A322" s="14">
        <v>10488</v>
      </c>
      <c r="B322" s="7" t="s">
        <v>236</v>
      </c>
      <c r="C322" s="7" t="s">
        <v>237</v>
      </c>
      <c r="D322" s="7" t="s">
        <v>479</v>
      </c>
      <c r="E322" s="7" t="s">
        <v>239</v>
      </c>
      <c r="F322" s="7" t="s">
        <v>14</v>
      </c>
      <c r="G322" s="7" t="s">
        <v>278</v>
      </c>
      <c r="H322" s="15">
        <v>201.3</v>
      </c>
      <c r="I322" s="15">
        <v>173.7</v>
      </c>
      <c r="J322" s="7" t="str">
        <f>IFERROR(_xlfn.XLOOKUP(F322,ccustos!A:A,ccustos!B:B),"Sem termo")</f>
        <v>SEPAT</v>
      </c>
    </row>
    <row r="323" spans="1:10" ht="14.25" customHeight="1" x14ac:dyDescent="0.25">
      <c r="A323" s="16">
        <v>10489</v>
      </c>
      <c r="B323" s="17" t="s">
        <v>236</v>
      </c>
      <c r="C323" s="17" t="s">
        <v>241</v>
      </c>
      <c r="D323" s="17" t="s">
        <v>480</v>
      </c>
      <c r="E323" s="17" t="s">
        <v>239</v>
      </c>
      <c r="F323" s="17" t="s">
        <v>22</v>
      </c>
      <c r="G323" s="17" t="s">
        <v>331</v>
      </c>
      <c r="H323" s="18">
        <v>5357</v>
      </c>
      <c r="I323" s="18">
        <v>740.94</v>
      </c>
      <c r="J323" s="7" t="str">
        <f>IFERROR(_xlfn.XLOOKUP(F323,ccustos!A:A,ccustos!B:B),"Sem termo")</f>
        <v>COTEC</v>
      </c>
    </row>
    <row r="324" spans="1:10" ht="25.5" customHeight="1" x14ac:dyDescent="0.25">
      <c r="A324" s="14">
        <v>10491</v>
      </c>
      <c r="B324" s="7" t="s">
        <v>236</v>
      </c>
      <c r="C324" s="7" t="s">
        <v>237</v>
      </c>
      <c r="D324" s="7" t="s">
        <v>456</v>
      </c>
      <c r="E324" s="7" t="s">
        <v>239</v>
      </c>
      <c r="F324" s="7" t="s">
        <v>205</v>
      </c>
      <c r="G324" s="7" t="s">
        <v>280</v>
      </c>
      <c r="H324" s="15">
        <v>565.46</v>
      </c>
      <c r="I324" s="15">
        <v>173.7</v>
      </c>
      <c r="J324" s="7" t="str">
        <f>IFERROR(_xlfn.XLOOKUP(F324,ccustos!A:A,ccustos!B:B),"Sem termo")</f>
        <v>CCOM</v>
      </c>
    </row>
    <row r="325" spans="1:10" ht="36.75" customHeight="1" x14ac:dyDescent="0.25">
      <c r="A325" s="16">
        <v>10492</v>
      </c>
      <c r="B325" s="17" t="s">
        <v>236</v>
      </c>
      <c r="C325" s="17" t="s">
        <v>237</v>
      </c>
      <c r="D325" s="17" t="s">
        <v>456</v>
      </c>
      <c r="E325" s="17" t="s">
        <v>239</v>
      </c>
      <c r="F325" s="17" t="s">
        <v>27</v>
      </c>
      <c r="G325" s="17" t="s">
        <v>343</v>
      </c>
      <c r="H325" s="18">
        <v>222.3</v>
      </c>
      <c r="I325" s="18">
        <v>173.7</v>
      </c>
      <c r="J325" s="7" t="str">
        <f>IFERROR(_xlfn.XLOOKUP(F325,ccustos!A:A,ccustos!B:B),"Sem termo")</f>
        <v>CCI</v>
      </c>
    </row>
    <row r="326" spans="1:10" ht="36.75" customHeight="1" x14ac:dyDescent="0.25">
      <c r="A326" s="14">
        <v>10493</v>
      </c>
      <c r="B326" s="7" t="s">
        <v>236</v>
      </c>
      <c r="C326" s="7" t="s">
        <v>241</v>
      </c>
      <c r="D326" s="7" t="s">
        <v>481</v>
      </c>
      <c r="E326" s="7" t="s">
        <v>239</v>
      </c>
      <c r="F326" s="7" t="s">
        <v>20</v>
      </c>
      <c r="G326" s="7" t="s">
        <v>339</v>
      </c>
      <c r="H326" s="15">
        <v>238</v>
      </c>
      <c r="I326" s="15">
        <v>141.57</v>
      </c>
      <c r="J326" s="7" t="str">
        <f>IFERROR(_xlfn.XLOOKUP(F326,ccustos!A:A,ccustos!B:B),"Sem termo")</f>
        <v>CGTI</v>
      </c>
    </row>
    <row r="327" spans="1:10" ht="36.75" customHeight="1" x14ac:dyDescent="0.25">
      <c r="A327" s="16">
        <v>10495</v>
      </c>
      <c r="B327" s="17" t="s">
        <v>236</v>
      </c>
      <c r="C327" s="17" t="s">
        <v>241</v>
      </c>
      <c r="D327" s="17" t="s">
        <v>354</v>
      </c>
      <c r="E327" s="17" t="s">
        <v>239</v>
      </c>
      <c r="F327" s="17" t="s">
        <v>19</v>
      </c>
      <c r="G327" s="17" t="s">
        <v>339</v>
      </c>
      <c r="H327" s="18">
        <v>238</v>
      </c>
      <c r="I327" s="18">
        <v>141.34</v>
      </c>
      <c r="J327" s="7" t="str">
        <f>IFERROR(_xlfn.XLOOKUP(F327,ccustos!A:A,ccustos!B:B),"Sem termo")</f>
        <v>SEGED</v>
      </c>
    </row>
    <row r="328" spans="1:10" ht="36.75" customHeight="1" x14ac:dyDescent="0.25">
      <c r="A328" s="14">
        <v>10496</v>
      </c>
      <c r="B328" s="7" t="s">
        <v>236</v>
      </c>
      <c r="C328" s="7" t="s">
        <v>241</v>
      </c>
      <c r="D328" s="7" t="s">
        <v>354</v>
      </c>
      <c r="E328" s="7" t="s">
        <v>239</v>
      </c>
      <c r="F328" s="7" t="s">
        <v>186</v>
      </c>
      <c r="G328" s="7" t="s">
        <v>345</v>
      </c>
      <c r="H328" s="15">
        <v>763.97</v>
      </c>
      <c r="I328" s="15">
        <v>141.34</v>
      </c>
      <c r="J328" s="7" t="str">
        <f>IFERROR(_xlfn.XLOOKUP(F328,ccustos!A:A,ccustos!B:B),"Sem termo")</f>
        <v>CGGE</v>
      </c>
    </row>
    <row r="329" spans="1:10" ht="25.5" customHeight="1" x14ac:dyDescent="0.25">
      <c r="A329" s="16">
        <v>10497</v>
      </c>
      <c r="B329" s="17" t="s">
        <v>236</v>
      </c>
      <c r="C329" s="17" t="s">
        <v>241</v>
      </c>
      <c r="D329" s="17" t="s">
        <v>482</v>
      </c>
      <c r="E329" s="17" t="s">
        <v>239</v>
      </c>
      <c r="F329" s="17" t="s">
        <v>211</v>
      </c>
      <c r="G329" s="17" t="s">
        <v>324</v>
      </c>
      <c r="H329" s="18">
        <v>1267.6099999999999</v>
      </c>
      <c r="I329" s="18">
        <v>563.63</v>
      </c>
      <c r="J329" s="7" t="str">
        <f>IFERROR(_xlfn.XLOOKUP(F329,ccustos!A:A,ccustos!B:B),"Sem termo")</f>
        <v>DIGEO</v>
      </c>
    </row>
    <row r="330" spans="1:10" ht="25.5" customHeight="1" x14ac:dyDescent="0.25">
      <c r="A330" s="14">
        <v>10498</v>
      </c>
      <c r="B330" s="7" t="s">
        <v>236</v>
      </c>
      <c r="C330" s="7" t="s">
        <v>237</v>
      </c>
      <c r="D330" s="7" t="s">
        <v>358</v>
      </c>
      <c r="E330" s="7" t="s">
        <v>239</v>
      </c>
      <c r="F330" s="7" t="s">
        <v>0</v>
      </c>
      <c r="G330" s="7" t="s">
        <v>311</v>
      </c>
      <c r="H330" s="15">
        <v>1021.01</v>
      </c>
      <c r="I330" s="15">
        <v>397.35</v>
      </c>
      <c r="J330" s="7" t="str">
        <f>IFERROR(_xlfn.XLOOKUP(F330,ccustos!A:A,ccustos!B:B),"Sem termo")</f>
        <v>SEPAT</v>
      </c>
    </row>
    <row r="331" spans="1:10" ht="36.75" customHeight="1" x14ac:dyDescent="0.25">
      <c r="A331" s="16">
        <v>10499</v>
      </c>
      <c r="B331" s="17" t="s">
        <v>236</v>
      </c>
      <c r="C331" s="17" t="s">
        <v>237</v>
      </c>
      <c r="D331" s="17" t="s">
        <v>483</v>
      </c>
      <c r="E331" s="17" t="s">
        <v>239</v>
      </c>
      <c r="F331" s="17" t="s">
        <v>0</v>
      </c>
      <c r="G331" s="17" t="s">
        <v>311</v>
      </c>
      <c r="H331" s="18">
        <v>1021.01</v>
      </c>
      <c r="I331" s="18">
        <v>397.35</v>
      </c>
      <c r="J331" s="7" t="str">
        <f>IFERROR(_xlfn.XLOOKUP(F331,ccustos!A:A,ccustos!B:B),"Sem termo")</f>
        <v>SEPAT</v>
      </c>
    </row>
    <row r="332" spans="1:10" ht="25.5" customHeight="1" x14ac:dyDescent="0.25">
      <c r="A332" s="14">
        <v>10500</v>
      </c>
      <c r="B332" s="7" t="s">
        <v>236</v>
      </c>
      <c r="C332" s="7" t="s">
        <v>237</v>
      </c>
      <c r="D332" s="7" t="s">
        <v>360</v>
      </c>
      <c r="E332" s="7" t="s">
        <v>239</v>
      </c>
      <c r="F332" s="7" t="s">
        <v>21</v>
      </c>
      <c r="G332" s="7" t="s">
        <v>282</v>
      </c>
      <c r="H332" s="15">
        <v>2690</v>
      </c>
      <c r="I332" s="15">
        <v>724.91</v>
      </c>
      <c r="J332" s="7" t="str">
        <f>IFERROR(_xlfn.XLOOKUP(F332,ccustos!A:A,ccustos!B:B),"Sem termo")</f>
        <v>COTEC</v>
      </c>
    </row>
    <row r="333" spans="1:10" ht="25.5" customHeight="1" x14ac:dyDescent="0.25">
      <c r="A333" s="16">
        <v>10501</v>
      </c>
      <c r="B333" s="17" t="s">
        <v>236</v>
      </c>
      <c r="C333" s="17" t="s">
        <v>237</v>
      </c>
      <c r="D333" s="17" t="s">
        <v>360</v>
      </c>
      <c r="E333" s="17" t="s">
        <v>239</v>
      </c>
      <c r="F333" s="17" t="s">
        <v>23</v>
      </c>
      <c r="G333" s="17" t="s">
        <v>282</v>
      </c>
      <c r="H333" s="18">
        <v>2690</v>
      </c>
      <c r="I333" s="18">
        <v>724.91</v>
      </c>
      <c r="J333" s="7" t="str">
        <f>IFERROR(_xlfn.XLOOKUP(F333,ccustos!A:A,ccustos!B:B),"Sem termo")</f>
        <v>CCI</v>
      </c>
    </row>
    <row r="334" spans="1:10" ht="36.75" customHeight="1" x14ac:dyDescent="0.25">
      <c r="A334" s="14">
        <v>10502</v>
      </c>
      <c r="B334" s="7" t="s">
        <v>236</v>
      </c>
      <c r="C334" s="7" t="s">
        <v>237</v>
      </c>
      <c r="D334" s="7" t="s">
        <v>360</v>
      </c>
      <c r="E334" s="7" t="s">
        <v>239</v>
      </c>
      <c r="F334" s="7" t="s">
        <v>23</v>
      </c>
      <c r="G334" s="7" t="s">
        <v>282</v>
      </c>
      <c r="H334" s="15">
        <v>2690</v>
      </c>
      <c r="I334" s="15">
        <v>724.91</v>
      </c>
      <c r="J334" s="7" t="str">
        <f>IFERROR(_xlfn.XLOOKUP(F334,ccustos!A:A,ccustos!B:B),"Sem termo")</f>
        <v>CCI</v>
      </c>
    </row>
    <row r="335" spans="1:10" ht="25.5" customHeight="1" x14ac:dyDescent="0.25">
      <c r="A335" s="16">
        <v>10503</v>
      </c>
      <c r="B335" s="17" t="s">
        <v>236</v>
      </c>
      <c r="C335" s="17" t="s">
        <v>237</v>
      </c>
      <c r="D335" s="17" t="s">
        <v>360</v>
      </c>
      <c r="E335" s="17" t="s">
        <v>239</v>
      </c>
      <c r="F335" s="17" t="s">
        <v>23</v>
      </c>
      <c r="G335" s="17" t="s">
        <v>282</v>
      </c>
      <c r="H335" s="18">
        <v>2690</v>
      </c>
      <c r="I335" s="18">
        <v>724.91</v>
      </c>
      <c r="J335" s="7" t="str">
        <f>IFERROR(_xlfn.XLOOKUP(F335,ccustos!A:A,ccustos!B:B),"Sem termo")</f>
        <v>CCI</v>
      </c>
    </row>
    <row r="336" spans="1:10" ht="25.5" customHeight="1" x14ac:dyDescent="0.25">
      <c r="A336" s="14">
        <v>10504</v>
      </c>
      <c r="B336" s="7" t="s">
        <v>236</v>
      </c>
      <c r="C336" s="7" t="s">
        <v>237</v>
      </c>
      <c r="D336" s="7" t="s">
        <v>360</v>
      </c>
      <c r="E336" s="7" t="s">
        <v>239</v>
      </c>
      <c r="F336" s="7" t="s">
        <v>21</v>
      </c>
      <c r="G336" s="7" t="s">
        <v>282</v>
      </c>
      <c r="H336" s="15">
        <v>2690</v>
      </c>
      <c r="I336" s="15">
        <v>724.91</v>
      </c>
      <c r="J336" s="7" t="str">
        <f>IFERROR(_xlfn.XLOOKUP(F336,ccustos!A:A,ccustos!B:B),"Sem termo")</f>
        <v>COTEC</v>
      </c>
    </row>
    <row r="337" spans="1:10" ht="25.5" customHeight="1" x14ac:dyDescent="0.25">
      <c r="A337" s="16">
        <v>10505</v>
      </c>
      <c r="B337" s="17" t="s">
        <v>236</v>
      </c>
      <c r="C337" s="17" t="s">
        <v>237</v>
      </c>
      <c r="D337" s="17" t="s">
        <v>360</v>
      </c>
      <c r="E337" s="17" t="s">
        <v>239</v>
      </c>
      <c r="F337" s="17" t="s">
        <v>0</v>
      </c>
      <c r="G337" s="17" t="s">
        <v>282</v>
      </c>
      <c r="H337" s="18">
        <v>2690</v>
      </c>
      <c r="I337" s="18">
        <v>724.91</v>
      </c>
      <c r="J337" s="7" t="str">
        <f>IFERROR(_xlfn.XLOOKUP(F337,ccustos!A:A,ccustos!B:B),"Sem termo")</f>
        <v>SEPAT</v>
      </c>
    </row>
    <row r="338" spans="1:10" ht="36.75" customHeight="1" x14ac:dyDescent="0.25">
      <c r="A338" s="14">
        <v>10506</v>
      </c>
      <c r="B338" s="7" t="s">
        <v>236</v>
      </c>
      <c r="C338" s="7" t="s">
        <v>237</v>
      </c>
      <c r="D338" s="7" t="s">
        <v>360</v>
      </c>
      <c r="E338" s="7" t="s">
        <v>239</v>
      </c>
      <c r="F338" s="7" t="s">
        <v>21</v>
      </c>
      <c r="G338" s="7" t="s">
        <v>282</v>
      </c>
      <c r="H338" s="15">
        <v>2690</v>
      </c>
      <c r="I338" s="15">
        <v>724.91</v>
      </c>
      <c r="J338" s="7" t="str">
        <f>IFERROR(_xlfn.XLOOKUP(F338,ccustos!A:A,ccustos!B:B),"Sem termo")</f>
        <v>COTEC</v>
      </c>
    </row>
    <row r="339" spans="1:10" ht="36.75" customHeight="1" x14ac:dyDescent="0.25">
      <c r="A339" s="16">
        <v>10507</v>
      </c>
      <c r="B339" s="17" t="s">
        <v>236</v>
      </c>
      <c r="C339" s="17" t="s">
        <v>237</v>
      </c>
      <c r="D339" s="17" t="s">
        <v>360</v>
      </c>
      <c r="E339" s="17" t="s">
        <v>239</v>
      </c>
      <c r="F339" s="17" t="s">
        <v>23</v>
      </c>
      <c r="G339" s="17" t="s">
        <v>282</v>
      </c>
      <c r="H339" s="18">
        <v>2690</v>
      </c>
      <c r="I339" s="18">
        <v>724.91</v>
      </c>
      <c r="J339" s="7" t="str">
        <f>IFERROR(_xlfn.XLOOKUP(F339,ccustos!A:A,ccustos!B:B),"Sem termo")</f>
        <v>CCI</v>
      </c>
    </row>
    <row r="340" spans="1:10" ht="25.5" customHeight="1" x14ac:dyDescent="0.25">
      <c r="A340" s="14">
        <v>10508</v>
      </c>
      <c r="B340" s="7" t="s">
        <v>236</v>
      </c>
      <c r="C340" s="7" t="s">
        <v>241</v>
      </c>
      <c r="D340" s="7" t="s">
        <v>484</v>
      </c>
      <c r="E340" s="7" t="s">
        <v>239</v>
      </c>
      <c r="F340" s="7" t="s">
        <v>23</v>
      </c>
      <c r="G340" s="7" t="s">
        <v>324</v>
      </c>
      <c r="H340" s="15">
        <v>6249.39</v>
      </c>
      <c r="I340" s="15">
        <v>1952.71</v>
      </c>
      <c r="J340" s="7" t="str">
        <f>IFERROR(_xlfn.XLOOKUP(F340,ccustos!A:A,ccustos!B:B),"Sem termo")</f>
        <v>CCI</v>
      </c>
    </row>
    <row r="341" spans="1:10" ht="25.5" customHeight="1" x14ac:dyDescent="0.25">
      <c r="A341" s="16">
        <v>10509</v>
      </c>
      <c r="B341" s="17" t="s">
        <v>236</v>
      </c>
      <c r="C341" s="17" t="s">
        <v>241</v>
      </c>
      <c r="D341" s="17" t="s">
        <v>485</v>
      </c>
      <c r="E341" s="17" t="s">
        <v>239</v>
      </c>
      <c r="F341" s="17" t="s">
        <v>27</v>
      </c>
      <c r="G341" s="17" t="s">
        <v>289</v>
      </c>
      <c r="H341" s="18">
        <v>131.78</v>
      </c>
      <c r="I341" s="18">
        <v>141.34</v>
      </c>
      <c r="J341" s="7" t="str">
        <f>IFERROR(_xlfn.XLOOKUP(F341,ccustos!A:A,ccustos!B:B),"Sem termo")</f>
        <v>CCI</v>
      </c>
    </row>
    <row r="342" spans="1:10" ht="36.75" customHeight="1" x14ac:dyDescent="0.25">
      <c r="A342" s="14">
        <v>10510</v>
      </c>
      <c r="B342" s="7" t="s">
        <v>236</v>
      </c>
      <c r="C342" s="7" t="s">
        <v>306</v>
      </c>
      <c r="D342" s="7" t="s">
        <v>486</v>
      </c>
      <c r="E342" s="7" t="s">
        <v>239</v>
      </c>
      <c r="F342" s="7" t="s">
        <v>23</v>
      </c>
      <c r="G342" s="7" t="s">
        <v>311</v>
      </c>
      <c r="H342" s="15">
        <v>15120</v>
      </c>
      <c r="I342" s="15">
        <v>6728.55</v>
      </c>
      <c r="J342" s="7" t="str">
        <f>IFERROR(_xlfn.XLOOKUP(F342,ccustos!A:A,ccustos!B:B),"Sem termo")</f>
        <v>CCI</v>
      </c>
    </row>
    <row r="343" spans="1:10" ht="25.5" customHeight="1" x14ac:dyDescent="0.25">
      <c r="A343" s="16">
        <v>10512</v>
      </c>
      <c r="B343" s="17" t="s">
        <v>236</v>
      </c>
      <c r="C343" s="17" t="s">
        <v>237</v>
      </c>
      <c r="D343" s="17" t="s">
        <v>360</v>
      </c>
      <c r="E343" s="17" t="s">
        <v>239</v>
      </c>
      <c r="F343" s="17" t="s">
        <v>49</v>
      </c>
      <c r="G343" s="17" t="s">
        <v>280</v>
      </c>
      <c r="H343" s="18">
        <v>480</v>
      </c>
      <c r="I343" s="18">
        <v>377.31</v>
      </c>
      <c r="J343" s="7" t="str">
        <f>IFERROR(_xlfn.XLOOKUP(F343,ccustos!A:A,ccustos!B:B),"Sem termo")</f>
        <v>COAD</v>
      </c>
    </row>
    <row r="344" spans="1:10" ht="36.75" customHeight="1" x14ac:dyDescent="0.25">
      <c r="A344" s="14">
        <v>10514</v>
      </c>
      <c r="B344" s="7" t="s">
        <v>236</v>
      </c>
      <c r="C344" s="7" t="s">
        <v>387</v>
      </c>
      <c r="D344" s="7" t="s">
        <v>487</v>
      </c>
      <c r="E344" s="7" t="s">
        <v>250</v>
      </c>
      <c r="F344" s="7" t="s">
        <v>50</v>
      </c>
      <c r="G344" s="7" t="s">
        <v>389</v>
      </c>
      <c r="H344" s="15">
        <v>720</v>
      </c>
      <c r="I344" s="15">
        <v>320.14</v>
      </c>
      <c r="J344" s="7" t="str">
        <f>IFERROR(_xlfn.XLOOKUP(F344,ccustos!A:A,ccustos!B:B),"Sem termo")</f>
        <v>SEPAT</v>
      </c>
    </row>
    <row r="345" spans="1:10" ht="25.5" customHeight="1" x14ac:dyDescent="0.25">
      <c r="A345" s="16">
        <v>10515</v>
      </c>
      <c r="B345" s="17" t="s">
        <v>236</v>
      </c>
      <c r="C345" s="17" t="s">
        <v>241</v>
      </c>
      <c r="D345" s="17" t="s">
        <v>288</v>
      </c>
      <c r="E345" s="17" t="s">
        <v>239</v>
      </c>
      <c r="F345" s="17" t="s">
        <v>185</v>
      </c>
      <c r="G345" s="17" t="s">
        <v>289</v>
      </c>
      <c r="H345" s="18">
        <v>131.78</v>
      </c>
      <c r="I345" s="18">
        <v>141.34</v>
      </c>
      <c r="J345" s="7" t="str">
        <f>IFERROR(_xlfn.XLOOKUP(F345,ccustos!A:A,ccustos!B:B),"Sem termo")</f>
        <v>CGGE</v>
      </c>
    </row>
    <row r="346" spans="1:10" ht="25.5" customHeight="1" x14ac:dyDescent="0.25">
      <c r="A346" s="14">
        <v>10519</v>
      </c>
      <c r="B346" s="7" t="s">
        <v>236</v>
      </c>
      <c r="C346" s="7" t="s">
        <v>306</v>
      </c>
      <c r="D346" s="7" t="s">
        <v>449</v>
      </c>
      <c r="E346" s="7" t="s">
        <v>239</v>
      </c>
      <c r="F346" s="7" t="s">
        <v>40</v>
      </c>
      <c r="G346" s="7" t="s">
        <v>324</v>
      </c>
      <c r="H346" s="15">
        <v>17640</v>
      </c>
      <c r="I346" s="15">
        <v>7719.07</v>
      </c>
      <c r="J346" s="7" t="str">
        <f>IFERROR(_xlfn.XLOOKUP(F346,ccustos!A:A,ccustos!B:B),"Sem termo")</f>
        <v>COPI</v>
      </c>
    </row>
    <row r="347" spans="1:10" ht="36.75" customHeight="1" x14ac:dyDescent="0.25">
      <c r="A347" s="16">
        <v>10520</v>
      </c>
      <c r="B347" s="17" t="s">
        <v>236</v>
      </c>
      <c r="C347" s="17" t="s">
        <v>320</v>
      </c>
      <c r="D347" s="17" t="s">
        <v>488</v>
      </c>
      <c r="E347" s="17" t="s">
        <v>250</v>
      </c>
      <c r="F347" s="17" t="s">
        <v>40</v>
      </c>
      <c r="G347" s="17" t="s">
        <v>322</v>
      </c>
      <c r="H347" s="18">
        <v>1428</v>
      </c>
      <c r="I347" s="18">
        <v>649.32000000000005</v>
      </c>
      <c r="J347" s="7" t="str">
        <f>IFERROR(_xlfn.XLOOKUP(F347,ccustos!A:A,ccustos!B:B),"Sem termo")</f>
        <v>COPI</v>
      </c>
    </row>
    <row r="348" spans="1:10" ht="25.5" customHeight="1" x14ac:dyDescent="0.25">
      <c r="A348" s="14">
        <v>10521</v>
      </c>
      <c r="B348" s="7" t="s">
        <v>236</v>
      </c>
      <c r="C348" s="7" t="s">
        <v>241</v>
      </c>
      <c r="D348" s="7" t="s">
        <v>489</v>
      </c>
      <c r="E348" s="7" t="s">
        <v>239</v>
      </c>
      <c r="F348" s="7" t="s">
        <v>40</v>
      </c>
      <c r="G348" s="7" t="s">
        <v>490</v>
      </c>
      <c r="H348" s="15">
        <v>5576.64</v>
      </c>
      <c r="I348" s="15">
        <v>2033.77</v>
      </c>
      <c r="J348" s="7" t="str">
        <f>IFERROR(_xlfn.XLOOKUP(F348,ccustos!A:A,ccustos!B:B),"Sem termo")</f>
        <v>COPI</v>
      </c>
    </row>
    <row r="349" spans="1:10" ht="25.5" customHeight="1" x14ac:dyDescent="0.25">
      <c r="A349" s="16">
        <v>10522</v>
      </c>
      <c r="B349" s="17" t="s">
        <v>236</v>
      </c>
      <c r="C349" s="17" t="s">
        <v>325</v>
      </c>
      <c r="D349" s="17" t="s">
        <v>491</v>
      </c>
      <c r="E349" s="17" t="s">
        <v>239</v>
      </c>
      <c r="F349" s="17" t="s">
        <v>40</v>
      </c>
      <c r="G349" s="17" t="s">
        <v>311</v>
      </c>
      <c r="H349" s="18">
        <v>2279.6799999999998</v>
      </c>
      <c r="I349" s="18">
        <v>771.55</v>
      </c>
      <c r="J349" s="7" t="str">
        <f>IFERROR(_xlfn.XLOOKUP(F349,ccustos!A:A,ccustos!B:B),"Sem termo")</f>
        <v>COPI</v>
      </c>
    </row>
    <row r="350" spans="1:10" ht="36.75" customHeight="1" x14ac:dyDescent="0.25">
      <c r="A350" s="14">
        <v>10523</v>
      </c>
      <c r="B350" s="7" t="s">
        <v>236</v>
      </c>
      <c r="C350" s="7" t="s">
        <v>313</v>
      </c>
      <c r="D350" s="7" t="s">
        <v>492</v>
      </c>
      <c r="E350" s="7" t="s">
        <v>250</v>
      </c>
      <c r="F350" s="7" t="s">
        <v>40</v>
      </c>
      <c r="G350" s="7" t="s">
        <v>493</v>
      </c>
      <c r="H350" s="15">
        <v>195</v>
      </c>
      <c r="I350" s="15">
        <v>196.91</v>
      </c>
      <c r="J350" s="7" t="str">
        <f>IFERROR(_xlfn.XLOOKUP(F350,ccustos!A:A,ccustos!B:B),"Sem termo")</f>
        <v>COPI</v>
      </c>
    </row>
    <row r="351" spans="1:10" ht="25.5" customHeight="1" x14ac:dyDescent="0.25">
      <c r="A351" s="16">
        <v>10524</v>
      </c>
      <c r="B351" s="17" t="s">
        <v>236</v>
      </c>
      <c r="C351" s="17" t="s">
        <v>237</v>
      </c>
      <c r="D351" s="17" t="s">
        <v>494</v>
      </c>
      <c r="E351" s="17" t="s">
        <v>239</v>
      </c>
      <c r="F351" s="17" t="s">
        <v>40</v>
      </c>
      <c r="G351" s="17" t="s">
        <v>311</v>
      </c>
      <c r="H351" s="18">
        <v>2897.35</v>
      </c>
      <c r="I351" s="18">
        <v>724.91</v>
      </c>
      <c r="J351" s="7" t="str">
        <f>IFERROR(_xlfn.XLOOKUP(F351,ccustos!A:A,ccustos!B:B),"Sem termo")</f>
        <v>COPI</v>
      </c>
    </row>
    <row r="352" spans="1:10" ht="36.75" customHeight="1" x14ac:dyDescent="0.25">
      <c r="A352" s="14">
        <v>10525</v>
      </c>
      <c r="B352" s="7" t="s">
        <v>236</v>
      </c>
      <c r="C352" s="7" t="s">
        <v>237</v>
      </c>
      <c r="D352" s="7" t="s">
        <v>495</v>
      </c>
      <c r="E352" s="7" t="s">
        <v>239</v>
      </c>
      <c r="F352" s="7" t="s">
        <v>40</v>
      </c>
      <c r="G352" s="7" t="s">
        <v>311</v>
      </c>
      <c r="H352" s="15">
        <v>2297.58</v>
      </c>
      <c r="I352" s="15">
        <v>707.59</v>
      </c>
      <c r="J352" s="7" t="str">
        <f>IFERROR(_xlfn.XLOOKUP(F352,ccustos!A:A,ccustos!B:B),"Sem termo")</f>
        <v>COPI</v>
      </c>
    </row>
    <row r="353" spans="1:10" ht="25.5" customHeight="1" x14ac:dyDescent="0.25">
      <c r="A353" s="16">
        <v>10526</v>
      </c>
      <c r="B353" s="17" t="s">
        <v>236</v>
      </c>
      <c r="C353" s="17" t="s">
        <v>237</v>
      </c>
      <c r="D353" s="17" t="s">
        <v>495</v>
      </c>
      <c r="E353" s="17" t="s">
        <v>239</v>
      </c>
      <c r="F353" s="17" t="s">
        <v>40</v>
      </c>
      <c r="G353" s="17" t="s">
        <v>311</v>
      </c>
      <c r="H353" s="18">
        <v>2297.58</v>
      </c>
      <c r="I353" s="18">
        <v>707.59</v>
      </c>
      <c r="J353" s="7" t="str">
        <f>IFERROR(_xlfn.XLOOKUP(F353,ccustos!A:A,ccustos!B:B),"Sem termo")</f>
        <v>COPI</v>
      </c>
    </row>
    <row r="354" spans="1:10" ht="36.75" customHeight="1" x14ac:dyDescent="0.25">
      <c r="A354" s="14">
        <v>10527</v>
      </c>
      <c r="B354" s="7" t="s">
        <v>236</v>
      </c>
      <c r="C354" s="7" t="s">
        <v>320</v>
      </c>
      <c r="D354" s="7" t="s">
        <v>496</v>
      </c>
      <c r="E354" s="7" t="s">
        <v>250</v>
      </c>
      <c r="F354" s="7" t="s">
        <v>51</v>
      </c>
      <c r="G354" s="7" t="s">
        <v>322</v>
      </c>
      <c r="H354" s="15">
        <v>1428</v>
      </c>
      <c r="I354" s="15">
        <v>751.53</v>
      </c>
      <c r="J354" s="7" t="str">
        <f>IFERROR(_xlfn.XLOOKUP(F354,ccustos!A:A,ccustos!B:B),"Sem termo")</f>
        <v>COREG</v>
      </c>
    </row>
    <row r="355" spans="1:10" ht="25.5" customHeight="1" x14ac:dyDescent="0.25">
      <c r="A355" s="16">
        <v>10528</v>
      </c>
      <c r="B355" s="17" t="s">
        <v>236</v>
      </c>
      <c r="C355" s="17" t="s">
        <v>241</v>
      </c>
      <c r="D355" s="17" t="s">
        <v>497</v>
      </c>
      <c r="E355" s="17" t="s">
        <v>239</v>
      </c>
      <c r="F355" s="17" t="s">
        <v>51</v>
      </c>
      <c r="G355" s="17" t="s">
        <v>324</v>
      </c>
      <c r="H355" s="18">
        <v>5576.64</v>
      </c>
      <c r="I355" s="18">
        <v>2353.6</v>
      </c>
      <c r="J355" s="7" t="str">
        <f>IFERROR(_xlfn.XLOOKUP(F355,ccustos!A:A,ccustos!B:B),"Sem termo")</f>
        <v>COREG</v>
      </c>
    </row>
    <row r="356" spans="1:10" ht="25.5" customHeight="1" x14ac:dyDescent="0.25">
      <c r="A356" s="14">
        <v>10529</v>
      </c>
      <c r="B356" s="7" t="s">
        <v>236</v>
      </c>
      <c r="C356" s="7" t="s">
        <v>313</v>
      </c>
      <c r="D356" s="7" t="s">
        <v>498</v>
      </c>
      <c r="E356" s="7" t="s">
        <v>250</v>
      </c>
      <c r="F356" s="7" t="s">
        <v>51</v>
      </c>
      <c r="G356" s="7" t="s">
        <v>315</v>
      </c>
      <c r="H356" s="15">
        <v>620</v>
      </c>
      <c r="I356" s="15">
        <v>196.91</v>
      </c>
      <c r="J356" s="7" t="str">
        <f>IFERROR(_xlfn.XLOOKUP(F356,ccustos!A:A,ccustos!B:B),"Sem termo")</f>
        <v>COREG</v>
      </c>
    </row>
    <row r="357" spans="1:10" ht="36.75" customHeight="1" x14ac:dyDescent="0.25">
      <c r="A357" s="16">
        <v>10530</v>
      </c>
      <c r="B357" s="17" t="s">
        <v>236</v>
      </c>
      <c r="C357" s="17" t="s">
        <v>325</v>
      </c>
      <c r="D357" s="17" t="s">
        <v>499</v>
      </c>
      <c r="E357" s="17" t="s">
        <v>239</v>
      </c>
      <c r="F357" s="17" t="s">
        <v>51</v>
      </c>
      <c r="G357" s="17" t="s">
        <v>311</v>
      </c>
      <c r="H357" s="18">
        <v>2279.6799999999998</v>
      </c>
      <c r="I357" s="18">
        <v>824.89</v>
      </c>
      <c r="J357" s="7" t="str">
        <f>IFERROR(_xlfn.XLOOKUP(F357,ccustos!A:A,ccustos!B:B),"Sem termo")</f>
        <v>COREG</v>
      </c>
    </row>
    <row r="358" spans="1:10" ht="25.5" customHeight="1" x14ac:dyDescent="0.25">
      <c r="A358" s="14">
        <v>10531</v>
      </c>
      <c r="B358" s="7" t="s">
        <v>236</v>
      </c>
      <c r="C358" s="7" t="s">
        <v>237</v>
      </c>
      <c r="D358" s="7" t="s">
        <v>500</v>
      </c>
      <c r="E358" s="7" t="s">
        <v>239</v>
      </c>
      <c r="F358" s="7" t="s">
        <v>51</v>
      </c>
      <c r="G358" s="7" t="s">
        <v>311</v>
      </c>
      <c r="H358" s="15">
        <v>2897.35</v>
      </c>
      <c r="I358" s="15">
        <v>724.91</v>
      </c>
      <c r="J358" s="7" t="str">
        <f>IFERROR(_xlfn.XLOOKUP(F358,ccustos!A:A,ccustos!B:B),"Sem termo")</f>
        <v>COREG</v>
      </c>
    </row>
    <row r="359" spans="1:10" ht="25.5" customHeight="1" x14ac:dyDescent="0.25">
      <c r="A359" s="16">
        <v>10532</v>
      </c>
      <c r="B359" s="17" t="s">
        <v>236</v>
      </c>
      <c r="C359" s="17" t="s">
        <v>237</v>
      </c>
      <c r="D359" s="17" t="s">
        <v>501</v>
      </c>
      <c r="E359" s="17" t="s">
        <v>239</v>
      </c>
      <c r="F359" s="17" t="s">
        <v>51</v>
      </c>
      <c r="G359" s="17" t="s">
        <v>311</v>
      </c>
      <c r="H359" s="18">
        <v>2297.58</v>
      </c>
      <c r="I359" s="18">
        <v>407.16</v>
      </c>
      <c r="J359" s="7" t="str">
        <f>IFERROR(_xlfn.XLOOKUP(F359,ccustos!A:A,ccustos!B:B),"Sem termo")</f>
        <v>COREG</v>
      </c>
    </row>
    <row r="360" spans="1:10" ht="25.5" customHeight="1" x14ac:dyDescent="0.25">
      <c r="A360" s="14">
        <v>10533</v>
      </c>
      <c r="B360" s="7" t="s">
        <v>236</v>
      </c>
      <c r="C360" s="7" t="s">
        <v>237</v>
      </c>
      <c r="D360" s="7" t="s">
        <v>501</v>
      </c>
      <c r="E360" s="7" t="s">
        <v>239</v>
      </c>
      <c r="F360" s="7" t="s">
        <v>51</v>
      </c>
      <c r="G360" s="7" t="s">
        <v>311</v>
      </c>
      <c r="H360" s="15">
        <v>2297.58</v>
      </c>
      <c r="I360" s="15">
        <v>407.16</v>
      </c>
      <c r="J360" s="7" t="str">
        <f>IFERROR(_xlfn.XLOOKUP(F360,ccustos!A:A,ccustos!B:B),"Sem termo")</f>
        <v>COREG</v>
      </c>
    </row>
    <row r="361" spans="1:10" ht="36.75" customHeight="1" x14ac:dyDescent="0.25">
      <c r="A361" s="16">
        <v>10535</v>
      </c>
      <c r="B361" s="17" t="s">
        <v>236</v>
      </c>
      <c r="C361" s="17" t="s">
        <v>241</v>
      </c>
      <c r="D361" s="17" t="s">
        <v>362</v>
      </c>
      <c r="E361" s="17" t="s">
        <v>239</v>
      </c>
      <c r="F361" s="17" t="s">
        <v>6</v>
      </c>
      <c r="G361" s="17" t="s">
        <v>331</v>
      </c>
      <c r="H361" s="18">
        <v>232</v>
      </c>
      <c r="I361" s="18">
        <v>73.680000000000007</v>
      </c>
      <c r="J361" s="7" t="str">
        <f>IFERROR(_xlfn.XLOOKUP(F361,ccustos!A:A,ccustos!B:B),"Sem termo")</f>
        <v>SEPAT</v>
      </c>
    </row>
    <row r="362" spans="1:10" ht="36.75" customHeight="1" x14ac:dyDescent="0.25">
      <c r="A362" s="14">
        <v>10536</v>
      </c>
      <c r="B362" s="7" t="s">
        <v>236</v>
      </c>
      <c r="C362" s="7" t="s">
        <v>294</v>
      </c>
      <c r="D362" s="7" t="s">
        <v>449</v>
      </c>
      <c r="E362" s="7" t="s">
        <v>239</v>
      </c>
      <c r="F362" s="7" t="s">
        <v>52</v>
      </c>
      <c r="G362" s="7" t="s">
        <v>324</v>
      </c>
      <c r="H362" s="15">
        <v>14280</v>
      </c>
      <c r="I362" s="15">
        <v>6599.74</v>
      </c>
      <c r="J362" s="7" t="str">
        <f>IFERROR(_xlfn.XLOOKUP(F362,ccustos!A:A,ccustos!B:B),"Sem termo")</f>
        <v>COREG</v>
      </c>
    </row>
    <row r="363" spans="1:10" ht="25.5" customHeight="1" x14ac:dyDescent="0.25">
      <c r="A363" s="16">
        <v>10537</v>
      </c>
      <c r="B363" s="17" t="s">
        <v>236</v>
      </c>
      <c r="C363" s="17" t="s">
        <v>237</v>
      </c>
      <c r="D363" s="17" t="s">
        <v>360</v>
      </c>
      <c r="E363" s="17" t="s">
        <v>239</v>
      </c>
      <c r="F363" s="17" t="s">
        <v>52</v>
      </c>
      <c r="G363" s="17" t="s">
        <v>282</v>
      </c>
      <c r="H363" s="18">
        <v>2690</v>
      </c>
      <c r="I363" s="18">
        <v>724.91</v>
      </c>
      <c r="J363" s="7" t="str">
        <f>IFERROR(_xlfn.XLOOKUP(F363,ccustos!A:A,ccustos!B:B),"Sem termo")</f>
        <v>COREG</v>
      </c>
    </row>
    <row r="364" spans="1:10" ht="36.75" customHeight="1" x14ac:dyDescent="0.25">
      <c r="A364" s="14">
        <v>10538</v>
      </c>
      <c r="B364" s="7" t="s">
        <v>236</v>
      </c>
      <c r="C364" s="7" t="s">
        <v>237</v>
      </c>
      <c r="D364" s="7" t="s">
        <v>360</v>
      </c>
      <c r="E364" s="7" t="s">
        <v>239</v>
      </c>
      <c r="F364" s="7" t="s">
        <v>52</v>
      </c>
      <c r="G364" s="7" t="s">
        <v>282</v>
      </c>
      <c r="H364" s="15">
        <v>2690</v>
      </c>
      <c r="I364" s="15">
        <v>724.91</v>
      </c>
      <c r="J364" s="7" t="str">
        <f>IFERROR(_xlfn.XLOOKUP(F364,ccustos!A:A,ccustos!B:B),"Sem termo")</f>
        <v>COREG</v>
      </c>
    </row>
    <row r="365" spans="1:10" ht="36.75" customHeight="1" x14ac:dyDescent="0.25">
      <c r="A365" s="16">
        <v>10539</v>
      </c>
      <c r="B365" s="17" t="s">
        <v>236</v>
      </c>
      <c r="C365" s="17" t="s">
        <v>237</v>
      </c>
      <c r="D365" s="17" t="s">
        <v>360</v>
      </c>
      <c r="E365" s="17" t="s">
        <v>239</v>
      </c>
      <c r="F365" s="17" t="s">
        <v>52</v>
      </c>
      <c r="G365" s="17" t="s">
        <v>282</v>
      </c>
      <c r="H365" s="18">
        <v>2690</v>
      </c>
      <c r="I365" s="18">
        <v>724.91</v>
      </c>
      <c r="J365" s="7" t="str">
        <f>IFERROR(_xlfn.XLOOKUP(F365,ccustos!A:A,ccustos!B:B),"Sem termo")</f>
        <v>COREG</v>
      </c>
    </row>
    <row r="366" spans="1:10" ht="36.75" customHeight="1" x14ac:dyDescent="0.25">
      <c r="A366" s="14">
        <v>10540</v>
      </c>
      <c r="B366" s="7" t="s">
        <v>236</v>
      </c>
      <c r="C366" s="7" t="s">
        <v>237</v>
      </c>
      <c r="D366" s="7" t="s">
        <v>360</v>
      </c>
      <c r="E366" s="7" t="s">
        <v>239</v>
      </c>
      <c r="F366" s="7" t="s">
        <v>52</v>
      </c>
      <c r="G366" s="7" t="s">
        <v>282</v>
      </c>
      <c r="H366" s="15">
        <v>2690</v>
      </c>
      <c r="I366" s="15">
        <v>724.91</v>
      </c>
      <c r="J366" s="7" t="str">
        <f>IFERROR(_xlfn.XLOOKUP(F366,ccustos!A:A,ccustos!B:B),"Sem termo")</f>
        <v>COREG</v>
      </c>
    </row>
    <row r="367" spans="1:10" ht="25.5" customHeight="1" x14ac:dyDescent="0.25">
      <c r="A367" s="16">
        <v>10541</v>
      </c>
      <c r="B367" s="17" t="s">
        <v>236</v>
      </c>
      <c r="C367" s="17" t="s">
        <v>237</v>
      </c>
      <c r="D367" s="17" t="s">
        <v>360</v>
      </c>
      <c r="E367" s="17" t="s">
        <v>239</v>
      </c>
      <c r="F367" s="17" t="s">
        <v>52</v>
      </c>
      <c r="G367" s="17" t="s">
        <v>282</v>
      </c>
      <c r="H367" s="18">
        <v>2690</v>
      </c>
      <c r="I367" s="18">
        <v>724.91</v>
      </c>
      <c r="J367" s="7" t="str">
        <f>IFERROR(_xlfn.XLOOKUP(F367,ccustos!A:A,ccustos!B:B),"Sem termo")</f>
        <v>COREG</v>
      </c>
    </row>
    <row r="368" spans="1:10" ht="25.5" customHeight="1" x14ac:dyDescent="0.25">
      <c r="A368" s="14">
        <v>10542</v>
      </c>
      <c r="B368" s="7" t="s">
        <v>236</v>
      </c>
      <c r="C368" s="7" t="s">
        <v>237</v>
      </c>
      <c r="D368" s="7" t="s">
        <v>360</v>
      </c>
      <c r="E368" s="7" t="s">
        <v>239</v>
      </c>
      <c r="F368" s="7" t="s">
        <v>52</v>
      </c>
      <c r="G368" s="7" t="s">
        <v>282</v>
      </c>
      <c r="H368" s="15">
        <v>2690</v>
      </c>
      <c r="I368" s="15">
        <v>724.91</v>
      </c>
      <c r="J368" s="7" t="str">
        <f>IFERROR(_xlfn.XLOOKUP(F368,ccustos!A:A,ccustos!B:B),"Sem termo")</f>
        <v>COREG</v>
      </c>
    </row>
    <row r="369" spans="1:10" ht="25.5" customHeight="1" x14ac:dyDescent="0.25">
      <c r="A369" s="16">
        <v>10543</v>
      </c>
      <c r="B369" s="17" t="s">
        <v>236</v>
      </c>
      <c r="C369" s="17" t="s">
        <v>237</v>
      </c>
      <c r="D369" s="17" t="s">
        <v>360</v>
      </c>
      <c r="E369" s="17" t="s">
        <v>239</v>
      </c>
      <c r="F369" s="17" t="s">
        <v>186</v>
      </c>
      <c r="G369" s="17" t="s">
        <v>282</v>
      </c>
      <c r="H369" s="18">
        <v>2690</v>
      </c>
      <c r="I369" s="18">
        <v>724.91</v>
      </c>
      <c r="J369" s="7" t="str">
        <f>IFERROR(_xlfn.XLOOKUP(F369,ccustos!A:A,ccustos!B:B),"Sem termo")</f>
        <v>CGGE</v>
      </c>
    </row>
    <row r="370" spans="1:10" ht="25.5" customHeight="1" x14ac:dyDescent="0.25">
      <c r="A370" s="14">
        <v>10544</v>
      </c>
      <c r="B370" s="7" t="s">
        <v>236</v>
      </c>
      <c r="C370" s="7" t="s">
        <v>237</v>
      </c>
      <c r="D370" s="7" t="s">
        <v>360</v>
      </c>
      <c r="E370" s="7" t="s">
        <v>239</v>
      </c>
      <c r="F370" s="7" t="s">
        <v>33</v>
      </c>
      <c r="G370" s="7" t="s">
        <v>282</v>
      </c>
      <c r="H370" s="15">
        <v>2690</v>
      </c>
      <c r="I370" s="15">
        <v>724.91</v>
      </c>
      <c r="J370" s="7" t="str">
        <f>IFERROR(_xlfn.XLOOKUP(F370,ccustos!A:A,ccustos!B:B),"Sem termo")</f>
        <v>COPI</v>
      </c>
    </row>
    <row r="371" spans="1:10" ht="36.75" customHeight="1" x14ac:dyDescent="0.25">
      <c r="A371" s="16">
        <v>10545</v>
      </c>
      <c r="B371" s="17" t="s">
        <v>236</v>
      </c>
      <c r="C371" s="17" t="s">
        <v>237</v>
      </c>
      <c r="D371" s="17" t="s">
        <v>360</v>
      </c>
      <c r="E371" s="17" t="s">
        <v>239</v>
      </c>
      <c r="F371" s="17" t="s">
        <v>52</v>
      </c>
      <c r="G371" s="17" t="s">
        <v>282</v>
      </c>
      <c r="H371" s="18">
        <v>2690</v>
      </c>
      <c r="I371" s="18">
        <v>724.91</v>
      </c>
      <c r="J371" s="7" t="str">
        <f>IFERROR(_xlfn.XLOOKUP(F371,ccustos!A:A,ccustos!B:B),"Sem termo")</f>
        <v>COREG</v>
      </c>
    </row>
    <row r="372" spans="1:10" ht="25.5" customHeight="1" x14ac:dyDescent="0.25">
      <c r="A372" s="14">
        <v>10546</v>
      </c>
      <c r="B372" s="7" t="s">
        <v>236</v>
      </c>
      <c r="C372" s="7" t="s">
        <v>364</v>
      </c>
      <c r="D372" s="7" t="s">
        <v>502</v>
      </c>
      <c r="E372" s="7" t="s">
        <v>250</v>
      </c>
      <c r="F372" s="7" t="s">
        <v>7</v>
      </c>
      <c r="G372" s="7" t="s">
        <v>324</v>
      </c>
      <c r="H372" s="15">
        <v>2409.12</v>
      </c>
      <c r="I372" s="15">
        <v>915.09</v>
      </c>
      <c r="J372" s="7" t="str">
        <f>IFERROR(_xlfn.XLOOKUP(F372,ccustos!A:A,ccustos!B:B),"Sem termo")</f>
        <v>SEPAT</v>
      </c>
    </row>
    <row r="373" spans="1:10" ht="25.5" customHeight="1" x14ac:dyDescent="0.25">
      <c r="A373" s="16">
        <v>10547</v>
      </c>
      <c r="B373" s="17" t="s">
        <v>236</v>
      </c>
      <c r="C373" s="17" t="s">
        <v>241</v>
      </c>
      <c r="D373" s="17" t="s">
        <v>503</v>
      </c>
      <c r="E373" s="17" t="s">
        <v>239</v>
      </c>
      <c r="F373" s="17" t="s">
        <v>72</v>
      </c>
      <c r="G373" s="17" t="s">
        <v>463</v>
      </c>
      <c r="H373" s="18">
        <v>145.38999999999999</v>
      </c>
      <c r="I373" s="18">
        <v>141.34</v>
      </c>
      <c r="J373" s="7" t="str">
        <f>IFERROR(_xlfn.XLOOKUP(F373,ccustos!A:A,ccustos!B:B),"Sem termo")</f>
        <v>SEPAT</v>
      </c>
    </row>
    <row r="374" spans="1:10" ht="25.5" customHeight="1" x14ac:dyDescent="0.25">
      <c r="A374" s="14">
        <v>10548</v>
      </c>
      <c r="B374" s="7" t="s">
        <v>236</v>
      </c>
      <c r="C374" s="7" t="s">
        <v>306</v>
      </c>
      <c r="D374" s="7" t="s">
        <v>504</v>
      </c>
      <c r="E374" s="7" t="s">
        <v>239</v>
      </c>
      <c r="F374" s="7" t="s">
        <v>39</v>
      </c>
      <c r="G374" s="7" t="s">
        <v>339</v>
      </c>
      <c r="H374" s="15">
        <v>238.22</v>
      </c>
      <c r="I374" s="15">
        <v>194.17</v>
      </c>
      <c r="J374" s="7" t="str">
        <f>IFERROR(_xlfn.XLOOKUP(F374,ccustos!A:A,ccustos!B:B),"Sem termo")</f>
        <v>COREG</v>
      </c>
    </row>
    <row r="375" spans="1:10" ht="25.5" customHeight="1" x14ac:dyDescent="0.25">
      <c r="A375" s="16">
        <v>10551</v>
      </c>
      <c r="B375" s="17" t="s">
        <v>236</v>
      </c>
      <c r="C375" s="17" t="s">
        <v>237</v>
      </c>
      <c r="D375" s="17" t="s">
        <v>279</v>
      </c>
      <c r="E375" s="17" t="s">
        <v>239</v>
      </c>
      <c r="F375" s="17" t="s">
        <v>0</v>
      </c>
      <c r="G375" s="17" t="s">
        <v>342</v>
      </c>
      <c r="H375" s="18">
        <v>1289.05</v>
      </c>
      <c r="I375" s="18">
        <v>405.3</v>
      </c>
      <c r="J375" s="7" t="str">
        <f>IFERROR(_xlfn.XLOOKUP(F375,ccustos!A:A,ccustos!B:B),"Sem termo")</f>
        <v>SEPAT</v>
      </c>
    </row>
    <row r="376" spans="1:10" ht="36.75" customHeight="1" x14ac:dyDescent="0.25">
      <c r="A376" s="14">
        <v>10552</v>
      </c>
      <c r="B376" s="7" t="s">
        <v>236</v>
      </c>
      <c r="C376" s="7" t="s">
        <v>241</v>
      </c>
      <c r="D376" s="7" t="s">
        <v>505</v>
      </c>
      <c r="E376" s="7" t="s">
        <v>239</v>
      </c>
      <c r="F376" s="7" t="s">
        <v>38</v>
      </c>
      <c r="G376" s="7" t="s">
        <v>331</v>
      </c>
      <c r="H376" s="15">
        <v>446</v>
      </c>
      <c r="I376" s="15">
        <v>227.66</v>
      </c>
      <c r="J376" s="7" t="str">
        <f>IFERROR(_xlfn.XLOOKUP(F376,ccustos!A:A,ccustos!B:B),"Sem termo")</f>
        <v>CDPROF</v>
      </c>
    </row>
    <row r="377" spans="1:10" ht="25.5" customHeight="1" x14ac:dyDescent="0.25">
      <c r="A377" s="16">
        <v>10555</v>
      </c>
      <c r="B377" s="17" t="s">
        <v>236</v>
      </c>
      <c r="C377" s="17" t="s">
        <v>333</v>
      </c>
      <c r="D377" s="17" t="s">
        <v>506</v>
      </c>
      <c r="E377" s="17" t="s">
        <v>335</v>
      </c>
      <c r="F377" s="17" t="s">
        <v>8</v>
      </c>
      <c r="G377" s="17" t="s">
        <v>348</v>
      </c>
      <c r="H377" s="18">
        <v>618.41999999999996</v>
      </c>
      <c r="I377" s="18">
        <v>125.33</v>
      </c>
      <c r="J377" s="7" t="str">
        <f>IFERROR(_xlfn.XLOOKUP(F377,ccustos!A:A,ccustos!B:B),"Sem termo")</f>
        <v>DEINFRA</v>
      </c>
    </row>
    <row r="378" spans="1:10" ht="25.5" customHeight="1" x14ac:dyDescent="0.25">
      <c r="A378" s="14">
        <v>10558</v>
      </c>
      <c r="B378" s="7" t="s">
        <v>236</v>
      </c>
      <c r="C378" s="7" t="s">
        <v>313</v>
      </c>
      <c r="D378" s="7" t="s">
        <v>507</v>
      </c>
      <c r="E378" s="7" t="s">
        <v>250</v>
      </c>
      <c r="F378" s="7" t="s">
        <v>39</v>
      </c>
      <c r="G378" s="7" t="s">
        <v>315</v>
      </c>
      <c r="H378" s="15">
        <v>620</v>
      </c>
      <c r="I378" s="15">
        <v>196.91</v>
      </c>
      <c r="J378" s="7" t="str">
        <f>IFERROR(_xlfn.XLOOKUP(F378,ccustos!A:A,ccustos!B:B),"Sem termo")</f>
        <v>COREG</v>
      </c>
    </row>
    <row r="379" spans="1:10" ht="25.5" customHeight="1" x14ac:dyDescent="0.25">
      <c r="A379" s="16">
        <v>10560</v>
      </c>
      <c r="B379" s="17" t="s">
        <v>236</v>
      </c>
      <c r="C379" s="17" t="s">
        <v>241</v>
      </c>
      <c r="D379" s="17" t="s">
        <v>508</v>
      </c>
      <c r="E379" s="17" t="s">
        <v>239</v>
      </c>
      <c r="F379" s="17" t="s">
        <v>39</v>
      </c>
      <c r="G379" s="17" t="s">
        <v>463</v>
      </c>
      <c r="H379" s="18">
        <v>919.82</v>
      </c>
      <c r="I379" s="18">
        <v>185.08</v>
      </c>
      <c r="J379" s="7" t="str">
        <f>IFERROR(_xlfn.XLOOKUP(F379,ccustos!A:A,ccustos!B:B),"Sem termo")</f>
        <v>COREG</v>
      </c>
    </row>
    <row r="380" spans="1:10" ht="25.5" customHeight="1" x14ac:dyDescent="0.25">
      <c r="A380" s="14">
        <v>10561</v>
      </c>
      <c r="B380" s="7" t="s">
        <v>236</v>
      </c>
      <c r="C380" s="7" t="s">
        <v>337</v>
      </c>
      <c r="D380" s="7" t="s">
        <v>509</v>
      </c>
      <c r="E380" s="7" t="s">
        <v>239</v>
      </c>
      <c r="F380" s="7" t="s">
        <v>6</v>
      </c>
      <c r="G380" s="7" t="s">
        <v>339</v>
      </c>
      <c r="H380" s="15">
        <v>237</v>
      </c>
      <c r="I380" s="15">
        <v>213.43</v>
      </c>
      <c r="J380" s="7" t="str">
        <f>IFERROR(_xlfn.XLOOKUP(F380,ccustos!A:A,ccustos!B:B),"Sem termo")</f>
        <v>SEPAT</v>
      </c>
    </row>
    <row r="381" spans="1:10" ht="25.5" customHeight="1" x14ac:dyDescent="0.25">
      <c r="A381" s="16">
        <v>10563</v>
      </c>
      <c r="B381" s="17" t="s">
        <v>236</v>
      </c>
      <c r="C381" s="17" t="s">
        <v>237</v>
      </c>
      <c r="D381" s="17" t="s">
        <v>302</v>
      </c>
      <c r="E381" s="17" t="s">
        <v>239</v>
      </c>
      <c r="F381" s="17" t="s">
        <v>303</v>
      </c>
      <c r="G381" s="17" t="s">
        <v>280</v>
      </c>
      <c r="H381" s="18">
        <v>310.77</v>
      </c>
      <c r="I381" s="18">
        <v>149.01</v>
      </c>
      <c r="J381" s="7" t="str">
        <f>IFERROR(_xlfn.XLOOKUP(F381,ccustos!A:A,ccustos!B:B),"Sem termo")</f>
        <v>Sem termo</v>
      </c>
    </row>
    <row r="382" spans="1:10" ht="25.5" customHeight="1" x14ac:dyDescent="0.25">
      <c r="A382" s="14">
        <v>10565</v>
      </c>
      <c r="B382" s="7" t="s">
        <v>236</v>
      </c>
      <c r="C382" s="7" t="s">
        <v>294</v>
      </c>
      <c r="D382" s="7" t="s">
        <v>449</v>
      </c>
      <c r="E382" s="7" t="s">
        <v>239</v>
      </c>
      <c r="F382" s="7" t="s">
        <v>51</v>
      </c>
      <c r="G382" s="7" t="s">
        <v>324</v>
      </c>
      <c r="H382" s="15">
        <v>17640</v>
      </c>
      <c r="I382" s="15">
        <v>7719.07</v>
      </c>
      <c r="J382" s="7" t="str">
        <f>IFERROR(_xlfn.XLOOKUP(F382,ccustos!A:A,ccustos!B:B),"Sem termo")</f>
        <v>COREG</v>
      </c>
    </row>
    <row r="383" spans="1:10" ht="25.5" customHeight="1" x14ac:dyDescent="0.25">
      <c r="A383" s="16">
        <v>10566</v>
      </c>
      <c r="B383" s="17" t="s">
        <v>236</v>
      </c>
      <c r="C383" s="17" t="s">
        <v>241</v>
      </c>
      <c r="D383" s="17" t="s">
        <v>489</v>
      </c>
      <c r="E383" s="17" t="s">
        <v>239</v>
      </c>
      <c r="F383" s="17" t="s">
        <v>52</v>
      </c>
      <c r="G383" s="17" t="s">
        <v>324</v>
      </c>
      <c r="H383" s="18">
        <v>6249.39</v>
      </c>
      <c r="I383" s="18">
        <v>1952.71</v>
      </c>
      <c r="J383" s="7" t="str">
        <f>IFERROR(_xlfn.XLOOKUP(F383,ccustos!A:A,ccustos!B:B),"Sem termo")</f>
        <v>COREG</v>
      </c>
    </row>
    <row r="384" spans="1:10" ht="36.75" customHeight="1" x14ac:dyDescent="0.25">
      <c r="A384" s="14">
        <v>10567</v>
      </c>
      <c r="B384" s="7" t="s">
        <v>236</v>
      </c>
      <c r="C384" s="7" t="s">
        <v>337</v>
      </c>
      <c r="D384" s="7" t="s">
        <v>510</v>
      </c>
      <c r="E384" s="7" t="s">
        <v>239</v>
      </c>
      <c r="F384" s="7" t="s">
        <v>30</v>
      </c>
      <c r="G384" s="7" t="s">
        <v>331</v>
      </c>
      <c r="H384" s="15">
        <v>298</v>
      </c>
      <c r="I384" s="15">
        <v>213.43</v>
      </c>
      <c r="J384" s="7" t="str">
        <f>IFERROR(_xlfn.XLOOKUP(F384,ccustos!A:A,ccustos!B:B),"Sem termo")</f>
        <v>COFIS</v>
      </c>
    </row>
    <row r="385" spans="1:10" ht="25.5" customHeight="1" x14ac:dyDescent="0.25">
      <c r="A385" s="16">
        <v>10574</v>
      </c>
      <c r="B385" s="17" t="s">
        <v>236</v>
      </c>
      <c r="C385" s="17" t="s">
        <v>337</v>
      </c>
      <c r="D385" s="17" t="s">
        <v>346</v>
      </c>
      <c r="E385" s="17" t="s">
        <v>239</v>
      </c>
      <c r="F385" s="17" t="s">
        <v>39</v>
      </c>
      <c r="G385" s="17" t="s">
        <v>331</v>
      </c>
      <c r="H385" s="18">
        <v>298</v>
      </c>
      <c r="I385" s="18">
        <v>213.43</v>
      </c>
      <c r="J385" s="7" t="str">
        <f>IFERROR(_xlfn.XLOOKUP(F385,ccustos!A:A,ccustos!B:B),"Sem termo")</f>
        <v>COREG</v>
      </c>
    </row>
    <row r="386" spans="1:10" ht="25.5" customHeight="1" x14ac:dyDescent="0.25">
      <c r="A386" s="14">
        <v>10578</v>
      </c>
      <c r="B386" s="7" t="s">
        <v>236</v>
      </c>
      <c r="C386" s="7" t="s">
        <v>333</v>
      </c>
      <c r="D386" s="7" t="s">
        <v>511</v>
      </c>
      <c r="E386" s="7" t="s">
        <v>335</v>
      </c>
      <c r="F386" s="7" t="s">
        <v>6</v>
      </c>
      <c r="G386" s="7" t="s">
        <v>336</v>
      </c>
      <c r="H386" s="15">
        <v>750</v>
      </c>
      <c r="I386" s="15">
        <v>111.58</v>
      </c>
      <c r="J386" s="7" t="str">
        <f>IFERROR(_xlfn.XLOOKUP(F386,ccustos!A:A,ccustos!B:B),"Sem termo")</f>
        <v>SEPAT</v>
      </c>
    </row>
    <row r="387" spans="1:10" ht="36.75" customHeight="1" x14ac:dyDescent="0.25">
      <c r="A387" s="16">
        <v>10579</v>
      </c>
      <c r="B387" s="17" t="s">
        <v>236</v>
      </c>
      <c r="C387" s="17" t="s">
        <v>237</v>
      </c>
      <c r="D387" s="17" t="s">
        <v>277</v>
      </c>
      <c r="E387" s="17" t="s">
        <v>239</v>
      </c>
      <c r="F387" s="17" t="s">
        <v>303</v>
      </c>
      <c r="G387" s="17" t="s">
        <v>278</v>
      </c>
      <c r="H387" s="18">
        <v>201.3</v>
      </c>
      <c r="I387" s="18">
        <v>173.7</v>
      </c>
      <c r="J387" s="7" t="str">
        <f>IFERROR(_xlfn.XLOOKUP(F387,ccustos!A:A,ccustos!B:B),"Sem termo")</f>
        <v>Sem termo</v>
      </c>
    </row>
    <row r="388" spans="1:10" ht="36.75" customHeight="1" x14ac:dyDescent="0.25">
      <c r="A388" s="14">
        <v>10580</v>
      </c>
      <c r="B388" s="7" t="s">
        <v>236</v>
      </c>
      <c r="C388" s="7" t="s">
        <v>337</v>
      </c>
      <c r="D388" s="7" t="s">
        <v>346</v>
      </c>
      <c r="E388" s="7" t="s">
        <v>239</v>
      </c>
      <c r="F388" s="7" t="s">
        <v>27</v>
      </c>
      <c r="G388" s="7" t="s">
        <v>331</v>
      </c>
      <c r="H388" s="15">
        <v>298</v>
      </c>
      <c r="I388" s="15">
        <v>213.43</v>
      </c>
      <c r="J388" s="7" t="str">
        <f>IFERROR(_xlfn.XLOOKUP(F388,ccustos!A:A,ccustos!B:B),"Sem termo")</f>
        <v>CCI</v>
      </c>
    </row>
    <row r="389" spans="1:10" ht="36.75" customHeight="1" x14ac:dyDescent="0.25">
      <c r="A389" s="16">
        <v>10584</v>
      </c>
      <c r="B389" s="17" t="s">
        <v>236</v>
      </c>
      <c r="C389" s="17" t="s">
        <v>337</v>
      </c>
      <c r="D389" s="17" t="s">
        <v>346</v>
      </c>
      <c r="E389" s="17" t="s">
        <v>239</v>
      </c>
      <c r="F389" s="17" t="s">
        <v>26</v>
      </c>
      <c r="G389" s="17" t="s">
        <v>331</v>
      </c>
      <c r="H389" s="18">
        <v>298</v>
      </c>
      <c r="I389" s="18">
        <v>213.43</v>
      </c>
      <c r="J389" s="7" t="str">
        <f>IFERROR(_xlfn.XLOOKUP(F389,ccustos!A:A,ccustos!B:B),"Sem termo")</f>
        <v>COLOG</v>
      </c>
    </row>
    <row r="390" spans="1:10" ht="36.75" customHeight="1" x14ac:dyDescent="0.25">
      <c r="A390" s="14">
        <v>10585</v>
      </c>
      <c r="B390" s="7" t="s">
        <v>236</v>
      </c>
      <c r="C390" s="7" t="s">
        <v>306</v>
      </c>
      <c r="D390" s="7" t="s">
        <v>512</v>
      </c>
      <c r="E390" s="7" t="s">
        <v>239</v>
      </c>
      <c r="F390" s="7" t="s">
        <v>39</v>
      </c>
      <c r="G390" s="7" t="s">
        <v>339</v>
      </c>
      <c r="H390" s="15">
        <v>238.22</v>
      </c>
      <c r="I390" s="15">
        <v>127.1</v>
      </c>
      <c r="J390" s="7" t="str">
        <f>IFERROR(_xlfn.XLOOKUP(F390,ccustos!A:A,ccustos!B:B),"Sem termo")</f>
        <v>COREG</v>
      </c>
    </row>
    <row r="391" spans="1:10" ht="36.75" customHeight="1" x14ac:dyDescent="0.25">
      <c r="A391" s="16">
        <v>10586</v>
      </c>
      <c r="B391" s="17" t="s">
        <v>236</v>
      </c>
      <c r="C391" s="17" t="s">
        <v>306</v>
      </c>
      <c r="D391" s="17" t="s">
        <v>307</v>
      </c>
      <c r="E391" s="17" t="s">
        <v>239</v>
      </c>
      <c r="F391" s="17" t="s">
        <v>0</v>
      </c>
      <c r="G391" s="17" t="s">
        <v>289</v>
      </c>
      <c r="H391" s="18">
        <v>287.67</v>
      </c>
      <c r="I391" s="18">
        <v>127.1</v>
      </c>
      <c r="J391" s="7" t="str">
        <f>IFERROR(_xlfn.XLOOKUP(F391,ccustos!A:A,ccustos!B:B),"Sem termo")</f>
        <v>SEPAT</v>
      </c>
    </row>
    <row r="392" spans="1:10" ht="36.75" customHeight="1" x14ac:dyDescent="0.25">
      <c r="A392" s="14">
        <v>10587</v>
      </c>
      <c r="B392" s="7" t="s">
        <v>236</v>
      </c>
      <c r="C392" s="7" t="s">
        <v>306</v>
      </c>
      <c r="D392" s="7" t="s">
        <v>369</v>
      </c>
      <c r="E392" s="7" t="s">
        <v>239</v>
      </c>
      <c r="F392" s="7" t="s">
        <v>39</v>
      </c>
      <c r="G392" s="7" t="s">
        <v>513</v>
      </c>
      <c r="H392" s="15">
        <v>459.11</v>
      </c>
      <c r="I392" s="15">
        <v>154.72999999999999</v>
      </c>
      <c r="J392" s="7" t="str">
        <f>IFERROR(_xlfn.XLOOKUP(F392,ccustos!A:A,ccustos!B:B),"Sem termo")</f>
        <v>COREG</v>
      </c>
    </row>
    <row r="393" spans="1:10" ht="36.75" customHeight="1" x14ac:dyDescent="0.25">
      <c r="A393" s="16">
        <v>10588</v>
      </c>
      <c r="B393" s="17" t="s">
        <v>236</v>
      </c>
      <c r="C393" s="17" t="s">
        <v>306</v>
      </c>
      <c r="D393" s="17" t="s">
        <v>514</v>
      </c>
      <c r="E393" s="17" t="s">
        <v>239</v>
      </c>
      <c r="F393" s="17" t="s">
        <v>39</v>
      </c>
      <c r="G393" s="17" t="s">
        <v>463</v>
      </c>
      <c r="H393" s="18">
        <v>521.69000000000005</v>
      </c>
      <c r="I393" s="18">
        <v>154.72999999999999</v>
      </c>
      <c r="J393" s="7" t="str">
        <f>IFERROR(_xlfn.XLOOKUP(F393,ccustos!A:A,ccustos!B:B),"Sem termo")</f>
        <v>COREG</v>
      </c>
    </row>
    <row r="394" spans="1:10" ht="36.75" customHeight="1" x14ac:dyDescent="0.25">
      <c r="A394" s="14">
        <v>10589</v>
      </c>
      <c r="B394" s="7" t="s">
        <v>236</v>
      </c>
      <c r="C394" s="7" t="s">
        <v>306</v>
      </c>
      <c r="D394" s="7" t="s">
        <v>394</v>
      </c>
      <c r="E394" s="7" t="s">
        <v>239</v>
      </c>
      <c r="F394" s="7" t="s">
        <v>39</v>
      </c>
      <c r="G394" s="7" t="s">
        <v>291</v>
      </c>
      <c r="H394" s="15">
        <v>307.07</v>
      </c>
      <c r="I394" s="15">
        <v>154.72999999999999</v>
      </c>
      <c r="J394" s="7" t="str">
        <f>IFERROR(_xlfn.XLOOKUP(F394,ccustos!A:A,ccustos!B:B),"Sem termo")</f>
        <v>COREG</v>
      </c>
    </row>
    <row r="395" spans="1:10" ht="36.75" customHeight="1" x14ac:dyDescent="0.25">
      <c r="A395" s="16">
        <v>10590</v>
      </c>
      <c r="B395" s="17" t="s">
        <v>236</v>
      </c>
      <c r="C395" s="17" t="s">
        <v>316</v>
      </c>
      <c r="D395" s="17" t="s">
        <v>317</v>
      </c>
      <c r="E395" s="17" t="s">
        <v>318</v>
      </c>
      <c r="F395" s="17" t="s">
        <v>51</v>
      </c>
      <c r="G395" s="17" t="s">
        <v>319</v>
      </c>
      <c r="H395" s="18">
        <v>696</v>
      </c>
      <c r="I395" s="18">
        <v>317.88</v>
      </c>
      <c r="J395" s="7" t="str">
        <f>IFERROR(_xlfn.XLOOKUP(F395,ccustos!A:A,ccustos!B:B),"Sem termo")</f>
        <v>COREG</v>
      </c>
    </row>
    <row r="396" spans="1:10" ht="25.5" customHeight="1" x14ac:dyDescent="0.25">
      <c r="A396" s="14">
        <v>10594</v>
      </c>
      <c r="B396" s="7" t="s">
        <v>236</v>
      </c>
      <c r="C396" s="7" t="s">
        <v>306</v>
      </c>
      <c r="D396" s="7" t="s">
        <v>307</v>
      </c>
      <c r="E396" s="7" t="s">
        <v>239</v>
      </c>
      <c r="F396" s="7" t="s">
        <v>47</v>
      </c>
      <c r="G396" s="7" t="s">
        <v>308</v>
      </c>
      <c r="H396" s="15">
        <v>310.75</v>
      </c>
      <c r="I396" s="15">
        <v>127.1</v>
      </c>
      <c r="J396" s="7" t="str">
        <f>IFERROR(_xlfn.XLOOKUP(F396,ccustos!A:A,ccustos!B:B),"Sem termo")</f>
        <v>CDPROF</v>
      </c>
    </row>
    <row r="397" spans="1:10" ht="36.75" customHeight="1" x14ac:dyDescent="0.25">
      <c r="A397" s="16">
        <v>10595</v>
      </c>
      <c r="B397" s="17" t="s">
        <v>236</v>
      </c>
      <c r="C397" s="17" t="s">
        <v>306</v>
      </c>
      <c r="D397" s="17" t="s">
        <v>307</v>
      </c>
      <c r="E397" s="17" t="s">
        <v>239</v>
      </c>
      <c r="F397" s="17" t="s">
        <v>47</v>
      </c>
      <c r="G397" s="17" t="s">
        <v>308</v>
      </c>
      <c r="H397" s="18">
        <v>310.75</v>
      </c>
      <c r="I397" s="18">
        <v>127.1</v>
      </c>
      <c r="J397" s="7" t="str">
        <f>IFERROR(_xlfn.XLOOKUP(F397,ccustos!A:A,ccustos!B:B),"Sem termo")</f>
        <v>CDPROF</v>
      </c>
    </row>
    <row r="398" spans="1:10" ht="14.25" customHeight="1" x14ac:dyDescent="0.25">
      <c r="A398" s="14">
        <v>10596</v>
      </c>
      <c r="B398" s="7" t="s">
        <v>236</v>
      </c>
      <c r="C398" s="7" t="s">
        <v>515</v>
      </c>
      <c r="D398" s="7" t="s">
        <v>516</v>
      </c>
      <c r="E398" s="7" t="s">
        <v>335</v>
      </c>
      <c r="F398" s="7" t="s">
        <v>39</v>
      </c>
      <c r="G398" s="7" t="s">
        <v>517</v>
      </c>
      <c r="H398" s="15">
        <v>17550</v>
      </c>
      <c r="I398" s="15">
        <v>306.52999999999997</v>
      </c>
      <c r="J398" s="7" t="str">
        <f>IFERROR(_xlfn.XLOOKUP(F398,ccustos!A:A,ccustos!B:B),"Sem termo")</f>
        <v>COREG</v>
      </c>
    </row>
    <row r="399" spans="1:10" ht="36.75" customHeight="1" x14ac:dyDescent="0.25">
      <c r="A399" s="16">
        <v>10598</v>
      </c>
      <c r="B399" s="17" t="s">
        <v>236</v>
      </c>
      <c r="C399" s="17" t="s">
        <v>306</v>
      </c>
      <c r="D399" s="17" t="s">
        <v>307</v>
      </c>
      <c r="E399" s="17" t="s">
        <v>239</v>
      </c>
      <c r="F399" s="17" t="s">
        <v>47</v>
      </c>
      <c r="G399" s="17" t="s">
        <v>308</v>
      </c>
      <c r="H399" s="18">
        <v>310.75</v>
      </c>
      <c r="I399" s="18">
        <v>127.1</v>
      </c>
      <c r="J399" s="7" t="str">
        <f>IFERROR(_xlfn.XLOOKUP(F399,ccustos!A:A,ccustos!B:B),"Sem termo")</f>
        <v>CDPROF</v>
      </c>
    </row>
    <row r="400" spans="1:10" ht="25.5" customHeight="1" x14ac:dyDescent="0.25">
      <c r="A400" s="14">
        <v>10599</v>
      </c>
      <c r="B400" s="7" t="s">
        <v>236</v>
      </c>
      <c r="C400" s="7" t="s">
        <v>269</v>
      </c>
      <c r="D400" s="7" t="s">
        <v>469</v>
      </c>
      <c r="E400" s="7" t="s">
        <v>239</v>
      </c>
      <c r="F400" s="7" t="s">
        <v>47</v>
      </c>
      <c r="G400" s="7" t="s">
        <v>470</v>
      </c>
      <c r="H400" s="15">
        <v>420</v>
      </c>
      <c r="I400" s="15">
        <v>178.81</v>
      </c>
      <c r="J400" s="7" t="str">
        <f>IFERROR(_xlfn.XLOOKUP(F400,ccustos!A:A,ccustos!B:B),"Sem termo")</f>
        <v>CDPROF</v>
      </c>
    </row>
    <row r="401" spans="1:10" ht="25.5" customHeight="1" x14ac:dyDescent="0.25">
      <c r="A401" s="16">
        <v>10600</v>
      </c>
      <c r="B401" s="17" t="s">
        <v>236</v>
      </c>
      <c r="C401" s="17" t="s">
        <v>471</v>
      </c>
      <c r="D401" s="17" t="s">
        <v>518</v>
      </c>
      <c r="E401" s="17" t="s">
        <v>335</v>
      </c>
      <c r="F401" s="17" t="s">
        <v>6</v>
      </c>
      <c r="G401" s="17" t="s">
        <v>519</v>
      </c>
      <c r="H401" s="18">
        <v>12375</v>
      </c>
      <c r="I401" s="18">
        <v>1575.29</v>
      </c>
      <c r="J401" s="7" t="str">
        <f>IFERROR(_xlfn.XLOOKUP(F401,ccustos!A:A,ccustos!B:B),"Sem termo")</f>
        <v>SEPAT</v>
      </c>
    </row>
    <row r="402" spans="1:10" ht="25.5" customHeight="1" x14ac:dyDescent="0.25">
      <c r="A402" s="14">
        <v>10603</v>
      </c>
      <c r="B402" s="7" t="s">
        <v>236</v>
      </c>
      <c r="C402" s="7" t="s">
        <v>306</v>
      </c>
      <c r="D402" s="7" t="s">
        <v>369</v>
      </c>
      <c r="E402" s="7" t="s">
        <v>239</v>
      </c>
      <c r="F402" s="7" t="s">
        <v>30</v>
      </c>
      <c r="G402" s="7" t="s">
        <v>289</v>
      </c>
      <c r="H402" s="15">
        <v>444.97</v>
      </c>
      <c r="I402" s="15">
        <v>195.89</v>
      </c>
      <c r="J402" s="7" t="str">
        <f>IFERROR(_xlfn.XLOOKUP(F402,ccustos!A:A,ccustos!B:B),"Sem termo")</f>
        <v>COFIS</v>
      </c>
    </row>
    <row r="403" spans="1:10" ht="36.75" customHeight="1" x14ac:dyDescent="0.25">
      <c r="A403" s="16">
        <v>10604</v>
      </c>
      <c r="B403" s="17" t="s">
        <v>236</v>
      </c>
      <c r="C403" s="17" t="s">
        <v>306</v>
      </c>
      <c r="D403" s="17" t="s">
        <v>307</v>
      </c>
      <c r="E403" s="17" t="s">
        <v>239</v>
      </c>
      <c r="F403" s="17" t="s">
        <v>30</v>
      </c>
      <c r="G403" s="17" t="s">
        <v>289</v>
      </c>
      <c r="H403" s="18">
        <v>287.67</v>
      </c>
      <c r="I403" s="18">
        <v>137.18</v>
      </c>
      <c r="J403" s="7" t="str">
        <f>IFERROR(_xlfn.XLOOKUP(F403,ccustos!A:A,ccustos!B:B),"Sem termo")</f>
        <v>COFIS</v>
      </c>
    </row>
    <row r="404" spans="1:10" ht="36.75" customHeight="1" x14ac:dyDescent="0.25">
      <c r="A404" s="14">
        <v>10605</v>
      </c>
      <c r="B404" s="7" t="s">
        <v>236</v>
      </c>
      <c r="C404" s="7" t="s">
        <v>306</v>
      </c>
      <c r="D404" s="7" t="s">
        <v>307</v>
      </c>
      <c r="E404" s="7" t="s">
        <v>239</v>
      </c>
      <c r="F404" s="7" t="s">
        <v>30</v>
      </c>
      <c r="G404" s="7" t="s">
        <v>308</v>
      </c>
      <c r="H404" s="15">
        <v>310.75</v>
      </c>
      <c r="I404" s="15">
        <v>137.18</v>
      </c>
      <c r="J404" s="7" t="str">
        <f>IFERROR(_xlfn.XLOOKUP(F404,ccustos!A:A,ccustos!B:B),"Sem termo")</f>
        <v>COFIS</v>
      </c>
    </row>
    <row r="405" spans="1:10" ht="14.25" customHeight="1" x14ac:dyDescent="0.25">
      <c r="A405" s="16">
        <v>10606</v>
      </c>
      <c r="B405" s="17" t="s">
        <v>236</v>
      </c>
      <c r="C405" s="17" t="s">
        <v>337</v>
      </c>
      <c r="D405" s="17" t="s">
        <v>509</v>
      </c>
      <c r="E405" s="17" t="s">
        <v>239</v>
      </c>
      <c r="F405" s="17" t="s">
        <v>53</v>
      </c>
      <c r="G405" s="17" t="s">
        <v>339</v>
      </c>
      <c r="H405" s="18">
        <v>237</v>
      </c>
      <c r="I405" s="18">
        <v>213.43</v>
      </c>
      <c r="J405" s="7" t="str">
        <f>IFERROR(_xlfn.XLOOKUP(F405,ccustos!A:A,ccustos!B:B),"Sem termo")</f>
        <v>DELIC</v>
      </c>
    </row>
    <row r="406" spans="1:10" ht="36.75" customHeight="1" x14ac:dyDescent="0.25">
      <c r="A406" s="14">
        <v>10607</v>
      </c>
      <c r="B406" s="7" t="s">
        <v>236</v>
      </c>
      <c r="C406" s="7" t="s">
        <v>241</v>
      </c>
      <c r="D406" s="7" t="s">
        <v>520</v>
      </c>
      <c r="E406" s="7" t="s">
        <v>239</v>
      </c>
      <c r="F406" s="7" t="s">
        <v>30</v>
      </c>
      <c r="G406" s="7" t="s">
        <v>331</v>
      </c>
      <c r="H406" s="15">
        <v>646</v>
      </c>
      <c r="I406" s="15">
        <v>449.05</v>
      </c>
      <c r="J406" s="7" t="str">
        <f>IFERROR(_xlfn.XLOOKUP(F406,ccustos!A:A,ccustos!B:B),"Sem termo")</f>
        <v>COFIS</v>
      </c>
    </row>
    <row r="407" spans="1:10" ht="25.5" customHeight="1" x14ac:dyDescent="0.25">
      <c r="A407" s="16">
        <v>10608</v>
      </c>
      <c r="B407" s="17" t="s">
        <v>236</v>
      </c>
      <c r="C407" s="17" t="s">
        <v>241</v>
      </c>
      <c r="D407" s="17" t="s">
        <v>362</v>
      </c>
      <c r="E407" s="17" t="s">
        <v>239</v>
      </c>
      <c r="F407" s="17" t="s">
        <v>256</v>
      </c>
      <c r="G407" s="17" t="s">
        <v>331</v>
      </c>
      <c r="H407" s="18">
        <v>232</v>
      </c>
      <c r="I407" s="18">
        <v>83.15</v>
      </c>
      <c r="J407" s="7" t="str">
        <f>IFERROR(_xlfn.XLOOKUP(F407,ccustos!A:A,ccustos!B:B),"Sem termo")</f>
        <v>Sem termo</v>
      </c>
    </row>
    <row r="408" spans="1:10" ht="36.75" customHeight="1" x14ac:dyDescent="0.25">
      <c r="A408" s="14">
        <v>10612</v>
      </c>
      <c r="B408" s="7" t="s">
        <v>236</v>
      </c>
      <c r="C408" s="7" t="s">
        <v>337</v>
      </c>
      <c r="D408" s="7" t="s">
        <v>521</v>
      </c>
      <c r="E408" s="7" t="s">
        <v>239</v>
      </c>
      <c r="F408" s="7" t="s">
        <v>303</v>
      </c>
      <c r="G408" s="7" t="s">
        <v>339</v>
      </c>
      <c r="H408" s="15">
        <v>237</v>
      </c>
      <c r="I408" s="15">
        <v>213.43</v>
      </c>
      <c r="J408" s="7" t="str">
        <f>IFERROR(_xlfn.XLOOKUP(F408,ccustos!A:A,ccustos!B:B),"Sem termo")</f>
        <v>Sem termo</v>
      </c>
    </row>
    <row r="409" spans="1:10" ht="36.75" customHeight="1" x14ac:dyDescent="0.25">
      <c r="A409" s="16">
        <v>10613</v>
      </c>
      <c r="B409" s="17" t="s">
        <v>236</v>
      </c>
      <c r="C409" s="17" t="s">
        <v>327</v>
      </c>
      <c r="D409" s="17" t="s">
        <v>522</v>
      </c>
      <c r="E409" s="17" t="s">
        <v>239</v>
      </c>
      <c r="F409" s="17" t="s">
        <v>55</v>
      </c>
      <c r="G409" s="17" t="s">
        <v>375</v>
      </c>
      <c r="H409" s="18">
        <v>2700</v>
      </c>
      <c r="I409" s="18">
        <v>1867.5</v>
      </c>
      <c r="J409" s="7" t="str">
        <f>IFERROR(_xlfn.XLOOKUP(F409,ccustos!A:A,ccustos!B:B),"Sem termo")</f>
        <v>DEPAD</v>
      </c>
    </row>
    <row r="410" spans="1:10" ht="25.5" customHeight="1" x14ac:dyDescent="0.25">
      <c r="A410" s="14">
        <v>10614</v>
      </c>
      <c r="B410" s="7" t="s">
        <v>236</v>
      </c>
      <c r="C410" s="7" t="s">
        <v>306</v>
      </c>
      <c r="D410" s="7" t="s">
        <v>523</v>
      </c>
      <c r="E410" s="7" t="s">
        <v>239</v>
      </c>
      <c r="F410" s="7" t="s">
        <v>37</v>
      </c>
      <c r="G410" s="7" t="s">
        <v>345</v>
      </c>
      <c r="H410" s="15">
        <v>890.53</v>
      </c>
      <c r="I410" s="15">
        <v>195.89</v>
      </c>
      <c r="J410" s="7" t="str">
        <f>IFERROR(_xlfn.XLOOKUP(F410,ccustos!A:A,ccustos!B:B),"Sem termo")</f>
        <v>PROJUR</v>
      </c>
    </row>
    <row r="411" spans="1:10" ht="25.5" customHeight="1" x14ac:dyDescent="0.25">
      <c r="A411" s="16">
        <v>10616</v>
      </c>
      <c r="B411" s="17" t="s">
        <v>236</v>
      </c>
      <c r="C411" s="17" t="s">
        <v>333</v>
      </c>
      <c r="D411" s="17" t="s">
        <v>524</v>
      </c>
      <c r="E411" s="17" t="s">
        <v>335</v>
      </c>
      <c r="F411" s="17" t="s">
        <v>56</v>
      </c>
      <c r="G411" s="17" t="s">
        <v>336</v>
      </c>
      <c r="H411" s="18">
        <v>750</v>
      </c>
      <c r="I411" s="18">
        <v>119.11</v>
      </c>
      <c r="J411" s="7" t="str">
        <f>IFERROR(_xlfn.XLOOKUP(F411,ccustos!A:A,ccustos!B:B),"Sem termo")</f>
        <v>SEPROT</v>
      </c>
    </row>
    <row r="412" spans="1:10" ht="14.25" customHeight="1" x14ac:dyDescent="0.25">
      <c r="A412" s="14">
        <v>10617</v>
      </c>
      <c r="B412" s="7" t="s">
        <v>236</v>
      </c>
      <c r="C412" s="7" t="s">
        <v>306</v>
      </c>
      <c r="D412" s="7" t="s">
        <v>307</v>
      </c>
      <c r="E412" s="7" t="s">
        <v>239</v>
      </c>
      <c r="F412" s="7" t="s">
        <v>37</v>
      </c>
      <c r="G412" s="7" t="s">
        <v>308</v>
      </c>
      <c r="H412" s="15">
        <v>310.75</v>
      </c>
      <c r="I412" s="15">
        <v>165.21</v>
      </c>
      <c r="J412" s="7" t="str">
        <f>IFERROR(_xlfn.XLOOKUP(F412,ccustos!A:A,ccustos!B:B),"Sem termo")</f>
        <v>PROJUR</v>
      </c>
    </row>
    <row r="413" spans="1:10" ht="25.5" customHeight="1" x14ac:dyDescent="0.25">
      <c r="A413" s="16">
        <v>10618</v>
      </c>
      <c r="B413" s="17" t="s">
        <v>236</v>
      </c>
      <c r="C413" s="17" t="s">
        <v>337</v>
      </c>
      <c r="D413" s="17" t="s">
        <v>510</v>
      </c>
      <c r="E413" s="17" t="s">
        <v>239</v>
      </c>
      <c r="F413" s="17" t="s">
        <v>185</v>
      </c>
      <c r="G413" s="17" t="s">
        <v>331</v>
      </c>
      <c r="H413" s="18">
        <v>298</v>
      </c>
      <c r="I413" s="18">
        <v>226.77</v>
      </c>
      <c r="J413" s="7" t="str">
        <f>IFERROR(_xlfn.XLOOKUP(F413,ccustos!A:A,ccustos!B:B),"Sem termo")</f>
        <v>CGGE</v>
      </c>
    </row>
    <row r="414" spans="1:10" ht="36.75" customHeight="1" x14ac:dyDescent="0.25">
      <c r="A414" s="14">
        <v>10619</v>
      </c>
      <c r="B414" s="7" t="s">
        <v>236</v>
      </c>
      <c r="C414" s="7" t="s">
        <v>237</v>
      </c>
      <c r="D414" s="7" t="s">
        <v>525</v>
      </c>
      <c r="E414" s="7" t="s">
        <v>239</v>
      </c>
      <c r="F414" s="7" t="s">
        <v>14</v>
      </c>
      <c r="G414" s="7" t="s">
        <v>526</v>
      </c>
      <c r="H414" s="15">
        <v>0.05</v>
      </c>
      <c r="I414" s="15">
        <v>521.1</v>
      </c>
      <c r="J414" s="7" t="str">
        <f>IFERROR(_xlfn.XLOOKUP(F414,ccustos!A:A,ccustos!B:B),"Sem termo")</f>
        <v>SEPAT</v>
      </c>
    </row>
    <row r="415" spans="1:10" ht="25.5" customHeight="1" x14ac:dyDescent="0.25">
      <c r="A415" s="16">
        <v>10620</v>
      </c>
      <c r="B415" s="17" t="s">
        <v>236</v>
      </c>
      <c r="C415" s="17" t="s">
        <v>237</v>
      </c>
      <c r="D415" s="17" t="s">
        <v>527</v>
      </c>
      <c r="E415" s="17" t="s">
        <v>239</v>
      </c>
      <c r="F415" s="17" t="s">
        <v>62</v>
      </c>
      <c r="G415" s="17" t="s">
        <v>280</v>
      </c>
      <c r="H415" s="18">
        <v>310.77</v>
      </c>
      <c r="I415" s="18">
        <v>54.56</v>
      </c>
      <c r="J415" s="7" t="str">
        <f>IFERROR(_xlfn.XLOOKUP(F415,ccustos!A:A,ccustos!B:B),"Sem termo")</f>
        <v>SETRAN</v>
      </c>
    </row>
    <row r="416" spans="1:10" ht="36.75" customHeight="1" x14ac:dyDescent="0.25">
      <c r="A416" s="14">
        <v>10621</v>
      </c>
      <c r="B416" s="7" t="s">
        <v>236</v>
      </c>
      <c r="C416" s="7" t="s">
        <v>313</v>
      </c>
      <c r="D416" s="7" t="s">
        <v>528</v>
      </c>
      <c r="E416" s="7" t="s">
        <v>250</v>
      </c>
      <c r="F416" s="7" t="s">
        <v>185</v>
      </c>
      <c r="G416" s="7" t="s">
        <v>529</v>
      </c>
      <c r="H416" s="15">
        <v>585</v>
      </c>
      <c r="I416" s="15">
        <v>268.31</v>
      </c>
      <c r="J416" s="7" t="str">
        <f>IFERROR(_xlfn.XLOOKUP(F416,ccustos!A:A,ccustos!B:B),"Sem termo")</f>
        <v>CGGE</v>
      </c>
    </row>
    <row r="417" spans="1:10" ht="25.5" customHeight="1" x14ac:dyDescent="0.25">
      <c r="A417" s="16">
        <v>10622</v>
      </c>
      <c r="B417" s="17" t="s">
        <v>236</v>
      </c>
      <c r="C417" s="17" t="s">
        <v>387</v>
      </c>
      <c r="D417" s="17" t="s">
        <v>530</v>
      </c>
      <c r="E417" s="17" t="s">
        <v>250</v>
      </c>
      <c r="F417" s="17" t="s">
        <v>57</v>
      </c>
      <c r="G417" s="17" t="s">
        <v>389</v>
      </c>
      <c r="H417" s="18">
        <v>720</v>
      </c>
      <c r="I417" s="18">
        <v>320.14</v>
      </c>
      <c r="J417" s="7" t="str">
        <f>IFERROR(_xlfn.XLOOKUP(F417,ccustos!A:A,ccustos!B:B),"Sem termo")</f>
        <v>SEPAT</v>
      </c>
    </row>
    <row r="418" spans="1:10" ht="25.5" customHeight="1" x14ac:dyDescent="0.25">
      <c r="A418" s="14">
        <v>10623</v>
      </c>
      <c r="B418" s="7" t="s">
        <v>236</v>
      </c>
      <c r="C418" s="7" t="s">
        <v>241</v>
      </c>
      <c r="D418" s="7" t="s">
        <v>531</v>
      </c>
      <c r="E418" s="7" t="s">
        <v>239</v>
      </c>
      <c r="F418" s="7" t="s">
        <v>0</v>
      </c>
      <c r="G418" s="7" t="s">
        <v>532</v>
      </c>
      <c r="H418" s="15">
        <v>2175.66</v>
      </c>
      <c r="I418" s="15">
        <v>141.34</v>
      </c>
      <c r="J418" s="7" t="str">
        <f>IFERROR(_xlfn.XLOOKUP(F418,ccustos!A:A,ccustos!B:B),"Sem termo")</f>
        <v>SEPAT</v>
      </c>
    </row>
    <row r="419" spans="1:10" ht="25.5" customHeight="1" x14ac:dyDescent="0.25">
      <c r="A419" s="16">
        <v>10624</v>
      </c>
      <c r="B419" s="17" t="s">
        <v>236</v>
      </c>
      <c r="C419" s="17" t="s">
        <v>237</v>
      </c>
      <c r="D419" s="17" t="s">
        <v>533</v>
      </c>
      <c r="E419" s="17" t="s">
        <v>239</v>
      </c>
      <c r="F419" s="17" t="s">
        <v>32</v>
      </c>
      <c r="G419" s="17" t="s">
        <v>343</v>
      </c>
      <c r="H419" s="18">
        <v>292.58</v>
      </c>
      <c r="I419" s="18">
        <v>149.01</v>
      </c>
      <c r="J419" s="7" t="str">
        <f>IFERROR(_xlfn.XLOOKUP(F419,ccustos!A:A,ccustos!B:B),"Sem termo")</f>
        <v>DECONT</v>
      </c>
    </row>
    <row r="420" spans="1:10" ht="36.75" customHeight="1" x14ac:dyDescent="0.25">
      <c r="A420" s="14">
        <v>10625</v>
      </c>
      <c r="B420" s="7" t="s">
        <v>236</v>
      </c>
      <c r="C420" s="7" t="s">
        <v>237</v>
      </c>
      <c r="D420" s="7" t="s">
        <v>533</v>
      </c>
      <c r="E420" s="7" t="s">
        <v>239</v>
      </c>
      <c r="F420" s="7" t="s">
        <v>32</v>
      </c>
      <c r="G420" s="7" t="s">
        <v>280</v>
      </c>
      <c r="H420" s="15">
        <v>310.76</v>
      </c>
      <c r="I420" s="15">
        <v>149.01</v>
      </c>
      <c r="J420" s="7" t="str">
        <f>IFERROR(_xlfn.XLOOKUP(F420,ccustos!A:A,ccustos!B:B),"Sem termo")</f>
        <v>DECONT</v>
      </c>
    </row>
    <row r="421" spans="1:10" ht="36.75" customHeight="1" x14ac:dyDescent="0.25">
      <c r="A421" s="16">
        <v>10627</v>
      </c>
      <c r="B421" s="17" t="s">
        <v>236</v>
      </c>
      <c r="C421" s="17" t="s">
        <v>237</v>
      </c>
      <c r="D421" s="17" t="s">
        <v>534</v>
      </c>
      <c r="E421" s="17" t="s">
        <v>239</v>
      </c>
      <c r="F421" s="17" t="s">
        <v>14</v>
      </c>
      <c r="G421" s="17" t="s">
        <v>278</v>
      </c>
      <c r="H421" s="18">
        <v>201.3</v>
      </c>
      <c r="I421" s="18">
        <v>176.67</v>
      </c>
      <c r="J421" s="7" t="str">
        <f>IFERROR(_xlfn.XLOOKUP(F421,ccustos!A:A,ccustos!B:B),"Sem termo")</f>
        <v>SEPAT</v>
      </c>
    </row>
    <row r="422" spans="1:10" ht="36.75" customHeight="1" x14ac:dyDescent="0.25">
      <c r="A422" s="14">
        <v>10628</v>
      </c>
      <c r="B422" s="7" t="s">
        <v>236</v>
      </c>
      <c r="C422" s="7" t="s">
        <v>237</v>
      </c>
      <c r="D422" s="7" t="s">
        <v>535</v>
      </c>
      <c r="E422" s="7" t="s">
        <v>239</v>
      </c>
      <c r="F422" s="7" t="s">
        <v>0</v>
      </c>
      <c r="G422" s="7" t="s">
        <v>343</v>
      </c>
      <c r="H422" s="15">
        <v>222.3</v>
      </c>
      <c r="I422" s="15">
        <v>173.7</v>
      </c>
      <c r="J422" s="7" t="str">
        <f>IFERROR(_xlfn.XLOOKUP(F422,ccustos!A:A,ccustos!B:B),"Sem termo")</f>
        <v>SEPAT</v>
      </c>
    </row>
    <row r="423" spans="1:10" ht="36.75" customHeight="1" x14ac:dyDescent="0.25">
      <c r="A423" s="16">
        <v>10629</v>
      </c>
      <c r="B423" s="17" t="s">
        <v>236</v>
      </c>
      <c r="C423" s="17" t="s">
        <v>237</v>
      </c>
      <c r="D423" s="17" t="s">
        <v>536</v>
      </c>
      <c r="E423" s="17" t="s">
        <v>239</v>
      </c>
      <c r="F423" s="17" t="s">
        <v>48</v>
      </c>
      <c r="G423" s="17" t="s">
        <v>278</v>
      </c>
      <c r="H423" s="18">
        <v>201.3</v>
      </c>
      <c r="I423" s="18">
        <v>173.7</v>
      </c>
      <c r="J423" s="7" t="str">
        <f>IFERROR(_xlfn.XLOOKUP(F423,ccustos!A:A,ccustos!B:B),"Sem termo")</f>
        <v>DEPES</v>
      </c>
    </row>
    <row r="424" spans="1:10" ht="36.75" customHeight="1" x14ac:dyDescent="0.25">
      <c r="A424" s="14">
        <v>10630</v>
      </c>
      <c r="B424" s="7" t="s">
        <v>236</v>
      </c>
      <c r="C424" s="7" t="s">
        <v>237</v>
      </c>
      <c r="D424" s="7" t="s">
        <v>358</v>
      </c>
      <c r="E424" s="7" t="s">
        <v>239</v>
      </c>
      <c r="F424" s="7" t="s">
        <v>185</v>
      </c>
      <c r="G424" s="7" t="s">
        <v>311</v>
      </c>
      <c r="H424" s="15">
        <v>1021.01</v>
      </c>
      <c r="I424" s="15">
        <v>397.35</v>
      </c>
      <c r="J424" s="7" t="str">
        <f>IFERROR(_xlfn.XLOOKUP(F424,ccustos!A:A,ccustos!B:B),"Sem termo")</f>
        <v>CGGE</v>
      </c>
    </row>
    <row r="425" spans="1:10" ht="36.75" customHeight="1" x14ac:dyDescent="0.25">
      <c r="A425" s="16">
        <v>10631</v>
      </c>
      <c r="B425" s="17" t="s">
        <v>236</v>
      </c>
      <c r="C425" s="17" t="s">
        <v>237</v>
      </c>
      <c r="D425" s="17" t="s">
        <v>358</v>
      </c>
      <c r="E425" s="17" t="s">
        <v>239</v>
      </c>
      <c r="F425" s="17" t="s">
        <v>0</v>
      </c>
      <c r="G425" s="17" t="s">
        <v>311</v>
      </c>
      <c r="H425" s="18">
        <v>1021.01</v>
      </c>
      <c r="I425" s="18">
        <v>397.35</v>
      </c>
      <c r="J425" s="7" t="str">
        <f>IFERROR(_xlfn.XLOOKUP(F425,ccustos!A:A,ccustos!B:B),"Sem termo")</f>
        <v>SEPAT</v>
      </c>
    </row>
    <row r="426" spans="1:10" ht="36.75" customHeight="1" x14ac:dyDescent="0.25">
      <c r="A426" s="14">
        <v>10632</v>
      </c>
      <c r="B426" s="7" t="s">
        <v>236</v>
      </c>
      <c r="C426" s="7" t="s">
        <v>241</v>
      </c>
      <c r="D426" s="7" t="s">
        <v>537</v>
      </c>
      <c r="E426" s="7" t="s">
        <v>239</v>
      </c>
      <c r="F426" s="7" t="s">
        <v>211</v>
      </c>
      <c r="G426" s="7" t="s">
        <v>311</v>
      </c>
      <c r="H426" s="15">
        <v>1267.6099999999999</v>
      </c>
      <c r="I426" s="15">
        <v>644.15</v>
      </c>
      <c r="J426" s="7" t="str">
        <f>IFERROR(_xlfn.XLOOKUP(F426,ccustos!A:A,ccustos!B:B),"Sem termo")</f>
        <v>DIGEO</v>
      </c>
    </row>
    <row r="427" spans="1:10" ht="36.75" customHeight="1" x14ac:dyDescent="0.25">
      <c r="A427" s="16">
        <v>10633</v>
      </c>
      <c r="B427" s="17" t="s">
        <v>236</v>
      </c>
      <c r="C427" s="17" t="s">
        <v>237</v>
      </c>
      <c r="D427" s="17" t="s">
        <v>538</v>
      </c>
      <c r="E427" s="17" t="s">
        <v>239</v>
      </c>
      <c r="F427" s="17" t="s">
        <v>1</v>
      </c>
      <c r="G427" s="17" t="s">
        <v>278</v>
      </c>
      <c r="H427" s="18">
        <v>434.5</v>
      </c>
      <c r="I427" s="18">
        <v>125.63</v>
      </c>
      <c r="J427" s="7" t="str">
        <f>IFERROR(_xlfn.XLOOKUP(F427,ccustos!A:A,ccustos!B:B),"Sem termo")</f>
        <v>SEPAT</v>
      </c>
    </row>
    <row r="428" spans="1:10" ht="36.75" customHeight="1" x14ac:dyDescent="0.25">
      <c r="A428" s="14">
        <v>10636</v>
      </c>
      <c r="B428" s="7" t="s">
        <v>236</v>
      </c>
      <c r="C428" s="7" t="s">
        <v>306</v>
      </c>
      <c r="D428" s="7" t="s">
        <v>539</v>
      </c>
      <c r="E428" s="7" t="s">
        <v>239</v>
      </c>
      <c r="F428" s="7" t="s">
        <v>59</v>
      </c>
      <c r="G428" s="7" t="s">
        <v>289</v>
      </c>
      <c r="H428" s="15">
        <v>287.67</v>
      </c>
      <c r="I428" s="15">
        <v>137.18</v>
      </c>
      <c r="J428" s="7" t="str">
        <f>IFERROR(_xlfn.XLOOKUP(F428,ccustos!A:A,ccustos!B:B),"Sem termo")</f>
        <v>SEPAT</v>
      </c>
    </row>
    <row r="429" spans="1:10" ht="36.75" customHeight="1" x14ac:dyDescent="0.25">
      <c r="A429" s="16">
        <v>10637</v>
      </c>
      <c r="B429" s="17" t="s">
        <v>236</v>
      </c>
      <c r="C429" s="17" t="s">
        <v>306</v>
      </c>
      <c r="D429" s="17" t="s">
        <v>539</v>
      </c>
      <c r="E429" s="17" t="s">
        <v>239</v>
      </c>
      <c r="F429" s="17" t="s">
        <v>32</v>
      </c>
      <c r="G429" s="17" t="s">
        <v>308</v>
      </c>
      <c r="H429" s="18">
        <v>310.75</v>
      </c>
      <c r="I429" s="18">
        <v>137.18</v>
      </c>
      <c r="J429" s="7" t="str">
        <f>IFERROR(_xlfn.XLOOKUP(F429,ccustos!A:A,ccustos!B:B),"Sem termo")</f>
        <v>DECONT</v>
      </c>
    </row>
    <row r="430" spans="1:10" ht="36.75" customHeight="1" x14ac:dyDescent="0.25">
      <c r="A430" s="14">
        <v>10638</v>
      </c>
      <c r="B430" s="7" t="s">
        <v>236</v>
      </c>
      <c r="C430" s="7" t="s">
        <v>306</v>
      </c>
      <c r="D430" s="7" t="s">
        <v>540</v>
      </c>
      <c r="E430" s="7" t="s">
        <v>239</v>
      </c>
      <c r="F430" s="7" t="s">
        <v>32</v>
      </c>
      <c r="G430" s="7" t="s">
        <v>308</v>
      </c>
      <c r="H430" s="15">
        <v>882.51</v>
      </c>
      <c r="I430" s="15">
        <v>180.41</v>
      </c>
      <c r="J430" s="7" t="str">
        <f>IFERROR(_xlfn.XLOOKUP(F430,ccustos!A:A,ccustos!B:B),"Sem termo")</f>
        <v>DECONT</v>
      </c>
    </row>
    <row r="431" spans="1:10" ht="25.5" customHeight="1" x14ac:dyDescent="0.25">
      <c r="A431" s="16">
        <v>10639</v>
      </c>
      <c r="B431" s="17" t="s">
        <v>236</v>
      </c>
      <c r="C431" s="17" t="s">
        <v>306</v>
      </c>
      <c r="D431" s="17" t="s">
        <v>307</v>
      </c>
      <c r="E431" s="17" t="s">
        <v>239</v>
      </c>
      <c r="F431" s="17" t="s">
        <v>26</v>
      </c>
      <c r="G431" s="17" t="s">
        <v>289</v>
      </c>
      <c r="H431" s="18">
        <v>287.67</v>
      </c>
      <c r="I431" s="18">
        <v>137.18</v>
      </c>
      <c r="J431" s="7" t="str">
        <f>IFERROR(_xlfn.XLOOKUP(F431,ccustos!A:A,ccustos!B:B),"Sem termo")</f>
        <v>COLOG</v>
      </c>
    </row>
    <row r="432" spans="1:10" ht="25.5" customHeight="1" x14ac:dyDescent="0.25">
      <c r="A432" s="14">
        <v>10640</v>
      </c>
      <c r="B432" s="7" t="s">
        <v>236</v>
      </c>
      <c r="C432" s="7" t="s">
        <v>306</v>
      </c>
      <c r="D432" s="7" t="s">
        <v>539</v>
      </c>
      <c r="E432" s="7" t="s">
        <v>239</v>
      </c>
      <c r="F432" s="7" t="s">
        <v>303</v>
      </c>
      <c r="G432" s="7" t="s">
        <v>289</v>
      </c>
      <c r="H432" s="15">
        <v>287.67</v>
      </c>
      <c r="I432" s="15">
        <v>151.19999999999999</v>
      </c>
      <c r="J432" s="7" t="str">
        <f>IFERROR(_xlfn.XLOOKUP(F432,ccustos!A:A,ccustos!B:B),"Sem termo")</f>
        <v>Sem termo</v>
      </c>
    </row>
    <row r="433" spans="1:10" ht="25.5" customHeight="1" x14ac:dyDescent="0.25">
      <c r="A433" s="16">
        <v>10641</v>
      </c>
      <c r="B433" s="17" t="s">
        <v>236</v>
      </c>
      <c r="C433" s="17" t="s">
        <v>306</v>
      </c>
      <c r="D433" s="17" t="s">
        <v>539</v>
      </c>
      <c r="E433" s="17" t="s">
        <v>239</v>
      </c>
      <c r="F433" s="17" t="s">
        <v>32</v>
      </c>
      <c r="G433" s="17" t="s">
        <v>308</v>
      </c>
      <c r="H433" s="18">
        <v>310.75</v>
      </c>
      <c r="I433" s="18">
        <v>165.21</v>
      </c>
      <c r="J433" s="7" t="str">
        <f>IFERROR(_xlfn.XLOOKUP(F433,ccustos!A:A,ccustos!B:B),"Sem termo")</f>
        <v>DECONT</v>
      </c>
    </row>
    <row r="434" spans="1:10" ht="36.75" customHeight="1" x14ac:dyDescent="0.25">
      <c r="A434" s="14">
        <v>10642</v>
      </c>
      <c r="B434" s="7" t="s">
        <v>236</v>
      </c>
      <c r="C434" s="7" t="s">
        <v>306</v>
      </c>
      <c r="D434" s="7" t="s">
        <v>540</v>
      </c>
      <c r="E434" s="7" t="s">
        <v>239</v>
      </c>
      <c r="F434" s="7" t="s">
        <v>32</v>
      </c>
      <c r="G434" s="7" t="s">
        <v>463</v>
      </c>
      <c r="H434" s="15">
        <v>1106.01</v>
      </c>
      <c r="I434" s="15">
        <v>180.41</v>
      </c>
      <c r="J434" s="7" t="str">
        <f>IFERROR(_xlfn.XLOOKUP(F434,ccustos!A:A,ccustos!B:B),"Sem termo")</f>
        <v>DECONT</v>
      </c>
    </row>
    <row r="435" spans="1:10" ht="25.5" customHeight="1" x14ac:dyDescent="0.25">
      <c r="A435" s="16">
        <v>10643</v>
      </c>
      <c r="B435" s="17" t="s">
        <v>236</v>
      </c>
      <c r="C435" s="17" t="s">
        <v>241</v>
      </c>
      <c r="D435" s="17" t="s">
        <v>520</v>
      </c>
      <c r="E435" s="17" t="s">
        <v>239</v>
      </c>
      <c r="F435" s="17" t="s">
        <v>26</v>
      </c>
      <c r="G435" s="17" t="s">
        <v>331</v>
      </c>
      <c r="H435" s="18">
        <v>446</v>
      </c>
      <c r="I435" s="18">
        <v>332.24</v>
      </c>
      <c r="J435" s="7" t="str">
        <f>IFERROR(_xlfn.XLOOKUP(F435,ccustos!A:A,ccustos!B:B),"Sem termo")</f>
        <v>COLOG</v>
      </c>
    </row>
    <row r="436" spans="1:10" ht="36.75" customHeight="1" x14ac:dyDescent="0.25">
      <c r="A436" s="14">
        <v>10644</v>
      </c>
      <c r="B436" s="7" t="s">
        <v>236</v>
      </c>
      <c r="C436" s="7" t="s">
        <v>241</v>
      </c>
      <c r="D436" s="7" t="s">
        <v>362</v>
      </c>
      <c r="E436" s="7" t="s">
        <v>239</v>
      </c>
      <c r="F436" s="7" t="s">
        <v>6</v>
      </c>
      <c r="G436" s="7" t="s">
        <v>331</v>
      </c>
      <c r="H436" s="15">
        <v>232</v>
      </c>
      <c r="I436" s="15">
        <v>108.46</v>
      </c>
      <c r="J436" s="7" t="str">
        <f>IFERROR(_xlfn.XLOOKUP(F436,ccustos!A:A,ccustos!B:B),"Sem termo")</f>
        <v>SEPAT</v>
      </c>
    </row>
    <row r="437" spans="1:10" ht="36.75" customHeight="1" x14ac:dyDescent="0.25">
      <c r="A437" s="16">
        <v>10645</v>
      </c>
      <c r="B437" s="17" t="s">
        <v>236</v>
      </c>
      <c r="C437" s="17" t="s">
        <v>241</v>
      </c>
      <c r="D437" s="17" t="s">
        <v>505</v>
      </c>
      <c r="E437" s="17" t="s">
        <v>239</v>
      </c>
      <c r="F437" s="17" t="s">
        <v>205</v>
      </c>
      <c r="G437" s="17" t="s">
        <v>331</v>
      </c>
      <c r="H437" s="18">
        <v>232</v>
      </c>
      <c r="I437" s="18">
        <v>83.15</v>
      </c>
      <c r="J437" s="7" t="str">
        <f>IFERROR(_xlfn.XLOOKUP(F437,ccustos!A:A,ccustos!B:B),"Sem termo")</f>
        <v>CCOM</v>
      </c>
    </row>
    <row r="438" spans="1:10" ht="25.5" customHeight="1" x14ac:dyDescent="0.25">
      <c r="A438" s="14">
        <v>10646</v>
      </c>
      <c r="B438" s="7" t="s">
        <v>236</v>
      </c>
      <c r="C438" s="7" t="s">
        <v>241</v>
      </c>
      <c r="D438" s="7" t="s">
        <v>362</v>
      </c>
      <c r="E438" s="7" t="s">
        <v>239</v>
      </c>
      <c r="F438" s="7" t="s">
        <v>6</v>
      </c>
      <c r="G438" s="7" t="s">
        <v>331</v>
      </c>
      <c r="H438" s="15">
        <v>232</v>
      </c>
      <c r="I438" s="15">
        <v>83.15</v>
      </c>
      <c r="J438" s="7" t="str">
        <f>IFERROR(_xlfn.XLOOKUP(F438,ccustos!A:A,ccustos!B:B),"Sem termo")</f>
        <v>SEPAT</v>
      </c>
    </row>
    <row r="439" spans="1:10" ht="25.5" customHeight="1" x14ac:dyDescent="0.25">
      <c r="A439" s="16">
        <v>10647</v>
      </c>
      <c r="B439" s="17" t="s">
        <v>236</v>
      </c>
      <c r="C439" s="17" t="s">
        <v>241</v>
      </c>
      <c r="D439" s="17" t="s">
        <v>505</v>
      </c>
      <c r="E439" s="17" t="s">
        <v>239</v>
      </c>
      <c r="F439" s="17" t="s">
        <v>60</v>
      </c>
      <c r="G439" s="17" t="s">
        <v>331</v>
      </c>
      <c r="H439" s="18">
        <v>232</v>
      </c>
      <c r="I439" s="18">
        <v>83.15</v>
      </c>
      <c r="J439" s="7" t="str">
        <f>IFERROR(_xlfn.XLOOKUP(F439,ccustos!A:A,ccustos!B:B),"Sem termo")</f>
        <v>DEGEP</v>
      </c>
    </row>
    <row r="440" spans="1:10" ht="25.5" customHeight="1" x14ac:dyDescent="0.25">
      <c r="A440" s="14">
        <v>10648</v>
      </c>
      <c r="B440" s="7" t="s">
        <v>236</v>
      </c>
      <c r="C440" s="7" t="s">
        <v>241</v>
      </c>
      <c r="D440" s="7" t="s">
        <v>362</v>
      </c>
      <c r="E440" s="7" t="s">
        <v>239</v>
      </c>
      <c r="F440" s="7" t="s">
        <v>48</v>
      </c>
      <c r="G440" s="7" t="s">
        <v>339</v>
      </c>
      <c r="H440" s="15">
        <v>238</v>
      </c>
      <c r="I440" s="15">
        <v>141.34</v>
      </c>
      <c r="J440" s="7" t="str">
        <f>IFERROR(_xlfn.XLOOKUP(F440,ccustos!A:A,ccustos!B:B),"Sem termo")</f>
        <v>DEPES</v>
      </c>
    </row>
    <row r="441" spans="1:10" ht="36.75" customHeight="1" x14ac:dyDescent="0.25">
      <c r="A441" s="16">
        <v>10650</v>
      </c>
      <c r="B441" s="17" t="s">
        <v>236</v>
      </c>
      <c r="C441" s="17" t="s">
        <v>241</v>
      </c>
      <c r="D441" s="17" t="s">
        <v>520</v>
      </c>
      <c r="E441" s="17" t="s">
        <v>239</v>
      </c>
      <c r="F441" s="17" t="s">
        <v>54</v>
      </c>
      <c r="G441" s="17" t="s">
        <v>331</v>
      </c>
      <c r="H441" s="18">
        <v>646</v>
      </c>
      <c r="I441" s="18">
        <v>317.83</v>
      </c>
      <c r="J441" s="7" t="str">
        <f>IFERROR(_xlfn.XLOOKUP(F441,ccustos!A:A,ccustos!B:B),"Sem termo")</f>
        <v>DEFIN</v>
      </c>
    </row>
    <row r="442" spans="1:10" ht="36.75" customHeight="1" x14ac:dyDescent="0.25">
      <c r="A442" s="14">
        <v>10651</v>
      </c>
      <c r="B442" s="7" t="s">
        <v>236</v>
      </c>
      <c r="C442" s="7" t="s">
        <v>241</v>
      </c>
      <c r="D442" s="7" t="s">
        <v>541</v>
      </c>
      <c r="E442" s="7" t="s">
        <v>239</v>
      </c>
      <c r="F442" s="7" t="s">
        <v>205</v>
      </c>
      <c r="G442" s="7" t="s">
        <v>331</v>
      </c>
      <c r="H442" s="15">
        <v>646</v>
      </c>
      <c r="I442" s="15">
        <v>372.35</v>
      </c>
      <c r="J442" s="7" t="str">
        <f>IFERROR(_xlfn.XLOOKUP(F442,ccustos!A:A,ccustos!B:B),"Sem termo")</f>
        <v>CCOM</v>
      </c>
    </row>
    <row r="443" spans="1:10" ht="36.75" customHeight="1" x14ac:dyDescent="0.25">
      <c r="A443" s="16">
        <v>10652</v>
      </c>
      <c r="B443" s="17" t="s">
        <v>236</v>
      </c>
      <c r="C443" s="17" t="s">
        <v>241</v>
      </c>
      <c r="D443" s="17" t="s">
        <v>520</v>
      </c>
      <c r="E443" s="17" t="s">
        <v>239</v>
      </c>
      <c r="F443" s="17" t="s">
        <v>205</v>
      </c>
      <c r="G443" s="17" t="s">
        <v>331</v>
      </c>
      <c r="H443" s="18">
        <v>446</v>
      </c>
      <c r="I443" s="18">
        <v>426.86</v>
      </c>
      <c r="J443" s="7" t="str">
        <f>IFERROR(_xlfn.XLOOKUP(F443,ccustos!A:A,ccustos!B:B),"Sem termo")</f>
        <v>CCOM</v>
      </c>
    </row>
    <row r="444" spans="1:10" ht="36.75" customHeight="1" x14ac:dyDescent="0.25">
      <c r="A444" s="14">
        <v>10654</v>
      </c>
      <c r="B444" s="7" t="s">
        <v>236</v>
      </c>
      <c r="C444" s="7" t="s">
        <v>337</v>
      </c>
      <c r="D444" s="7" t="s">
        <v>346</v>
      </c>
      <c r="E444" s="7" t="s">
        <v>239</v>
      </c>
      <c r="F444" s="7" t="s">
        <v>27</v>
      </c>
      <c r="G444" s="7" t="s">
        <v>331</v>
      </c>
      <c r="H444" s="15">
        <v>298</v>
      </c>
      <c r="I444" s="15">
        <v>226.77</v>
      </c>
      <c r="J444" s="7" t="str">
        <f>IFERROR(_xlfn.XLOOKUP(F444,ccustos!A:A,ccustos!B:B),"Sem termo")</f>
        <v>CCI</v>
      </c>
    </row>
    <row r="445" spans="1:10" ht="36.75" customHeight="1" x14ac:dyDescent="0.25">
      <c r="A445" s="16">
        <v>10655</v>
      </c>
      <c r="B445" s="17" t="s">
        <v>236</v>
      </c>
      <c r="C445" s="17" t="s">
        <v>237</v>
      </c>
      <c r="D445" s="17" t="s">
        <v>542</v>
      </c>
      <c r="E445" s="17" t="s">
        <v>239</v>
      </c>
      <c r="F445" s="17" t="s">
        <v>0</v>
      </c>
      <c r="G445" s="17" t="s">
        <v>280</v>
      </c>
      <c r="H445" s="18">
        <v>565.46</v>
      </c>
      <c r="I445" s="18">
        <v>173.7</v>
      </c>
      <c r="J445" s="7" t="str">
        <f>IFERROR(_xlfn.XLOOKUP(F445,ccustos!A:A,ccustos!B:B),"Sem termo")</f>
        <v>SEPAT</v>
      </c>
    </row>
    <row r="446" spans="1:10" ht="25.5" customHeight="1" x14ac:dyDescent="0.25">
      <c r="A446" s="14">
        <v>10658</v>
      </c>
      <c r="B446" s="7" t="s">
        <v>236</v>
      </c>
      <c r="C446" s="7" t="s">
        <v>337</v>
      </c>
      <c r="D446" s="7" t="s">
        <v>543</v>
      </c>
      <c r="E446" s="7" t="s">
        <v>239</v>
      </c>
      <c r="F446" s="7" t="s">
        <v>32</v>
      </c>
      <c r="G446" s="7" t="s">
        <v>331</v>
      </c>
      <c r="H446" s="15">
        <v>298</v>
      </c>
      <c r="I446" s="15">
        <v>226.77</v>
      </c>
      <c r="J446" s="7" t="str">
        <f>IFERROR(_xlfn.XLOOKUP(F446,ccustos!A:A,ccustos!B:B),"Sem termo")</f>
        <v>DECONT</v>
      </c>
    </row>
    <row r="447" spans="1:10" ht="36.75" customHeight="1" x14ac:dyDescent="0.25">
      <c r="A447" s="16">
        <v>10659</v>
      </c>
      <c r="B447" s="17" t="s">
        <v>236</v>
      </c>
      <c r="C447" s="17" t="s">
        <v>337</v>
      </c>
      <c r="D447" s="17" t="s">
        <v>543</v>
      </c>
      <c r="E447" s="17" t="s">
        <v>239</v>
      </c>
      <c r="F447" s="17" t="s">
        <v>6</v>
      </c>
      <c r="G447" s="17" t="s">
        <v>331</v>
      </c>
      <c r="H447" s="18">
        <v>298</v>
      </c>
      <c r="I447" s="18">
        <v>226.77</v>
      </c>
      <c r="J447" s="7" t="str">
        <f>IFERROR(_xlfn.XLOOKUP(F447,ccustos!A:A,ccustos!B:B),"Sem termo")</f>
        <v>SEPAT</v>
      </c>
    </row>
    <row r="448" spans="1:10" ht="36.75" customHeight="1" x14ac:dyDescent="0.25">
      <c r="A448" s="14">
        <v>10660</v>
      </c>
      <c r="B448" s="7" t="s">
        <v>236</v>
      </c>
      <c r="C448" s="7" t="s">
        <v>337</v>
      </c>
      <c r="D448" s="7" t="s">
        <v>376</v>
      </c>
      <c r="E448" s="7" t="s">
        <v>239</v>
      </c>
      <c r="F448" s="7" t="s">
        <v>185</v>
      </c>
      <c r="G448" s="7" t="s">
        <v>544</v>
      </c>
      <c r="H448" s="15">
        <v>0.05</v>
      </c>
      <c r="I448" s="15">
        <v>498</v>
      </c>
      <c r="J448" s="7" t="str">
        <f>IFERROR(_xlfn.XLOOKUP(F448,ccustos!A:A,ccustos!B:B),"Sem termo")</f>
        <v>CGGE</v>
      </c>
    </row>
    <row r="449" spans="1:10" ht="25.5" customHeight="1" x14ac:dyDescent="0.25">
      <c r="A449" s="16">
        <v>10661</v>
      </c>
      <c r="B449" s="17" t="s">
        <v>236</v>
      </c>
      <c r="C449" s="17" t="s">
        <v>337</v>
      </c>
      <c r="D449" s="17" t="s">
        <v>543</v>
      </c>
      <c r="E449" s="17" t="s">
        <v>239</v>
      </c>
      <c r="F449" s="17" t="s">
        <v>54</v>
      </c>
      <c r="G449" s="17" t="s">
        <v>331</v>
      </c>
      <c r="H449" s="18">
        <v>298</v>
      </c>
      <c r="I449" s="18">
        <v>226.77</v>
      </c>
      <c r="J449" s="7" t="str">
        <f>IFERROR(_xlfn.XLOOKUP(F449,ccustos!A:A,ccustos!B:B),"Sem termo")</f>
        <v>DEFIN</v>
      </c>
    </row>
    <row r="450" spans="1:10" ht="36.75" customHeight="1" x14ac:dyDescent="0.25">
      <c r="A450" s="14">
        <v>10663</v>
      </c>
      <c r="B450" s="7" t="s">
        <v>236</v>
      </c>
      <c r="C450" s="7" t="s">
        <v>241</v>
      </c>
      <c r="D450" s="7" t="s">
        <v>545</v>
      </c>
      <c r="E450" s="7" t="s">
        <v>239</v>
      </c>
      <c r="F450" s="7" t="s">
        <v>32</v>
      </c>
      <c r="G450" s="7" t="s">
        <v>546</v>
      </c>
      <c r="H450" s="15">
        <v>3283.33</v>
      </c>
      <c r="I450" s="15">
        <v>1571.67</v>
      </c>
      <c r="J450" s="7" t="str">
        <f>IFERROR(_xlfn.XLOOKUP(F450,ccustos!A:A,ccustos!B:B),"Sem termo")</f>
        <v>DECONT</v>
      </c>
    </row>
    <row r="451" spans="1:10" ht="36.75" customHeight="1" x14ac:dyDescent="0.25">
      <c r="A451" s="16">
        <v>10664</v>
      </c>
      <c r="B451" s="17" t="s">
        <v>236</v>
      </c>
      <c r="C451" s="17" t="s">
        <v>241</v>
      </c>
      <c r="D451" s="17" t="s">
        <v>547</v>
      </c>
      <c r="E451" s="17" t="s">
        <v>239</v>
      </c>
      <c r="F451" s="17" t="s">
        <v>32</v>
      </c>
      <c r="G451" s="17" t="s">
        <v>308</v>
      </c>
      <c r="H451" s="18">
        <v>695.75</v>
      </c>
      <c r="I451" s="18">
        <v>297.37</v>
      </c>
      <c r="J451" s="7" t="str">
        <f>IFERROR(_xlfn.XLOOKUP(F451,ccustos!A:A,ccustos!B:B),"Sem termo")</f>
        <v>DECONT</v>
      </c>
    </row>
    <row r="452" spans="1:10" ht="25.5" customHeight="1" x14ac:dyDescent="0.25">
      <c r="A452" s="14">
        <v>10665</v>
      </c>
      <c r="B452" s="7" t="s">
        <v>236</v>
      </c>
      <c r="C452" s="7" t="s">
        <v>306</v>
      </c>
      <c r="D452" s="7" t="s">
        <v>548</v>
      </c>
      <c r="E452" s="7" t="s">
        <v>239</v>
      </c>
      <c r="F452" s="7" t="s">
        <v>32</v>
      </c>
      <c r="G452" s="7" t="s">
        <v>339</v>
      </c>
      <c r="H452" s="15">
        <v>238.22</v>
      </c>
      <c r="I452" s="15">
        <v>451.3</v>
      </c>
      <c r="J452" s="7" t="str">
        <f>IFERROR(_xlfn.XLOOKUP(F452,ccustos!A:A,ccustos!B:B),"Sem termo")</f>
        <v>DECONT</v>
      </c>
    </row>
    <row r="453" spans="1:10" ht="36.75" customHeight="1" x14ac:dyDescent="0.25">
      <c r="A453" s="16">
        <v>10666</v>
      </c>
      <c r="B453" s="17" t="s">
        <v>236</v>
      </c>
      <c r="C453" s="17" t="s">
        <v>306</v>
      </c>
      <c r="D453" s="17" t="s">
        <v>549</v>
      </c>
      <c r="E453" s="17" t="s">
        <v>239</v>
      </c>
      <c r="F453" s="17" t="s">
        <v>37</v>
      </c>
      <c r="G453" s="17" t="s">
        <v>331</v>
      </c>
      <c r="H453" s="18">
        <v>509</v>
      </c>
      <c r="I453" s="18">
        <v>765.23</v>
      </c>
      <c r="J453" s="7" t="str">
        <f>IFERROR(_xlfn.XLOOKUP(F453,ccustos!A:A,ccustos!B:B),"Sem termo")</f>
        <v>PROJUR</v>
      </c>
    </row>
    <row r="454" spans="1:10" ht="25.5" customHeight="1" x14ac:dyDescent="0.25">
      <c r="A454" s="14">
        <v>10668</v>
      </c>
      <c r="B454" s="7" t="s">
        <v>236</v>
      </c>
      <c r="C454" s="7" t="s">
        <v>237</v>
      </c>
      <c r="D454" s="7" t="s">
        <v>372</v>
      </c>
      <c r="E454" s="7" t="s">
        <v>239</v>
      </c>
      <c r="F454" s="7" t="s">
        <v>0</v>
      </c>
      <c r="G454" s="7" t="s">
        <v>343</v>
      </c>
      <c r="H454" s="15">
        <v>292.58</v>
      </c>
      <c r="I454" s="15">
        <v>149.01</v>
      </c>
      <c r="J454" s="7" t="str">
        <f>IFERROR(_xlfn.XLOOKUP(F454,ccustos!A:A,ccustos!B:B),"Sem termo")</f>
        <v>SEPAT</v>
      </c>
    </row>
    <row r="455" spans="1:10" ht="25.5" customHeight="1" x14ac:dyDescent="0.25">
      <c r="A455" s="16">
        <v>10669</v>
      </c>
      <c r="B455" s="17" t="s">
        <v>236</v>
      </c>
      <c r="C455" s="17" t="s">
        <v>237</v>
      </c>
      <c r="D455" s="17" t="s">
        <v>372</v>
      </c>
      <c r="E455" s="17" t="s">
        <v>239</v>
      </c>
      <c r="F455" s="17" t="s">
        <v>303</v>
      </c>
      <c r="G455" s="17" t="s">
        <v>280</v>
      </c>
      <c r="H455" s="18">
        <v>310.76</v>
      </c>
      <c r="I455" s="18">
        <v>149.01</v>
      </c>
      <c r="J455" s="7" t="str">
        <f>IFERROR(_xlfn.XLOOKUP(F455,ccustos!A:A,ccustos!B:B),"Sem termo")</f>
        <v>Sem termo</v>
      </c>
    </row>
    <row r="456" spans="1:10" ht="36.75" customHeight="1" x14ac:dyDescent="0.25">
      <c r="A456" s="14">
        <v>10671</v>
      </c>
      <c r="B456" s="7" t="s">
        <v>236</v>
      </c>
      <c r="C456" s="7" t="s">
        <v>237</v>
      </c>
      <c r="D456" s="7" t="s">
        <v>550</v>
      </c>
      <c r="E456" s="7" t="s">
        <v>239</v>
      </c>
      <c r="F456" s="7" t="s">
        <v>0</v>
      </c>
      <c r="G456" s="7" t="s">
        <v>305</v>
      </c>
      <c r="H456" s="15">
        <v>603.9</v>
      </c>
      <c r="I456" s="15">
        <v>173.7</v>
      </c>
      <c r="J456" s="7" t="str">
        <f>IFERROR(_xlfn.XLOOKUP(F456,ccustos!A:A,ccustos!B:B),"Sem termo")</f>
        <v>SEPAT</v>
      </c>
    </row>
    <row r="457" spans="1:10" ht="25.5" customHeight="1" x14ac:dyDescent="0.25">
      <c r="A457" s="16">
        <v>10673</v>
      </c>
      <c r="B457" s="17" t="s">
        <v>236</v>
      </c>
      <c r="C457" s="17" t="s">
        <v>337</v>
      </c>
      <c r="D457" s="17" t="s">
        <v>376</v>
      </c>
      <c r="E457" s="17" t="s">
        <v>239</v>
      </c>
      <c r="F457" s="17" t="s">
        <v>54</v>
      </c>
      <c r="G457" s="17" t="s">
        <v>331</v>
      </c>
      <c r="H457" s="18">
        <v>298</v>
      </c>
      <c r="I457" s="18">
        <v>213.43</v>
      </c>
      <c r="J457" s="7" t="str">
        <f>IFERROR(_xlfn.XLOOKUP(F457,ccustos!A:A,ccustos!B:B),"Sem termo")</f>
        <v>DEFIN</v>
      </c>
    </row>
    <row r="458" spans="1:10" ht="25.5" customHeight="1" x14ac:dyDescent="0.25">
      <c r="A458" s="14">
        <v>10674</v>
      </c>
      <c r="B458" s="7" t="s">
        <v>236</v>
      </c>
      <c r="C458" s="7" t="s">
        <v>337</v>
      </c>
      <c r="D458" s="7" t="s">
        <v>376</v>
      </c>
      <c r="E458" s="7" t="s">
        <v>239</v>
      </c>
      <c r="F458" s="7" t="s">
        <v>54</v>
      </c>
      <c r="G458" s="7" t="s">
        <v>331</v>
      </c>
      <c r="H458" s="15">
        <v>298</v>
      </c>
      <c r="I458" s="15">
        <v>213.43</v>
      </c>
      <c r="J458" s="7" t="str">
        <f>IFERROR(_xlfn.XLOOKUP(F458,ccustos!A:A,ccustos!B:B),"Sem termo")</f>
        <v>DEFIN</v>
      </c>
    </row>
    <row r="459" spans="1:10" ht="25.5" customHeight="1" x14ac:dyDescent="0.25">
      <c r="A459" s="16">
        <v>10675</v>
      </c>
      <c r="B459" s="17" t="s">
        <v>236</v>
      </c>
      <c r="C459" s="17" t="s">
        <v>337</v>
      </c>
      <c r="D459" s="17" t="s">
        <v>551</v>
      </c>
      <c r="E459" s="17" t="s">
        <v>239</v>
      </c>
      <c r="F459" s="17" t="s">
        <v>32</v>
      </c>
      <c r="G459" s="17" t="s">
        <v>552</v>
      </c>
      <c r="H459" s="18">
        <v>179199.84</v>
      </c>
      <c r="I459" s="18">
        <v>213.43</v>
      </c>
      <c r="J459" s="7" t="str">
        <f>IFERROR(_xlfn.XLOOKUP(F459,ccustos!A:A,ccustos!B:B),"Sem termo")</f>
        <v>DECONT</v>
      </c>
    </row>
    <row r="460" spans="1:10" ht="36.75" customHeight="1" x14ac:dyDescent="0.25">
      <c r="A460" s="14">
        <v>10676</v>
      </c>
      <c r="B460" s="7" t="s">
        <v>236</v>
      </c>
      <c r="C460" s="7" t="s">
        <v>337</v>
      </c>
      <c r="D460" s="7" t="s">
        <v>376</v>
      </c>
      <c r="E460" s="7" t="s">
        <v>239</v>
      </c>
      <c r="F460" s="7" t="s">
        <v>54</v>
      </c>
      <c r="G460" s="7" t="s">
        <v>553</v>
      </c>
      <c r="H460" s="15">
        <v>163.65</v>
      </c>
      <c r="I460" s="15">
        <v>213.43</v>
      </c>
      <c r="J460" s="7" t="str">
        <f>IFERROR(_xlfn.XLOOKUP(F460,ccustos!A:A,ccustos!B:B),"Sem termo")</f>
        <v>DEFIN</v>
      </c>
    </row>
    <row r="461" spans="1:10" ht="36.75" customHeight="1" x14ac:dyDescent="0.25">
      <c r="A461" s="16">
        <v>10678</v>
      </c>
      <c r="B461" s="17" t="s">
        <v>236</v>
      </c>
      <c r="C461" s="17" t="s">
        <v>333</v>
      </c>
      <c r="D461" s="17" t="s">
        <v>554</v>
      </c>
      <c r="E461" s="17" t="s">
        <v>335</v>
      </c>
      <c r="F461" s="17" t="s">
        <v>8</v>
      </c>
      <c r="G461" s="17" t="s">
        <v>348</v>
      </c>
      <c r="H461" s="18">
        <v>618.41999999999996</v>
      </c>
      <c r="I461" s="18">
        <v>125.33</v>
      </c>
      <c r="J461" s="7" t="str">
        <f>IFERROR(_xlfn.XLOOKUP(F461,ccustos!A:A,ccustos!B:B),"Sem termo")</f>
        <v>DEINFRA</v>
      </c>
    </row>
    <row r="462" spans="1:10" ht="36.75" customHeight="1" x14ac:dyDescent="0.25">
      <c r="A462" s="14">
        <v>10680</v>
      </c>
      <c r="B462" s="7" t="s">
        <v>236</v>
      </c>
      <c r="C462" s="7" t="s">
        <v>333</v>
      </c>
      <c r="D462" s="7" t="s">
        <v>555</v>
      </c>
      <c r="E462" s="7" t="s">
        <v>335</v>
      </c>
      <c r="F462" s="7" t="s">
        <v>20</v>
      </c>
      <c r="G462" s="7" t="s">
        <v>348</v>
      </c>
      <c r="H462" s="15">
        <v>618.41999999999996</v>
      </c>
      <c r="I462" s="15">
        <v>138.76</v>
      </c>
      <c r="J462" s="7" t="str">
        <f>IFERROR(_xlfn.XLOOKUP(F462,ccustos!A:A,ccustos!B:B),"Sem termo")</f>
        <v>CGTI</v>
      </c>
    </row>
    <row r="463" spans="1:10" ht="36.75" customHeight="1" x14ac:dyDescent="0.25">
      <c r="A463" s="16">
        <v>10684</v>
      </c>
      <c r="B463" s="17" t="s">
        <v>236</v>
      </c>
      <c r="C463" s="17" t="s">
        <v>313</v>
      </c>
      <c r="D463" s="17" t="s">
        <v>556</v>
      </c>
      <c r="E463" s="17" t="s">
        <v>250</v>
      </c>
      <c r="F463" s="17" t="s">
        <v>211</v>
      </c>
      <c r="G463" s="17" t="s">
        <v>315</v>
      </c>
      <c r="H463" s="18">
        <v>620</v>
      </c>
      <c r="I463" s="18">
        <v>196.91</v>
      </c>
      <c r="J463" s="7" t="str">
        <f>IFERROR(_xlfn.XLOOKUP(F463,ccustos!A:A,ccustos!B:B),"Sem termo")</f>
        <v>DIGEO</v>
      </c>
    </row>
    <row r="464" spans="1:10" ht="14.25" customHeight="1" x14ac:dyDescent="0.25">
      <c r="A464" s="14">
        <v>10691</v>
      </c>
      <c r="B464" s="7" t="s">
        <v>236</v>
      </c>
      <c r="C464" s="7" t="s">
        <v>313</v>
      </c>
      <c r="D464" s="7" t="s">
        <v>557</v>
      </c>
      <c r="E464" s="7" t="s">
        <v>250</v>
      </c>
      <c r="F464" s="7" t="s">
        <v>32</v>
      </c>
      <c r="G464" s="7" t="s">
        <v>315</v>
      </c>
      <c r="H464" s="15">
        <v>620</v>
      </c>
      <c r="I464" s="15">
        <v>196.91</v>
      </c>
      <c r="J464" s="7" t="str">
        <f>IFERROR(_xlfn.XLOOKUP(F464,ccustos!A:A,ccustos!B:B),"Sem termo")</f>
        <v>DECONT</v>
      </c>
    </row>
    <row r="465" spans="1:10" ht="36.75" customHeight="1" x14ac:dyDescent="0.25">
      <c r="A465" s="16">
        <v>10697</v>
      </c>
      <c r="B465" s="17" t="s">
        <v>236</v>
      </c>
      <c r="C465" s="17" t="s">
        <v>306</v>
      </c>
      <c r="D465" s="17" t="s">
        <v>369</v>
      </c>
      <c r="E465" s="17" t="s">
        <v>239</v>
      </c>
      <c r="F465" s="17" t="s">
        <v>54</v>
      </c>
      <c r="G465" s="17" t="s">
        <v>345</v>
      </c>
      <c r="H465" s="18">
        <v>447.96</v>
      </c>
      <c r="I465" s="18">
        <v>180.41</v>
      </c>
      <c r="J465" s="7" t="str">
        <f>IFERROR(_xlfn.XLOOKUP(F465,ccustos!A:A,ccustos!B:B),"Sem termo")</f>
        <v>DEFIN</v>
      </c>
    </row>
    <row r="466" spans="1:10" ht="25.5" customHeight="1" x14ac:dyDescent="0.25">
      <c r="A466" s="14">
        <v>10699</v>
      </c>
      <c r="B466" s="7" t="s">
        <v>236</v>
      </c>
      <c r="C466" s="7" t="s">
        <v>306</v>
      </c>
      <c r="D466" s="7" t="s">
        <v>307</v>
      </c>
      <c r="E466" s="7" t="s">
        <v>239</v>
      </c>
      <c r="F466" s="7" t="s">
        <v>54</v>
      </c>
      <c r="G466" s="7" t="s">
        <v>289</v>
      </c>
      <c r="H466" s="15">
        <v>287.67</v>
      </c>
      <c r="I466" s="15">
        <v>151.19999999999999</v>
      </c>
      <c r="J466" s="7" t="str">
        <f>IFERROR(_xlfn.XLOOKUP(F466,ccustos!A:A,ccustos!B:B),"Sem termo")</f>
        <v>DEFIN</v>
      </c>
    </row>
    <row r="467" spans="1:10" ht="25.5" customHeight="1" x14ac:dyDescent="0.25">
      <c r="A467" s="16">
        <v>10701</v>
      </c>
      <c r="B467" s="17" t="s">
        <v>236</v>
      </c>
      <c r="C467" s="17" t="s">
        <v>471</v>
      </c>
      <c r="D467" s="17" t="s">
        <v>558</v>
      </c>
      <c r="E467" s="17" t="s">
        <v>250</v>
      </c>
      <c r="F467" s="17" t="s">
        <v>6</v>
      </c>
      <c r="G467" s="17" t="s">
        <v>375</v>
      </c>
      <c r="H467" s="18">
        <v>630</v>
      </c>
      <c r="I467" s="18">
        <v>250.27</v>
      </c>
      <c r="J467" s="7" t="str">
        <f>IFERROR(_xlfn.XLOOKUP(F467,ccustos!A:A,ccustos!B:B),"Sem termo")</f>
        <v>SEPAT</v>
      </c>
    </row>
    <row r="468" spans="1:10" ht="25.5" customHeight="1" x14ac:dyDescent="0.25">
      <c r="A468" s="14">
        <v>10702</v>
      </c>
      <c r="B468" s="7" t="s">
        <v>236</v>
      </c>
      <c r="C468" s="7" t="s">
        <v>306</v>
      </c>
      <c r="D468" s="7" t="s">
        <v>559</v>
      </c>
      <c r="E468" s="7" t="s">
        <v>239</v>
      </c>
      <c r="F468" s="7" t="s">
        <v>47</v>
      </c>
      <c r="G468" s="7" t="s">
        <v>463</v>
      </c>
      <c r="H468" s="15">
        <v>1106.05</v>
      </c>
      <c r="I468" s="15">
        <v>164.93</v>
      </c>
      <c r="J468" s="7" t="str">
        <f>IFERROR(_xlfn.XLOOKUP(F468,ccustos!A:A,ccustos!B:B),"Sem termo")</f>
        <v>CDPROF</v>
      </c>
    </row>
    <row r="469" spans="1:10" ht="36.75" customHeight="1" x14ac:dyDescent="0.25">
      <c r="A469" s="16">
        <v>10703</v>
      </c>
      <c r="B469" s="17" t="s">
        <v>236</v>
      </c>
      <c r="C469" s="17" t="s">
        <v>237</v>
      </c>
      <c r="D469" s="17" t="s">
        <v>560</v>
      </c>
      <c r="E469" s="17" t="s">
        <v>239</v>
      </c>
      <c r="F469" s="17" t="s">
        <v>205</v>
      </c>
      <c r="G469" s="17" t="s">
        <v>305</v>
      </c>
      <c r="H469" s="18">
        <v>284.27999999999997</v>
      </c>
      <c r="I469" s="18">
        <v>173.7</v>
      </c>
      <c r="J469" s="7" t="str">
        <f>IFERROR(_xlfn.XLOOKUP(F469,ccustos!A:A,ccustos!B:B),"Sem termo")</f>
        <v>CCOM</v>
      </c>
    </row>
    <row r="470" spans="1:10" ht="36.75" customHeight="1" x14ac:dyDescent="0.25">
      <c r="A470" s="14">
        <v>10704</v>
      </c>
      <c r="B470" s="7" t="s">
        <v>236</v>
      </c>
      <c r="C470" s="7" t="s">
        <v>237</v>
      </c>
      <c r="D470" s="7" t="s">
        <v>561</v>
      </c>
      <c r="E470" s="7" t="s">
        <v>239</v>
      </c>
      <c r="F470" s="7" t="s">
        <v>0</v>
      </c>
      <c r="G470" s="7" t="s">
        <v>278</v>
      </c>
      <c r="H470" s="15">
        <v>201.3</v>
      </c>
      <c r="I470" s="15">
        <v>173.7</v>
      </c>
      <c r="J470" s="7" t="str">
        <f>IFERROR(_xlfn.XLOOKUP(F470,ccustos!A:A,ccustos!B:B),"Sem termo")</f>
        <v>SEPAT</v>
      </c>
    </row>
    <row r="471" spans="1:10" ht="25.5" customHeight="1" x14ac:dyDescent="0.25">
      <c r="A471" s="16">
        <v>10705</v>
      </c>
      <c r="B471" s="17" t="s">
        <v>236</v>
      </c>
      <c r="C471" s="17" t="s">
        <v>237</v>
      </c>
      <c r="D471" s="17" t="s">
        <v>562</v>
      </c>
      <c r="E471" s="17" t="s">
        <v>239</v>
      </c>
      <c r="F471" s="17" t="s">
        <v>62</v>
      </c>
      <c r="G471" s="17" t="s">
        <v>280</v>
      </c>
      <c r="H471" s="18">
        <v>236.14</v>
      </c>
      <c r="I471" s="18">
        <v>173.7</v>
      </c>
      <c r="J471" s="7" t="str">
        <f>IFERROR(_xlfn.XLOOKUP(F471,ccustos!A:A,ccustos!B:B),"Sem termo")</f>
        <v>SETRAN</v>
      </c>
    </row>
    <row r="472" spans="1:10" ht="25.5" customHeight="1" x14ac:dyDescent="0.25">
      <c r="A472" s="14">
        <v>10706</v>
      </c>
      <c r="B472" s="7" t="s">
        <v>236</v>
      </c>
      <c r="C472" s="7" t="s">
        <v>237</v>
      </c>
      <c r="D472" s="7" t="s">
        <v>563</v>
      </c>
      <c r="E472" s="7" t="s">
        <v>239</v>
      </c>
      <c r="F472" s="7" t="s">
        <v>0</v>
      </c>
      <c r="G472" s="7" t="s">
        <v>280</v>
      </c>
      <c r="H472" s="15">
        <v>236.14</v>
      </c>
      <c r="I472" s="15">
        <v>173.7</v>
      </c>
      <c r="J472" s="7" t="str">
        <f>IFERROR(_xlfn.XLOOKUP(F472,ccustos!A:A,ccustos!B:B),"Sem termo")</f>
        <v>SEPAT</v>
      </c>
    </row>
    <row r="473" spans="1:10" ht="25.5" customHeight="1" x14ac:dyDescent="0.25">
      <c r="A473" s="16">
        <v>10707</v>
      </c>
      <c r="B473" s="17" t="s">
        <v>236</v>
      </c>
      <c r="C473" s="17" t="s">
        <v>241</v>
      </c>
      <c r="D473" s="17" t="s">
        <v>564</v>
      </c>
      <c r="E473" s="17" t="s">
        <v>239</v>
      </c>
      <c r="F473" s="17" t="s">
        <v>185</v>
      </c>
      <c r="G473" s="17" t="s">
        <v>331</v>
      </c>
      <c r="H473" s="18">
        <v>369</v>
      </c>
      <c r="I473" s="18">
        <v>141.57</v>
      </c>
      <c r="J473" s="7" t="str">
        <f>IFERROR(_xlfn.XLOOKUP(F473,ccustos!A:A,ccustos!B:B),"Sem termo")</f>
        <v>CGGE</v>
      </c>
    </row>
    <row r="474" spans="1:10" ht="36.75" customHeight="1" x14ac:dyDescent="0.25">
      <c r="A474" s="14">
        <v>10709</v>
      </c>
      <c r="B474" s="7" t="s">
        <v>236</v>
      </c>
      <c r="C474" s="7" t="s">
        <v>237</v>
      </c>
      <c r="D474" s="7" t="s">
        <v>560</v>
      </c>
      <c r="E474" s="7" t="s">
        <v>239</v>
      </c>
      <c r="F474" s="7" t="s">
        <v>0</v>
      </c>
      <c r="G474" s="7" t="s">
        <v>280</v>
      </c>
      <c r="H474" s="15">
        <v>236.15</v>
      </c>
      <c r="I474" s="15">
        <v>173.7</v>
      </c>
      <c r="J474" s="7" t="str">
        <f>IFERROR(_xlfn.XLOOKUP(F474,ccustos!A:A,ccustos!B:B),"Sem termo")</f>
        <v>SEPAT</v>
      </c>
    </row>
    <row r="475" spans="1:10" ht="36.75" customHeight="1" x14ac:dyDescent="0.25">
      <c r="A475" s="16">
        <v>10710</v>
      </c>
      <c r="B475" s="17" t="s">
        <v>236</v>
      </c>
      <c r="C475" s="17" t="s">
        <v>241</v>
      </c>
      <c r="D475" s="17" t="s">
        <v>565</v>
      </c>
      <c r="E475" s="17" t="s">
        <v>239</v>
      </c>
      <c r="F475" s="17" t="s">
        <v>205</v>
      </c>
      <c r="G475" s="17" t="s">
        <v>375</v>
      </c>
      <c r="H475" s="18">
        <v>125</v>
      </c>
      <c r="I475" s="18">
        <v>376.92</v>
      </c>
      <c r="J475" s="7" t="str">
        <f>IFERROR(_xlfn.XLOOKUP(F475,ccustos!A:A,ccustos!B:B),"Sem termo")</f>
        <v>CCOM</v>
      </c>
    </row>
    <row r="476" spans="1:10" ht="25.5" customHeight="1" x14ac:dyDescent="0.25">
      <c r="A476" s="14">
        <v>10711</v>
      </c>
      <c r="B476" s="7" t="s">
        <v>236</v>
      </c>
      <c r="C476" s="7" t="s">
        <v>306</v>
      </c>
      <c r="D476" s="7" t="s">
        <v>363</v>
      </c>
      <c r="E476" s="7" t="s">
        <v>239</v>
      </c>
      <c r="F476" s="7" t="s">
        <v>47</v>
      </c>
      <c r="G476" s="7" t="s">
        <v>331</v>
      </c>
      <c r="H476" s="15">
        <v>731</v>
      </c>
      <c r="I476" s="15">
        <v>154.72999999999999</v>
      </c>
      <c r="J476" s="7" t="str">
        <f>IFERROR(_xlfn.XLOOKUP(F476,ccustos!A:A,ccustos!B:B),"Sem termo")</f>
        <v>CDPROF</v>
      </c>
    </row>
    <row r="477" spans="1:10" ht="36.75" customHeight="1" x14ac:dyDescent="0.25">
      <c r="A477" s="16">
        <v>10712</v>
      </c>
      <c r="B477" s="17" t="s">
        <v>236</v>
      </c>
      <c r="C477" s="17" t="s">
        <v>306</v>
      </c>
      <c r="D477" s="17" t="s">
        <v>566</v>
      </c>
      <c r="E477" s="17" t="s">
        <v>239</v>
      </c>
      <c r="F477" s="17" t="s">
        <v>47</v>
      </c>
      <c r="G477" s="17" t="s">
        <v>331</v>
      </c>
      <c r="H477" s="18">
        <v>339</v>
      </c>
      <c r="I477" s="18">
        <v>194.17</v>
      </c>
      <c r="J477" s="7" t="str">
        <f>IFERROR(_xlfn.XLOOKUP(F477,ccustos!A:A,ccustos!B:B),"Sem termo")</f>
        <v>CDPROF</v>
      </c>
    </row>
    <row r="478" spans="1:10" ht="36.75" customHeight="1" x14ac:dyDescent="0.25">
      <c r="A478" s="14">
        <v>10713</v>
      </c>
      <c r="B478" s="7" t="s">
        <v>236</v>
      </c>
      <c r="C478" s="7" t="s">
        <v>306</v>
      </c>
      <c r="D478" s="7" t="s">
        <v>567</v>
      </c>
      <c r="E478" s="7" t="s">
        <v>239</v>
      </c>
      <c r="F478" s="7" t="s">
        <v>47</v>
      </c>
      <c r="G478" s="7" t="s">
        <v>331</v>
      </c>
      <c r="H478" s="15">
        <v>791</v>
      </c>
      <c r="I478" s="15">
        <v>164.93</v>
      </c>
      <c r="J478" s="7" t="str">
        <f>IFERROR(_xlfn.XLOOKUP(F478,ccustos!A:A,ccustos!B:B),"Sem termo")</f>
        <v>CDPROF</v>
      </c>
    </row>
    <row r="479" spans="1:10" ht="36.75" customHeight="1" x14ac:dyDescent="0.25">
      <c r="A479" s="16">
        <v>10714</v>
      </c>
      <c r="B479" s="17" t="s">
        <v>236</v>
      </c>
      <c r="C479" s="17" t="s">
        <v>306</v>
      </c>
      <c r="D479" s="17" t="s">
        <v>566</v>
      </c>
      <c r="E479" s="17" t="s">
        <v>239</v>
      </c>
      <c r="F479" s="17" t="s">
        <v>47</v>
      </c>
      <c r="G479" s="17" t="s">
        <v>331</v>
      </c>
      <c r="H479" s="18">
        <v>339</v>
      </c>
      <c r="I479" s="18">
        <v>142.58000000000001</v>
      </c>
      <c r="J479" s="7" t="str">
        <f>IFERROR(_xlfn.XLOOKUP(F479,ccustos!A:A,ccustos!B:B),"Sem termo")</f>
        <v>CDPROF</v>
      </c>
    </row>
    <row r="480" spans="1:10" ht="36.75" customHeight="1" x14ac:dyDescent="0.25">
      <c r="A480" s="14">
        <v>10715</v>
      </c>
      <c r="B480" s="7" t="s">
        <v>236</v>
      </c>
      <c r="C480" s="7" t="s">
        <v>337</v>
      </c>
      <c r="D480" s="7" t="s">
        <v>346</v>
      </c>
      <c r="E480" s="7" t="s">
        <v>239</v>
      </c>
      <c r="F480" s="7" t="s">
        <v>47</v>
      </c>
      <c r="G480" s="7" t="s">
        <v>331</v>
      </c>
      <c r="H480" s="15">
        <v>298</v>
      </c>
      <c r="I480" s="15">
        <v>213.43</v>
      </c>
      <c r="J480" s="7" t="str">
        <f>IFERROR(_xlfn.XLOOKUP(F480,ccustos!A:A,ccustos!B:B),"Sem termo")</f>
        <v>CDPROF</v>
      </c>
    </row>
    <row r="481" spans="1:10" ht="25.5" customHeight="1" x14ac:dyDescent="0.25">
      <c r="A481" s="16">
        <v>10722</v>
      </c>
      <c r="B481" s="17" t="s">
        <v>236</v>
      </c>
      <c r="C481" s="17" t="s">
        <v>333</v>
      </c>
      <c r="D481" s="17" t="s">
        <v>568</v>
      </c>
      <c r="E481" s="17" t="s">
        <v>335</v>
      </c>
      <c r="F481" s="17" t="s">
        <v>37</v>
      </c>
      <c r="G481" s="17" t="s">
        <v>336</v>
      </c>
      <c r="H481" s="18">
        <v>750</v>
      </c>
      <c r="I481" s="18">
        <v>111.58</v>
      </c>
      <c r="J481" s="7" t="str">
        <f>IFERROR(_xlfn.XLOOKUP(F481,ccustos!A:A,ccustos!B:B),"Sem termo")</f>
        <v>PROJUR</v>
      </c>
    </row>
    <row r="482" spans="1:10" ht="25.5" customHeight="1" x14ac:dyDescent="0.25">
      <c r="A482" s="14">
        <v>10723</v>
      </c>
      <c r="B482" s="7" t="s">
        <v>236</v>
      </c>
      <c r="C482" s="7" t="s">
        <v>237</v>
      </c>
      <c r="D482" s="7" t="s">
        <v>569</v>
      </c>
      <c r="E482" s="7" t="s">
        <v>239</v>
      </c>
      <c r="F482" s="7" t="s">
        <v>0</v>
      </c>
      <c r="G482" s="7" t="s">
        <v>305</v>
      </c>
      <c r="H482" s="15">
        <v>284.27999999999997</v>
      </c>
      <c r="I482" s="15">
        <v>173.7</v>
      </c>
      <c r="J482" s="7" t="str">
        <f>IFERROR(_xlfn.XLOOKUP(F482,ccustos!A:A,ccustos!B:B),"Sem termo")</f>
        <v>SEPAT</v>
      </c>
    </row>
    <row r="483" spans="1:10" ht="36.75" customHeight="1" x14ac:dyDescent="0.25">
      <c r="A483" s="16">
        <v>10727</v>
      </c>
      <c r="B483" s="17" t="s">
        <v>236</v>
      </c>
      <c r="C483" s="17" t="s">
        <v>337</v>
      </c>
      <c r="D483" s="17" t="s">
        <v>338</v>
      </c>
      <c r="E483" s="17" t="s">
        <v>239</v>
      </c>
      <c r="F483" s="17" t="s">
        <v>47</v>
      </c>
      <c r="G483" s="17" t="s">
        <v>570</v>
      </c>
      <c r="H483" s="18">
        <v>0.05</v>
      </c>
      <c r="I483" s="18">
        <v>498</v>
      </c>
      <c r="J483" s="7" t="str">
        <f>IFERROR(_xlfn.XLOOKUP(F483,ccustos!A:A,ccustos!B:B),"Sem termo")</f>
        <v>CDPROF</v>
      </c>
    </row>
    <row r="484" spans="1:10" ht="25.5" customHeight="1" x14ac:dyDescent="0.25">
      <c r="A484" s="14">
        <v>10728</v>
      </c>
      <c r="B484" s="7" t="s">
        <v>236</v>
      </c>
      <c r="C484" s="7" t="s">
        <v>327</v>
      </c>
      <c r="D484" s="7" t="s">
        <v>571</v>
      </c>
      <c r="E484" s="7" t="s">
        <v>239</v>
      </c>
      <c r="F484" s="7" t="s">
        <v>22</v>
      </c>
      <c r="G484" s="7" t="s">
        <v>443</v>
      </c>
      <c r="H484" s="15">
        <v>830.92</v>
      </c>
      <c r="I484" s="15">
        <v>654.21</v>
      </c>
      <c r="J484" s="7" t="str">
        <f>IFERROR(_xlfn.XLOOKUP(F484,ccustos!A:A,ccustos!B:B),"Sem termo")</f>
        <v>COTEC</v>
      </c>
    </row>
    <row r="485" spans="1:10" ht="25.5" customHeight="1" x14ac:dyDescent="0.25">
      <c r="A485" s="16">
        <v>10729</v>
      </c>
      <c r="B485" s="17" t="s">
        <v>236</v>
      </c>
      <c r="C485" s="17" t="s">
        <v>306</v>
      </c>
      <c r="D485" s="17" t="s">
        <v>567</v>
      </c>
      <c r="E485" s="17" t="s">
        <v>239</v>
      </c>
      <c r="F485" s="17" t="s">
        <v>47</v>
      </c>
      <c r="G485" s="17" t="s">
        <v>331</v>
      </c>
      <c r="H485" s="18">
        <v>812</v>
      </c>
      <c r="I485" s="18">
        <v>154.72999999999999</v>
      </c>
      <c r="J485" s="7" t="str">
        <f>IFERROR(_xlfn.XLOOKUP(F485,ccustos!A:A,ccustos!B:B),"Sem termo")</f>
        <v>CDPROF</v>
      </c>
    </row>
    <row r="486" spans="1:10" ht="25.5" customHeight="1" x14ac:dyDescent="0.25">
      <c r="A486" s="14">
        <v>10730</v>
      </c>
      <c r="B486" s="7" t="s">
        <v>236</v>
      </c>
      <c r="C486" s="7" t="s">
        <v>337</v>
      </c>
      <c r="D486" s="7" t="s">
        <v>376</v>
      </c>
      <c r="E486" s="7" t="s">
        <v>239</v>
      </c>
      <c r="F486" s="7" t="s">
        <v>205</v>
      </c>
      <c r="G486" s="7" t="s">
        <v>331</v>
      </c>
      <c r="H486" s="15">
        <v>298</v>
      </c>
      <c r="I486" s="15">
        <v>213.43</v>
      </c>
      <c r="J486" s="7" t="str">
        <f>IFERROR(_xlfn.XLOOKUP(F486,ccustos!A:A,ccustos!B:B),"Sem termo")</f>
        <v>CCOM</v>
      </c>
    </row>
    <row r="487" spans="1:10" ht="25.5" customHeight="1" x14ac:dyDescent="0.25">
      <c r="A487" s="16">
        <v>10731</v>
      </c>
      <c r="B487" s="17" t="s">
        <v>236</v>
      </c>
      <c r="C487" s="17" t="s">
        <v>241</v>
      </c>
      <c r="D487" s="17" t="s">
        <v>572</v>
      </c>
      <c r="E487" s="17" t="s">
        <v>239</v>
      </c>
      <c r="F487" s="17" t="s">
        <v>39</v>
      </c>
      <c r="G487" s="17" t="s">
        <v>289</v>
      </c>
      <c r="H487" s="18">
        <v>695.75</v>
      </c>
      <c r="I487" s="18">
        <v>741.82</v>
      </c>
      <c r="J487" s="7" t="str">
        <f>IFERROR(_xlfn.XLOOKUP(F487,ccustos!A:A,ccustos!B:B),"Sem termo")</f>
        <v>COREG</v>
      </c>
    </row>
    <row r="488" spans="1:10" ht="36.75" customHeight="1" x14ac:dyDescent="0.25">
      <c r="A488" s="14">
        <v>10732</v>
      </c>
      <c r="B488" s="7" t="s">
        <v>236</v>
      </c>
      <c r="C488" s="7" t="s">
        <v>241</v>
      </c>
      <c r="D488" s="7" t="s">
        <v>573</v>
      </c>
      <c r="E488" s="7" t="s">
        <v>239</v>
      </c>
      <c r="F488" s="7" t="s">
        <v>40</v>
      </c>
      <c r="G488" s="7" t="s">
        <v>331</v>
      </c>
      <c r="H488" s="15">
        <v>232</v>
      </c>
      <c r="I488" s="15">
        <v>88.94</v>
      </c>
      <c r="J488" s="7" t="str">
        <f>IFERROR(_xlfn.XLOOKUP(F488,ccustos!A:A,ccustos!B:B),"Sem termo")</f>
        <v>COPI</v>
      </c>
    </row>
    <row r="489" spans="1:10" ht="36.75" customHeight="1" x14ac:dyDescent="0.25">
      <c r="A489" s="16">
        <v>10733</v>
      </c>
      <c r="B489" s="17" t="s">
        <v>236</v>
      </c>
      <c r="C489" s="17" t="s">
        <v>237</v>
      </c>
      <c r="D489" s="17" t="s">
        <v>574</v>
      </c>
      <c r="E489" s="17" t="s">
        <v>239</v>
      </c>
      <c r="F489" s="17" t="s">
        <v>39</v>
      </c>
      <c r="G489" s="17" t="s">
        <v>311</v>
      </c>
      <c r="H489" s="18">
        <v>1021.01</v>
      </c>
      <c r="I489" s="18">
        <v>397.35</v>
      </c>
      <c r="J489" s="7" t="str">
        <f>IFERROR(_xlfn.XLOOKUP(F489,ccustos!A:A,ccustos!B:B),"Sem termo")</f>
        <v>COREG</v>
      </c>
    </row>
    <row r="490" spans="1:10" ht="25.5" customHeight="1" x14ac:dyDescent="0.25">
      <c r="A490" s="14">
        <v>10734</v>
      </c>
      <c r="B490" s="7" t="s">
        <v>236</v>
      </c>
      <c r="C490" s="7" t="s">
        <v>237</v>
      </c>
      <c r="D490" s="7" t="s">
        <v>574</v>
      </c>
      <c r="E490" s="7" t="s">
        <v>239</v>
      </c>
      <c r="F490" s="7" t="s">
        <v>29</v>
      </c>
      <c r="G490" s="7" t="s">
        <v>311</v>
      </c>
      <c r="H490" s="15">
        <v>1021.01</v>
      </c>
      <c r="I490" s="15">
        <v>397.35</v>
      </c>
      <c r="J490" s="7" t="str">
        <f>IFERROR(_xlfn.XLOOKUP(F490,ccustos!A:A,ccustos!B:B),"Sem termo")</f>
        <v>COAD</v>
      </c>
    </row>
    <row r="491" spans="1:10" ht="36.75" customHeight="1" x14ac:dyDescent="0.25">
      <c r="A491" s="16">
        <v>10735</v>
      </c>
      <c r="B491" s="17" t="s">
        <v>236</v>
      </c>
      <c r="C491" s="17" t="s">
        <v>387</v>
      </c>
      <c r="D491" s="17" t="s">
        <v>575</v>
      </c>
      <c r="E491" s="17" t="s">
        <v>250</v>
      </c>
      <c r="F491" s="17" t="s">
        <v>64</v>
      </c>
      <c r="G491" s="17" t="s">
        <v>389</v>
      </c>
      <c r="H491" s="18">
        <v>720</v>
      </c>
      <c r="I491" s="18">
        <v>320.14</v>
      </c>
      <c r="J491" s="7" t="str">
        <f>IFERROR(_xlfn.XLOOKUP(F491,ccustos!A:A,ccustos!B:B),"Sem termo")</f>
        <v>SEPAT</v>
      </c>
    </row>
    <row r="492" spans="1:10" ht="25.5" customHeight="1" x14ac:dyDescent="0.25">
      <c r="A492" s="14">
        <v>10736</v>
      </c>
      <c r="B492" s="7" t="s">
        <v>236</v>
      </c>
      <c r="C492" s="7" t="s">
        <v>241</v>
      </c>
      <c r="D492" s="7" t="s">
        <v>362</v>
      </c>
      <c r="E492" s="7" t="s">
        <v>239</v>
      </c>
      <c r="F492" s="7" t="s">
        <v>48</v>
      </c>
      <c r="G492" s="7" t="s">
        <v>331</v>
      </c>
      <c r="H492" s="15">
        <v>232</v>
      </c>
      <c r="I492" s="15">
        <v>0</v>
      </c>
      <c r="J492" s="7" t="str">
        <f>IFERROR(_xlfn.XLOOKUP(F492,ccustos!A:A,ccustos!B:B),"Sem termo")</f>
        <v>DEPES</v>
      </c>
    </row>
    <row r="493" spans="1:10" ht="25.5" customHeight="1" x14ac:dyDescent="0.25">
      <c r="A493" s="16">
        <v>10738</v>
      </c>
      <c r="B493" s="17" t="s">
        <v>236</v>
      </c>
      <c r="C493" s="17" t="s">
        <v>241</v>
      </c>
      <c r="D493" s="17" t="s">
        <v>576</v>
      </c>
      <c r="E493" s="17" t="s">
        <v>239</v>
      </c>
      <c r="F493" s="17" t="s">
        <v>205</v>
      </c>
      <c r="G493" s="17" t="s">
        <v>324</v>
      </c>
      <c r="H493" s="18">
        <v>1267.6099999999999</v>
      </c>
      <c r="I493" s="18">
        <v>82.88</v>
      </c>
      <c r="J493" s="7" t="str">
        <f>IFERROR(_xlfn.XLOOKUP(F493,ccustos!A:A,ccustos!B:B),"Sem termo")</f>
        <v>CCOM</v>
      </c>
    </row>
    <row r="494" spans="1:10" ht="36.75" customHeight="1" x14ac:dyDescent="0.25">
      <c r="A494" s="14">
        <v>10741</v>
      </c>
      <c r="B494" s="7" t="s">
        <v>236</v>
      </c>
      <c r="C494" s="7" t="s">
        <v>237</v>
      </c>
      <c r="D494" s="7" t="s">
        <v>360</v>
      </c>
      <c r="E494" s="7" t="s">
        <v>239</v>
      </c>
      <c r="F494" s="7" t="s">
        <v>34</v>
      </c>
      <c r="G494" s="7" t="s">
        <v>282</v>
      </c>
      <c r="H494" s="15">
        <v>2690</v>
      </c>
      <c r="I494" s="15">
        <v>724.91</v>
      </c>
      <c r="J494" s="7" t="str">
        <f>IFERROR(_xlfn.XLOOKUP(F494,ccustos!A:A,ccustos!B:B),"Sem termo")</f>
        <v>COFIS</v>
      </c>
    </row>
    <row r="495" spans="1:10" ht="36.75" customHeight="1" x14ac:dyDescent="0.25">
      <c r="A495" s="16">
        <v>10742</v>
      </c>
      <c r="B495" s="17" t="s">
        <v>236</v>
      </c>
      <c r="C495" s="17" t="s">
        <v>237</v>
      </c>
      <c r="D495" s="17" t="s">
        <v>360</v>
      </c>
      <c r="E495" s="17" t="s">
        <v>239</v>
      </c>
      <c r="F495" s="17" t="s">
        <v>34</v>
      </c>
      <c r="G495" s="17" t="s">
        <v>282</v>
      </c>
      <c r="H495" s="18">
        <v>2690</v>
      </c>
      <c r="I495" s="18">
        <v>724.91</v>
      </c>
      <c r="J495" s="7" t="str">
        <f>IFERROR(_xlfn.XLOOKUP(F495,ccustos!A:A,ccustos!B:B),"Sem termo")</f>
        <v>COFIS</v>
      </c>
    </row>
    <row r="496" spans="1:10" ht="25.5" customHeight="1" x14ac:dyDescent="0.25">
      <c r="A496" s="14">
        <v>10743</v>
      </c>
      <c r="B496" s="7" t="s">
        <v>236</v>
      </c>
      <c r="C496" s="7" t="s">
        <v>237</v>
      </c>
      <c r="D496" s="7" t="s">
        <v>360</v>
      </c>
      <c r="E496" s="7" t="s">
        <v>239</v>
      </c>
      <c r="F496" s="7" t="s">
        <v>34</v>
      </c>
      <c r="G496" s="7" t="s">
        <v>282</v>
      </c>
      <c r="H496" s="15">
        <v>2690</v>
      </c>
      <c r="I496" s="15">
        <v>724.91</v>
      </c>
      <c r="J496" s="7" t="str">
        <f>IFERROR(_xlfn.XLOOKUP(F496,ccustos!A:A,ccustos!B:B),"Sem termo")</f>
        <v>COFIS</v>
      </c>
    </row>
    <row r="497" spans="1:10" ht="36.75" customHeight="1" x14ac:dyDescent="0.25">
      <c r="A497" s="16">
        <v>10744</v>
      </c>
      <c r="B497" s="17" t="s">
        <v>236</v>
      </c>
      <c r="C497" s="17" t="s">
        <v>237</v>
      </c>
      <c r="D497" s="17" t="s">
        <v>360</v>
      </c>
      <c r="E497" s="17" t="s">
        <v>239</v>
      </c>
      <c r="F497" s="17" t="s">
        <v>34</v>
      </c>
      <c r="G497" s="17" t="s">
        <v>282</v>
      </c>
      <c r="H497" s="18">
        <v>2690</v>
      </c>
      <c r="I497" s="18">
        <v>724.91</v>
      </c>
      <c r="J497" s="7" t="str">
        <f>IFERROR(_xlfn.XLOOKUP(F497,ccustos!A:A,ccustos!B:B),"Sem termo")</f>
        <v>COFIS</v>
      </c>
    </row>
    <row r="498" spans="1:10" ht="36.75" customHeight="1" x14ac:dyDescent="0.25">
      <c r="A498" s="14">
        <v>10745</v>
      </c>
      <c r="B498" s="7" t="s">
        <v>236</v>
      </c>
      <c r="C498" s="7" t="s">
        <v>237</v>
      </c>
      <c r="D498" s="7" t="s">
        <v>360</v>
      </c>
      <c r="E498" s="7" t="s">
        <v>239</v>
      </c>
      <c r="F498" s="7" t="s">
        <v>34</v>
      </c>
      <c r="G498" s="7" t="s">
        <v>282</v>
      </c>
      <c r="H498" s="15">
        <v>2690</v>
      </c>
      <c r="I498" s="15">
        <v>724.91</v>
      </c>
      <c r="J498" s="7" t="str">
        <f>IFERROR(_xlfn.XLOOKUP(F498,ccustos!A:A,ccustos!B:B),"Sem termo")</f>
        <v>COFIS</v>
      </c>
    </row>
    <row r="499" spans="1:10" ht="36.75" customHeight="1" x14ac:dyDescent="0.25">
      <c r="A499" s="16">
        <v>10746</v>
      </c>
      <c r="B499" s="17" t="s">
        <v>236</v>
      </c>
      <c r="C499" s="17" t="s">
        <v>237</v>
      </c>
      <c r="D499" s="17" t="s">
        <v>360</v>
      </c>
      <c r="E499" s="17" t="s">
        <v>239</v>
      </c>
      <c r="F499" s="17" t="s">
        <v>34</v>
      </c>
      <c r="G499" s="17" t="s">
        <v>282</v>
      </c>
      <c r="H499" s="18">
        <v>2690</v>
      </c>
      <c r="I499" s="18">
        <v>724.91</v>
      </c>
      <c r="J499" s="7" t="str">
        <f>IFERROR(_xlfn.XLOOKUP(F499,ccustos!A:A,ccustos!B:B),"Sem termo")</f>
        <v>COFIS</v>
      </c>
    </row>
    <row r="500" spans="1:10" ht="36.75" customHeight="1" x14ac:dyDescent="0.25">
      <c r="A500" s="14">
        <v>10747</v>
      </c>
      <c r="B500" s="7" t="s">
        <v>236</v>
      </c>
      <c r="C500" s="7" t="s">
        <v>237</v>
      </c>
      <c r="D500" s="7" t="s">
        <v>360</v>
      </c>
      <c r="E500" s="7" t="s">
        <v>239</v>
      </c>
      <c r="F500" s="7" t="s">
        <v>34</v>
      </c>
      <c r="G500" s="7" t="s">
        <v>282</v>
      </c>
      <c r="H500" s="15">
        <v>2690</v>
      </c>
      <c r="I500" s="15">
        <v>724.91</v>
      </c>
      <c r="J500" s="7" t="str">
        <f>IFERROR(_xlfn.XLOOKUP(F500,ccustos!A:A,ccustos!B:B),"Sem termo")</f>
        <v>COFIS</v>
      </c>
    </row>
    <row r="501" spans="1:10" ht="36.75" customHeight="1" x14ac:dyDescent="0.25">
      <c r="A501" s="16">
        <v>10748</v>
      </c>
      <c r="B501" s="17" t="s">
        <v>236</v>
      </c>
      <c r="C501" s="17" t="s">
        <v>237</v>
      </c>
      <c r="D501" s="17" t="s">
        <v>360</v>
      </c>
      <c r="E501" s="17" t="s">
        <v>239</v>
      </c>
      <c r="F501" s="17" t="s">
        <v>34</v>
      </c>
      <c r="G501" s="17" t="s">
        <v>282</v>
      </c>
      <c r="H501" s="18">
        <v>2690</v>
      </c>
      <c r="I501" s="18">
        <v>724.91</v>
      </c>
      <c r="J501" s="7" t="str">
        <f>IFERROR(_xlfn.XLOOKUP(F501,ccustos!A:A,ccustos!B:B),"Sem termo")</f>
        <v>COFIS</v>
      </c>
    </row>
    <row r="502" spans="1:10" ht="36.75" customHeight="1" x14ac:dyDescent="0.25">
      <c r="A502" s="14">
        <v>10749</v>
      </c>
      <c r="B502" s="7" t="s">
        <v>236</v>
      </c>
      <c r="C502" s="7" t="s">
        <v>237</v>
      </c>
      <c r="D502" s="7" t="s">
        <v>360</v>
      </c>
      <c r="E502" s="7" t="s">
        <v>239</v>
      </c>
      <c r="F502" s="7" t="s">
        <v>185</v>
      </c>
      <c r="G502" s="7" t="s">
        <v>282</v>
      </c>
      <c r="H502" s="15">
        <v>2690</v>
      </c>
      <c r="I502" s="15">
        <v>724.91</v>
      </c>
      <c r="J502" s="7" t="str">
        <f>IFERROR(_xlfn.XLOOKUP(F502,ccustos!A:A,ccustos!B:B),"Sem termo")</f>
        <v>CGGE</v>
      </c>
    </row>
    <row r="503" spans="1:10" ht="36.75" customHeight="1" x14ac:dyDescent="0.25">
      <c r="A503" s="16">
        <v>10750</v>
      </c>
      <c r="B503" s="17" t="s">
        <v>236</v>
      </c>
      <c r="C503" s="17" t="s">
        <v>237</v>
      </c>
      <c r="D503" s="17" t="s">
        <v>360</v>
      </c>
      <c r="E503" s="17" t="s">
        <v>239</v>
      </c>
      <c r="F503" s="17" t="s">
        <v>185</v>
      </c>
      <c r="G503" s="17" t="s">
        <v>282</v>
      </c>
      <c r="H503" s="18">
        <v>2690</v>
      </c>
      <c r="I503" s="18">
        <v>724.91</v>
      </c>
      <c r="J503" s="7" t="str">
        <f>IFERROR(_xlfn.XLOOKUP(F503,ccustos!A:A,ccustos!B:B),"Sem termo")</f>
        <v>CGGE</v>
      </c>
    </row>
    <row r="504" spans="1:10" ht="25.5" customHeight="1" x14ac:dyDescent="0.25">
      <c r="A504" s="14">
        <v>10751</v>
      </c>
      <c r="B504" s="7" t="s">
        <v>236</v>
      </c>
      <c r="C504" s="7" t="s">
        <v>237</v>
      </c>
      <c r="D504" s="7" t="s">
        <v>360</v>
      </c>
      <c r="E504" s="7" t="s">
        <v>239</v>
      </c>
      <c r="F504" s="7" t="s">
        <v>34</v>
      </c>
      <c r="G504" s="7" t="s">
        <v>282</v>
      </c>
      <c r="H504" s="15">
        <v>2690</v>
      </c>
      <c r="I504" s="15">
        <v>724.91</v>
      </c>
      <c r="J504" s="7" t="str">
        <f>IFERROR(_xlfn.XLOOKUP(F504,ccustos!A:A,ccustos!B:B),"Sem termo")</f>
        <v>COFIS</v>
      </c>
    </row>
    <row r="505" spans="1:10" ht="25.5" customHeight="1" x14ac:dyDescent="0.25">
      <c r="A505" s="16">
        <v>10752</v>
      </c>
      <c r="B505" s="17" t="s">
        <v>236</v>
      </c>
      <c r="C505" s="17" t="s">
        <v>237</v>
      </c>
      <c r="D505" s="17" t="s">
        <v>360</v>
      </c>
      <c r="E505" s="17" t="s">
        <v>239</v>
      </c>
      <c r="F505" s="17" t="s">
        <v>49</v>
      </c>
      <c r="G505" s="17" t="s">
        <v>282</v>
      </c>
      <c r="H505" s="18">
        <v>2690</v>
      </c>
      <c r="I505" s="18">
        <v>724.91</v>
      </c>
      <c r="J505" s="7" t="str">
        <f>IFERROR(_xlfn.XLOOKUP(F505,ccustos!A:A,ccustos!B:B),"Sem termo")</f>
        <v>COAD</v>
      </c>
    </row>
    <row r="506" spans="1:10" ht="25.5" customHeight="1" x14ac:dyDescent="0.25">
      <c r="A506" s="14">
        <v>10753</v>
      </c>
      <c r="B506" s="7" t="s">
        <v>236</v>
      </c>
      <c r="C506" s="7" t="s">
        <v>237</v>
      </c>
      <c r="D506" s="7" t="s">
        <v>360</v>
      </c>
      <c r="E506" s="7" t="s">
        <v>239</v>
      </c>
      <c r="F506" s="7" t="s">
        <v>186</v>
      </c>
      <c r="G506" s="7" t="s">
        <v>282</v>
      </c>
      <c r="H506" s="15">
        <v>2690</v>
      </c>
      <c r="I506" s="15">
        <v>724.91</v>
      </c>
      <c r="J506" s="7" t="str">
        <f>IFERROR(_xlfn.XLOOKUP(F506,ccustos!A:A,ccustos!B:B),"Sem termo")</f>
        <v>CGGE</v>
      </c>
    </row>
    <row r="507" spans="1:10" ht="25.5" customHeight="1" x14ac:dyDescent="0.25">
      <c r="A507" s="16">
        <v>10754</v>
      </c>
      <c r="B507" s="17" t="s">
        <v>236</v>
      </c>
      <c r="C507" s="17" t="s">
        <v>241</v>
      </c>
      <c r="D507" s="17" t="s">
        <v>577</v>
      </c>
      <c r="E507" s="17" t="s">
        <v>239</v>
      </c>
      <c r="F507" s="17" t="s">
        <v>34</v>
      </c>
      <c r="G507" s="17" t="s">
        <v>375</v>
      </c>
      <c r="H507" s="18">
        <v>833</v>
      </c>
      <c r="I507" s="18">
        <v>506.72</v>
      </c>
      <c r="J507" s="7" t="str">
        <f>IFERROR(_xlfn.XLOOKUP(F507,ccustos!A:A,ccustos!B:B),"Sem termo")</f>
        <v>COFIS</v>
      </c>
    </row>
    <row r="508" spans="1:10" ht="25.5" customHeight="1" x14ac:dyDescent="0.25">
      <c r="A508" s="14">
        <v>10755</v>
      </c>
      <c r="B508" s="7" t="s">
        <v>236</v>
      </c>
      <c r="C508" s="7" t="s">
        <v>241</v>
      </c>
      <c r="D508" s="7" t="s">
        <v>578</v>
      </c>
      <c r="E508" s="7" t="s">
        <v>239</v>
      </c>
      <c r="F508" s="7" t="s">
        <v>34</v>
      </c>
      <c r="G508" s="7" t="s">
        <v>375</v>
      </c>
      <c r="H508" s="15">
        <v>280</v>
      </c>
      <c r="I508" s="15">
        <v>376.92</v>
      </c>
      <c r="J508" s="7" t="str">
        <f>IFERROR(_xlfn.XLOOKUP(F508,ccustos!A:A,ccustos!B:B),"Sem termo")</f>
        <v>COFIS</v>
      </c>
    </row>
    <row r="509" spans="1:10" ht="25.5" customHeight="1" x14ac:dyDescent="0.25">
      <c r="A509" s="16">
        <v>10757</v>
      </c>
      <c r="B509" s="17" t="s">
        <v>236</v>
      </c>
      <c r="C509" s="17" t="s">
        <v>237</v>
      </c>
      <c r="D509" s="17" t="s">
        <v>360</v>
      </c>
      <c r="E509" s="17" t="s">
        <v>239</v>
      </c>
      <c r="F509" s="17" t="s">
        <v>34</v>
      </c>
      <c r="G509" s="17" t="s">
        <v>282</v>
      </c>
      <c r="H509" s="18">
        <v>2690</v>
      </c>
      <c r="I509" s="18">
        <v>754.62</v>
      </c>
      <c r="J509" s="7" t="str">
        <f>IFERROR(_xlfn.XLOOKUP(F509,ccustos!A:A,ccustos!B:B),"Sem termo")</f>
        <v>COFIS</v>
      </c>
    </row>
    <row r="510" spans="1:10" ht="25.5" customHeight="1" x14ac:dyDescent="0.25">
      <c r="A510" s="14">
        <v>10758</v>
      </c>
      <c r="B510" s="7" t="s">
        <v>236</v>
      </c>
      <c r="C510" s="7" t="s">
        <v>237</v>
      </c>
      <c r="D510" s="7" t="s">
        <v>360</v>
      </c>
      <c r="E510" s="7" t="s">
        <v>239</v>
      </c>
      <c r="F510" s="7" t="s">
        <v>186</v>
      </c>
      <c r="G510" s="7" t="s">
        <v>282</v>
      </c>
      <c r="H510" s="15">
        <v>2690</v>
      </c>
      <c r="I510" s="15">
        <v>724.91</v>
      </c>
      <c r="J510" s="7" t="str">
        <f>IFERROR(_xlfn.XLOOKUP(F510,ccustos!A:A,ccustos!B:B),"Sem termo")</f>
        <v>CGGE</v>
      </c>
    </row>
    <row r="511" spans="1:10" ht="25.5" customHeight="1" x14ac:dyDescent="0.25">
      <c r="A511" s="16">
        <v>10759</v>
      </c>
      <c r="B511" s="17" t="s">
        <v>236</v>
      </c>
      <c r="C511" s="17" t="s">
        <v>237</v>
      </c>
      <c r="D511" s="17" t="s">
        <v>360</v>
      </c>
      <c r="E511" s="17" t="s">
        <v>239</v>
      </c>
      <c r="F511" s="17" t="s">
        <v>34</v>
      </c>
      <c r="G511" s="17" t="s">
        <v>282</v>
      </c>
      <c r="H511" s="18">
        <v>2690</v>
      </c>
      <c r="I511" s="18">
        <v>724.91</v>
      </c>
      <c r="J511" s="7" t="str">
        <f>IFERROR(_xlfn.XLOOKUP(F511,ccustos!A:A,ccustos!B:B),"Sem termo")</f>
        <v>COFIS</v>
      </c>
    </row>
    <row r="512" spans="1:10" ht="25.5" customHeight="1" x14ac:dyDescent="0.25">
      <c r="A512" s="14">
        <v>10760</v>
      </c>
      <c r="B512" s="7" t="s">
        <v>236</v>
      </c>
      <c r="C512" s="7" t="s">
        <v>237</v>
      </c>
      <c r="D512" s="7" t="s">
        <v>360</v>
      </c>
      <c r="E512" s="7" t="s">
        <v>239</v>
      </c>
      <c r="F512" s="7" t="s">
        <v>34</v>
      </c>
      <c r="G512" s="7" t="s">
        <v>282</v>
      </c>
      <c r="H512" s="15">
        <v>2690</v>
      </c>
      <c r="I512" s="15">
        <v>724.91</v>
      </c>
      <c r="J512" s="7" t="str">
        <f>IFERROR(_xlfn.XLOOKUP(F512,ccustos!A:A,ccustos!B:B),"Sem termo")</f>
        <v>COFIS</v>
      </c>
    </row>
    <row r="513" spans="1:10" ht="36.75" customHeight="1" x14ac:dyDescent="0.25">
      <c r="A513" s="16">
        <v>10761</v>
      </c>
      <c r="B513" s="17" t="s">
        <v>236</v>
      </c>
      <c r="C513" s="17" t="s">
        <v>241</v>
      </c>
      <c r="D513" s="17" t="s">
        <v>362</v>
      </c>
      <c r="E513" s="17" t="s">
        <v>239</v>
      </c>
      <c r="F513" s="17" t="s">
        <v>6</v>
      </c>
      <c r="G513" s="17" t="s">
        <v>331</v>
      </c>
      <c r="H513" s="18">
        <v>232</v>
      </c>
      <c r="I513" s="18">
        <v>107.24</v>
      </c>
      <c r="J513" s="7" t="str">
        <f>IFERROR(_xlfn.XLOOKUP(F513,ccustos!A:A,ccustos!B:B),"Sem termo")</f>
        <v>SEPAT</v>
      </c>
    </row>
    <row r="514" spans="1:10" ht="25.5" customHeight="1" x14ac:dyDescent="0.25">
      <c r="A514" s="14">
        <v>10762</v>
      </c>
      <c r="B514" s="7" t="s">
        <v>236</v>
      </c>
      <c r="C514" s="7" t="s">
        <v>241</v>
      </c>
      <c r="D514" s="7" t="s">
        <v>579</v>
      </c>
      <c r="E514" s="7" t="s">
        <v>239</v>
      </c>
      <c r="F514" s="7" t="s">
        <v>6</v>
      </c>
      <c r="G514" s="7" t="s">
        <v>339</v>
      </c>
      <c r="H514" s="15">
        <v>238</v>
      </c>
      <c r="I514" s="15">
        <v>141.34</v>
      </c>
      <c r="J514" s="7" t="str">
        <f>IFERROR(_xlfn.XLOOKUP(F514,ccustos!A:A,ccustos!B:B),"Sem termo")</f>
        <v>SEPAT</v>
      </c>
    </row>
    <row r="515" spans="1:10" ht="36.75" customHeight="1" x14ac:dyDescent="0.25">
      <c r="A515" s="16">
        <v>10763</v>
      </c>
      <c r="B515" s="17" t="s">
        <v>236</v>
      </c>
      <c r="C515" s="17" t="s">
        <v>248</v>
      </c>
      <c r="D515" s="17" t="s">
        <v>580</v>
      </c>
      <c r="E515" s="17" t="s">
        <v>250</v>
      </c>
      <c r="F515" s="17" t="s">
        <v>256</v>
      </c>
      <c r="G515" s="17" t="s">
        <v>581</v>
      </c>
      <c r="H515" s="18">
        <v>1335</v>
      </c>
      <c r="I515" s="18">
        <v>640.28</v>
      </c>
      <c r="J515" s="7" t="str">
        <f>IFERROR(_xlfn.XLOOKUP(F515,ccustos!A:A,ccustos!B:B),"Sem termo")</f>
        <v>Sem termo</v>
      </c>
    </row>
    <row r="516" spans="1:10" ht="36.75" customHeight="1" x14ac:dyDescent="0.25">
      <c r="A516" s="14">
        <v>10764</v>
      </c>
      <c r="B516" s="7" t="s">
        <v>236</v>
      </c>
      <c r="C516" s="7" t="s">
        <v>241</v>
      </c>
      <c r="D516" s="7" t="s">
        <v>582</v>
      </c>
      <c r="E516" s="7" t="s">
        <v>239</v>
      </c>
      <c r="F516" s="7" t="s">
        <v>34</v>
      </c>
      <c r="G516" s="7" t="s">
        <v>375</v>
      </c>
      <c r="H516" s="15">
        <v>840</v>
      </c>
      <c r="I516" s="15">
        <v>731.75</v>
      </c>
      <c r="J516" s="7" t="str">
        <f>IFERROR(_xlfn.XLOOKUP(F516,ccustos!A:A,ccustos!B:B),"Sem termo")</f>
        <v>COFIS</v>
      </c>
    </row>
    <row r="517" spans="1:10" ht="36.75" customHeight="1" x14ac:dyDescent="0.25">
      <c r="A517" s="16">
        <v>10765</v>
      </c>
      <c r="B517" s="17" t="s">
        <v>236</v>
      </c>
      <c r="C517" s="17" t="s">
        <v>306</v>
      </c>
      <c r="D517" s="17" t="s">
        <v>583</v>
      </c>
      <c r="E517" s="17" t="s">
        <v>239</v>
      </c>
      <c r="F517" s="17" t="s">
        <v>34</v>
      </c>
      <c r="G517" s="17" t="s">
        <v>311</v>
      </c>
      <c r="H517" s="18">
        <v>1267.6600000000001</v>
      </c>
      <c r="I517" s="18">
        <v>908.72</v>
      </c>
      <c r="J517" s="7" t="str">
        <f>IFERROR(_xlfn.XLOOKUP(F517,ccustos!A:A,ccustos!B:B),"Sem termo")</f>
        <v>COFIS</v>
      </c>
    </row>
    <row r="518" spans="1:10" ht="36.75" customHeight="1" x14ac:dyDescent="0.25">
      <c r="A518" s="14">
        <v>10766</v>
      </c>
      <c r="B518" s="7" t="s">
        <v>236</v>
      </c>
      <c r="C518" s="7" t="s">
        <v>306</v>
      </c>
      <c r="D518" s="7" t="s">
        <v>584</v>
      </c>
      <c r="E518" s="7" t="s">
        <v>239</v>
      </c>
      <c r="F518" s="7" t="s">
        <v>34</v>
      </c>
      <c r="G518" s="7" t="s">
        <v>311</v>
      </c>
      <c r="H518" s="15">
        <v>1267.6600000000001</v>
      </c>
      <c r="I518" s="15">
        <v>908.72</v>
      </c>
      <c r="J518" s="7" t="str">
        <f>IFERROR(_xlfn.XLOOKUP(F518,ccustos!A:A,ccustos!B:B),"Sem termo")</f>
        <v>COFIS</v>
      </c>
    </row>
    <row r="519" spans="1:10" ht="25.5" customHeight="1" x14ac:dyDescent="0.25">
      <c r="A519" s="16">
        <v>10767</v>
      </c>
      <c r="B519" s="17" t="s">
        <v>236</v>
      </c>
      <c r="C519" s="17" t="s">
        <v>306</v>
      </c>
      <c r="D519" s="17" t="s">
        <v>584</v>
      </c>
      <c r="E519" s="17" t="s">
        <v>239</v>
      </c>
      <c r="F519" s="17" t="s">
        <v>34</v>
      </c>
      <c r="G519" s="17" t="s">
        <v>311</v>
      </c>
      <c r="H519" s="18">
        <v>1267.6600000000001</v>
      </c>
      <c r="I519" s="18">
        <v>908.72</v>
      </c>
      <c r="J519" s="7" t="str">
        <f>IFERROR(_xlfn.XLOOKUP(F519,ccustos!A:A,ccustos!B:B),"Sem termo")</f>
        <v>COFIS</v>
      </c>
    </row>
    <row r="520" spans="1:10" ht="36.75" customHeight="1" x14ac:dyDescent="0.25">
      <c r="A520" s="14">
        <v>10768</v>
      </c>
      <c r="B520" s="7" t="s">
        <v>236</v>
      </c>
      <c r="C520" s="7" t="s">
        <v>306</v>
      </c>
      <c r="D520" s="7" t="s">
        <v>584</v>
      </c>
      <c r="E520" s="7" t="s">
        <v>239</v>
      </c>
      <c r="F520" s="7" t="s">
        <v>34</v>
      </c>
      <c r="G520" s="7" t="s">
        <v>311</v>
      </c>
      <c r="H520" s="15">
        <v>1267.6600000000001</v>
      </c>
      <c r="I520" s="15">
        <v>908.72</v>
      </c>
      <c r="J520" s="7" t="str">
        <f>IFERROR(_xlfn.XLOOKUP(F520,ccustos!A:A,ccustos!B:B),"Sem termo")</f>
        <v>COFIS</v>
      </c>
    </row>
    <row r="521" spans="1:10" ht="36.75" customHeight="1" x14ac:dyDescent="0.25">
      <c r="A521" s="16">
        <v>10769</v>
      </c>
      <c r="B521" s="17" t="s">
        <v>236</v>
      </c>
      <c r="C521" s="17" t="s">
        <v>306</v>
      </c>
      <c r="D521" s="17" t="s">
        <v>584</v>
      </c>
      <c r="E521" s="17" t="s">
        <v>239</v>
      </c>
      <c r="F521" s="17" t="s">
        <v>34</v>
      </c>
      <c r="G521" s="17" t="s">
        <v>311</v>
      </c>
      <c r="H521" s="18">
        <v>1267.6600000000001</v>
      </c>
      <c r="I521" s="18">
        <v>908.72</v>
      </c>
      <c r="J521" s="7" t="str">
        <f>IFERROR(_xlfn.XLOOKUP(F521,ccustos!A:A,ccustos!B:B),"Sem termo")</f>
        <v>COFIS</v>
      </c>
    </row>
    <row r="522" spans="1:10" ht="25.5" customHeight="1" x14ac:dyDescent="0.25">
      <c r="A522" s="14">
        <v>10770</v>
      </c>
      <c r="B522" s="7" t="s">
        <v>236</v>
      </c>
      <c r="C522" s="7" t="s">
        <v>306</v>
      </c>
      <c r="D522" s="7" t="s">
        <v>584</v>
      </c>
      <c r="E522" s="7" t="s">
        <v>239</v>
      </c>
      <c r="F522" s="7" t="s">
        <v>34</v>
      </c>
      <c r="G522" s="7" t="s">
        <v>311</v>
      </c>
      <c r="H522" s="15">
        <v>1267.6600000000001</v>
      </c>
      <c r="I522" s="15">
        <v>908.72</v>
      </c>
      <c r="J522" s="7" t="str">
        <f>IFERROR(_xlfn.XLOOKUP(F522,ccustos!A:A,ccustos!B:B),"Sem termo")</f>
        <v>COFIS</v>
      </c>
    </row>
    <row r="523" spans="1:10" ht="25.5" customHeight="1" x14ac:dyDescent="0.25">
      <c r="A523" s="16">
        <v>10771</v>
      </c>
      <c r="B523" s="17" t="s">
        <v>236</v>
      </c>
      <c r="C523" s="17" t="s">
        <v>306</v>
      </c>
      <c r="D523" s="17" t="s">
        <v>584</v>
      </c>
      <c r="E523" s="17" t="s">
        <v>239</v>
      </c>
      <c r="F523" s="17" t="s">
        <v>34</v>
      </c>
      <c r="G523" s="17" t="s">
        <v>311</v>
      </c>
      <c r="H523" s="18">
        <v>1267.6600000000001</v>
      </c>
      <c r="I523" s="18">
        <v>908.72</v>
      </c>
      <c r="J523" s="7" t="str">
        <f>IFERROR(_xlfn.XLOOKUP(F523,ccustos!A:A,ccustos!B:B),"Sem termo")</f>
        <v>COFIS</v>
      </c>
    </row>
    <row r="524" spans="1:10" ht="25.5" customHeight="1" x14ac:dyDescent="0.25">
      <c r="A524" s="14">
        <v>10772</v>
      </c>
      <c r="B524" s="7" t="s">
        <v>236</v>
      </c>
      <c r="C524" s="7" t="s">
        <v>306</v>
      </c>
      <c r="D524" s="7" t="s">
        <v>584</v>
      </c>
      <c r="E524" s="7" t="s">
        <v>239</v>
      </c>
      <c r="F524" s="7" t="s">
        <v>34</v>
      </c>
      <c r="G524" s="7" t="s">
        <v>311</v>
      </c>
      <c r="H524" s="15">
        <v>1267.6600000000001</v>
      </c>
      <c r="I524" s="15">
        <v>908.72</v>
      </c>
      <c r="J524" s="7" t="str">
        <f>IFERROR(_xlfn.XLOOKUP(F524,ccustos!A:A,ccustos!B:B),"Sem termo")</f>
        <v>COFIS</v>
      </c>
    </row>
    <row r="525" spans="1:10" ht="25.5" customHeight="1" x14ac:dyDescent="0.25">
      <c r="A525" s="16">
        <v>10773</v>
      </c>
      <c r="B525" s="17" t="s">
        <v>236</v>
      </c>
      <c r="C525" s="17" t="s">
        <v>306</v>
      </c>
      <c r="D525" s="17" t="s">
        <v>584</v>
      </c>
      <c r="E525" s="17" t="s">
        <v>239</v>
      </c>
      <c r="F525" s="17" t="s">
        <v>34</v>
      </c>
      <c r="G525" s="17" t="s">
        <v>311</v>
      </c>
      <c r="H525" s="18">
        <v>1267.6600000000001</v>
      </c>
      <c r="I525" s="18">
        <v>908.72</v>
      </c>
      <c r="J525" s="7" t="str">
        <f>IFERROR(_xlfn.XLOOKUP(F525,ccustos!A:A,ccustos!B:B),"Sem termo")</f>
        <v>COFIS</v>
      </c>
    </row>
    <row r="526" spans="1:10" ht="25.5" customHeight="1" x14ac:dyDescent="0.25">
      <c r="A526" s="14">
        <v>10774</v>
      </c>
      <c r="B526" s="7" t="s">
        <v>236</v>
      </c>
      <c r="C526" s="7" t="s">
        <v>306</v>
      </c>
      <c r="D526" s="7" t="s">
        <v>584</v>
      </c>
      <c r="E526" s="7" t="s">
        <v>239</v>
      </c>
      <c r="F526" s="7" t="s">
        <v>34</v>
      </c>
      <c r="G526" s="7" t="s">
        <v>311</v>
      </c>
      <c r="H526" s="15">
        <v>1267.6600000000001</v>
      </c>
      <c r="I526" s="15">
        <v>908.72</v>
      </c>
      <c r="J526" s="7" t="str">
        <f>IFERROR(_xlfn.XLOOKUP(F526,ccustos!A:A,ccustos!B:B),"Sem termo")</f>
        <v>COFIS</v>
      </c>
    </row>
    <row r="527" spans="1:10" ht="25.5" customHeight="1" x14ac:dyDescent="0.25">
      <c r="A527" s="16">
        <v>10775</v>
      </c>
      <c r="B527" s="17" t="s">
        <v>236</v>
      </c>
      <c r="C527" s="17" t="s">
        <v>306</v>
      </c>
      <c r="D527" s="17" t="s">
        <v>584</v>
      </c>
      <c r="E527" s="17" t="s">
        <v>239</v>
      </c>
      <c r="F527" s="17" t="s">
        <v>34</v>
      </c>
      <c r="G527" s="17" t="s">
        <v>311</v>
      </c>
      <c r="H527" s="18">
        <v>1267.6600000000001</v>
      </c>
      <c r="I527" s="18">
        <v>908.72</v>
      </c>
      <c r="J527" s="7" t="str">
        <f>IFERROR(_xlfn.XLOOKUP(F527,ccustos!A:A,ccustos!B:B),"Sem termo")</f>
        <v>COFIS</v>
      </c>
    </row>
    <row r="528" spans="1:10" ht="36.75" customHeight="1" x14ac:dyDescent="0.25">
      <c r="A528" s="14">
        <v>10776</v>
      </c>
      <c r="B528" s="7" t="s">
        <v>236</v>
      </c>
      <c r="C528" s="7" t="s">
        <v>306</v>
      </c>
      <c r="D528" s="7" t="s">
        <v>584</v>
      </c>
      <c r="E528" s="7" t="s">
        <v>239</v>
      </c>
      <c r="F528" s="7" t="s">
        <v>34</v>
      </c>
      <c r="G528" s="7" t="s">
        <v>311</v>
      </c>
      <c r="H528" s="15">
        <v>1267.6600000000001</v>
      </c>
      <c r="I528" s="15">
        <v>908.72</v>
      </c>
      <c r="J528" s="7" t="str">
        <f>IFERROR(_xlfn.XLOOKUP(F528,ccustos!A:A,ccustos!B:B),"Sem termo")</f>
        <v>COFIS</v>
      </c>
    </row>
    <row r="529" spans="1:10" ht="25.5" customHeight="1" x14ac:dyDescent="0.25">
      <c r="A529" s="16">
        <v>10777</v>
      </c>
      <c r="B529" s="17" t="s">
        <v>236</v>
      </c>
      <c r="C529" s="17" t="s">
        <v>300</v>
      </c>
      <c r="D529" s="17" t="s">
        <v>585</v>
      </c>
      <c r="E529" s="17" t="s">
        <v>239</v>
      </c>
      <c r="F529" s="17" t="s">
        <v>34</v>
      </c>
      <c r="G529" s="17" t="s">
        <v>375</v>
      </c>
      <c r="H529" s="18">
        <v>840</v>
      </c>
      <c r="I529" s="18">
        <v>508.29</v>
      </c>
      <c r="J529" s="7" t="str">
        <f>IFERROR(_xlfn.XLOOKUP(F529,ccustos!A:A,ccustos!B:B),"Sem termo")</f>
        <v>COFIS</v>
      </c>
    </row>
    <row r="530" spans="1:10" ht="25.5" customHeight="1" x14ac:dyDescent="0.25">
      <c r="A530" s="14">
        <v>10778</v>
      </c>
      <c r="B530" s="7" t="s">
        <v>236</v>
      </c>
      <c r="C530" s="7" t="s">
        <v>300</v>
      </c>
      <c r="D530" s="7" t="s">
        <v>585</v>
      </c>
      <c r="E530" s="7" t="s">
        <v>239</v>
      </c>
      <c r="F530" s="7" t="s">
        <v>34</v>
      </c>
      <c r="G530" s="7" t="s">
        <v>375</v>
      </c>
      <c r="H530" s="15">
        <v>840</v>
      </c>
      <c r="I530" s="15">
        <v>508.29</v>
      </c>
      <c r="J530" s="7" t="str">
        <f>IFERROR(_xlfn.XLOOKUP(F530,ccustos!A:A,ccustos!B:B),"Sem termo")</f>
        <v>COFIS</v>
      </c>
    </row>
    <row r="531" spans="1:10" ht="36.75" customHeight="1" x14ac:dyDescent="0.25">
      <c r="A531" s="16">
        <v>10781</v>
      </c>
      <c r="B531" s="17" t="s">
        <v>236</v>
      </c>
      <c r="C531" s="17" t="s">
        <v>320</v>
      </c>
      <c r="D531" s="17" t="s">
        <v>586</v>
      </c>
      <c r="E531" s="17" t="s">
        <v>250</v>
      </c>
      <c r="F531" s="17" t="s">
        <v>6</v>
      </c>
      <c r="G531" s="17" t="s">
        <v>322</v>
      </c>
      <c r="H531" s="18">
        <v>1428</v>
      </c>
      <c r="I531" s="18">
        <v>634.94000000000005</v>
      </c>
      <c r="J531" s="7" t="str">
        <f>IFERROR(_xlfn.XLOOKUP(F531,ccustos!A:A,ccustos!B:B),"Sem termo")</f>
        <v>SEPAT</v>
      </c>
    </row>
    <row r="532" spans="1:10" ht="25.5" customHeight="1" x14ac:dyDescent="0.25">
      <c r="A532" s="14">
        <v>10782</v>
      </c>
      <c r="B532" s="7" t="s">
        <v>236</v>
      </c>
      <c r="C532" s="7" t="s">
        <v>313</v>
      </c>
      <c r="D532" s="7" t="s">
        <v>587</v>
      </c>
      <c r="E532" s="7" t="s">
        <v>250</v>
      </c>
      <c r="F532" s="7" t="s">
        <v>44</v>
      </c>
      <c r="G532" s="7" t="s">
        <v>315</v>
      </c>
      <c r="H532" s="15">
        <v>620</v>
      </c>
      <c r="I532" s="15">
        <v>196.91</v>
      </c>
      <c r="J532" s="7" t="str">
        <f>IFERROR(_xlfn.XLOOKUP(F532,ccustos!A:A,ccustos!B:B),"Sem termo")</f>
        <v>COFIS</v>
      </c>
    </row>
    <row r="533" spans="1:10" ht="36.75" customHeight="1" x14ac:dyDescent="0.25">
      <c r="A533" s="16">
        <v>10783</v>
      </c>
      <c r="B533" s="17" t="s">
        <v>236</v>
      </c>
      <c r="C533" s="17" t="s">
        <v>316</v>
      </c>
      <c r="D533" s="17" t="s">
        <v>447</v>
      </c>
      <c r="E533" s="17" t="s">
        <v>318</v>
      </c>
      <c r="F533" s="17" t="s">
        <v>44</v>
      </c>
      <c r="G533" s="17" t="s">
        <v>448</v>
      </c>
      <c r="H533" s="18">
        <v>565</v>
      </c>
      <c r="I533" s="18">
        <v>218.55</v>
      </c>
      <c r="J533" s="7" t="str">
        <f>IFERROR(_xlfn.XLOOKUP(F533,ccustos!A:A,ccustos!B:B),"Sem termo")</f>
        <v>COFIS</v>
      </c>
    </row>
    <row r="534" spans="1:10" ht="36.75" customHeight="1" x14ac:dyDescent="0.25">
      <c r="A534" s="14">
        <v>10784</v>
      </c>
      <c r="B534" s="7" t="s">
        <v>236</v>
      </c>
      <c r="C534" s="7" t="s">
        <v>306</v>
      </c>
      <c r="D534" s="7" t="s">
        <v>588</v>
      </c>
      <c r="E534" s="7" t="s">
        <v>239</v>
      </c>
      <c r="F534" s="7" t="s">
        <v>22</v>
      </c>
      <c r="G534" s="7" t="s">
        <v>589</v>
      </c>
      <c r="H534" s="15">
        <v>4250</v>
      </c>
      <c r="I534" s="15">
        <v>154.72999999999999</v>
      </c>
      <c r="J534" s="7" t="str">
        <f>IFERROR(_xlfn.XLOOKUP(F534,ccustos!A:A,ccustos!B:B),"Sem termo")</f>
        <v>COTEC</v>
      </c>
    </row>
    <row r="535" spans="1:10" ht="36.75" customHeight="1" x14ac:dyDescent="0.25">
      <c r="A535" s="16">
        <v>10785</v>
      </c>
      <c r="B535" s="17" t="s">
        <v>236</v>
      </c>
      <c r="C535" s="17" t="s">
        <v>241</v>
      </c>
      <c r="D535" s="17" t="s">
        <v>361</v>
      </c>
      <c r="E535" s="17" t="s">
        <v>239</v>
      </c>
      <c r="F535" s="17" t="s">
        <v>44</v>
      </c>
      <c r="G535" s="17" t="s">
        <v>324</v>
      </c>
      <c r="H535" s="18">
        <v>5576.64</v>
      </c>
      <c r="I535" s="18">
        <v>2577.34</v>
      </c>
      <c r="J535" s="7" t="str">
        <f>IFERROR(_xlfn.XLOOKUP(F535,ccustos!A:A,ccustos!B:B),"Sem termo")</f>
        <v>COFIS</v>
      </c>
    </row>
    <row r="536" spans="1:10" ht="36.75" customHeight="1" x14ac:dyDescent="0.25">
      <c r="A536" s="14">
        <v>10786</v>
      </c>
      <c r="B536" s="7" t="s">
        <v>236</v>
      </c>
      <c r="C536" s="7" t="s">
        <v>325</v>
      </c>
      <c r="D536" s="7" t="s">
        <v>590</v>
      </c>
      <c r="E536" s="7" t="s">
        <v>239</v>
      </c>
      <c r="F536" s="7" t="s">
        <v>187</v>
      </c>
      <c r="G536" s="7" t="s">
        <v>311</v>
      </c>
      <c r="H536" s="15">
        <v>2279.6799999999998</v>
      </c>
      <c r="I536" s="15">
        <v>824.89</v>
      </c>
      <c r="J536" s="7" t="str">
        <f>IFERROR(_xlfn.XLOOKUP(F536,ccustos!A:A,ccustos!B:B),"Sem termo")</f>
        <v>CGGE</v>
      </c>
    </row>
    <row r="537" spans="1:10" ht="36.75" customHeight="1" x14ac:dyDescent="0.25">
      <c r="A537" s="16">
        <v>10787</v>
      </c>
      <c r="B537" s="17" t="s">
        <v>236</v>
      </c>
      <c r="C537" s="17" t="s">
        <v>294</v>
      </c>
      <c r="D537" s="17" t="s">
        <v>591</v>
      </c>
      <c r="E537" s="17" t="s">
        <v>239</v>
      </c>
      <c r="F537" s="17" t="s">
        <v>44</v>
      </c>
      <c r="G537" s="17" t="s">
        <v>311</v>
      </c>
      <c r="H537" s="18">
        <v>17640</v>
      </c>
      <c r="I537" s="18">
        <v>8326.39</v>
      </c>
      <c r="J537" s="7" t="str">
        <f>IFERROR(_xlfn.XLOOKUP(F537,ccustos!A:A,ccustos!B:B),"Sem termo")</f>
        <v>COFIS</v>
      </c>
    </row>
    <row r="538" spans="1:10" ht="25.5" customHeight="1" x14ac:dyDescent="0.25">
      <c r="A538" s="14">
        <v>10788</v>
      </c>
      <c r="B538" s="7" t="s">
        <v>236</v>
      </c>
      <c r="C538" s="7" t="s">
        <v>237</v>
      </c>
      <c r="D538" s="7" t="s">
        <v>592</v>
      </c>
      <c r="E538" s="7" t="s">
        <v>239</v>
      </c>
      <c r="F538" s="7" t="s">
        <v>187</v>
      </c>
      <c r="G538" s="7" t="s">
        <v>311</v>
      </c>
      <c r="H538" s="15">
        <v>2897.35</v>
      </c>
      <c r="I538" s="15">
        <v>724.91</v>
      </c>
      <c r="J538" s="7" t="str">
        <f>IFERROR(_xlfn.XLOOKUP(F538,ccustos!A:A,ccustos!B:B),"Sem termo")</f>
        <v>CGGE</v>
      </c>
    </row>
    <row r="539" spans="1:10" ht="36.75" customHeight="1" x14ac:dyDescent="0.25">
      <c r="A539" s="16">
        <v>10789</v>
      </c>
      <c r="B539" s="17" t="s">
        <v>236</v>
      </c>
      <c r="C539" s="17" t="s">
        <v>237</v>
      </c>
      <c r="D539" s="17" t="s">
        <v>593</v>
      </c>
      <c r="E539" s="17" t="s">
        <v>239</v>
      </c>
      <c r="F539" s="17" t="s">
        <v>187</v>
      </c>
      <c r="G539" s="17" t="s">
        <v>311</v>
      </c>
      <c r="H539" s="18">
        <v>2297.58</v>
      </c>
      <c r="I539" s="18">
        <v>407.16</v>
      </c>
      <c r="J539" s="7" t="str">
        <f>IFERROR(_xlfn.XLOOKUP(F539,ccustos!A:A,ccustos!B:B),"Sem termo")</f>
        <v>CGGE</v>
      </c>
    </row>
    <row r="540" spans="1:10" ht="25.5" customHeight="1" x14ac:dyDescent="0.25">
      <c r="A540" s="14">
        <v>10790</v>
      </c>
      <c r="B540" s="7" t="s">
        <v>236</v>
      </c>
      <c r="C540" s="7" t="s">
        <v>237</v>
      </c>
      <c r="D540" s="7" t="s">
        <v>593</v>
      </c>
      <c r="E540" s="7" t="s">
        <v>239</v>
      </c>
      <c r="F540" s="7" t="s">
        <v>187</v>
      </c>
      <c r="G540" s="7" t="s">
        <v>311</v>
      </c>
      <c r="H540" s="15">
        <v>2297.58</v>
      </c>
      <c r="I540" s="15">
        <v>397.35</v>
      </c>
      <c r="J540" s="7" t="str">
        <f>IFERROR(_xlfn.XLOOKUP(F540,ccustos!A:A,ccustos!B:B),"Sem termo")</f>
        <v>CGGE</v>
      </c>
    </row>
    <row r="541" spans="1:10" ht="36.75" customHeight="1" x14ac:dyDescent="0.25">
      <c r="A541" s="16">
        <v>10791</v>
      </c>
      <c r="B541" s="17" t="s">
        <v>236</v>
      </c>
      <c r="C541" s="17" t="s">
        <v>241</v>
      </c>
      <c r="D541" s="17" t="s">
        <v>354</v>
      </c>
      <c r="E541" s="17" t="s">
        <v>239</v>
      </c>
      <c r="F541" s="17" t="s">
        <v>29</v>
      </c>
      <c r="G541" s="17" t="s">
        <v>339</v>
      </c>
      <c r="H541" s="18">
        <v>238</v>
      </c>
      <c r="I541" s="18">
        <v>141.34</v>
      </c>
      <c r="J541" s="7" t="str">
        <f>IFERROR(_xlfn.XLOOKUP(F541,ccustos!A:A,ccustos!B:B),"Sem termo")</f>
        <v>COAD</v>
      </c>
    </row>
    <row r="542" spans="1:10" ht="25.5" customHeight="1" x14ac:dyDescent="0.25">
      <c r="A542" s="14">
        <v>10792</v>
      </c>
      <c r="B542" s="7" t="s">
        <v>236</v>
      </c>
      <c r="C542" s="7" t="s">
        <v>241</v>
      </c>
      <c r="D542" s="7" t="s">
        <v>354</v>
      </c>
      <c r="E542" s="7" t="s">
        <v>239</v>
      </c>
      <c r="F542" s="7" t="s">
        <v>27</v>
      </c>
      <c r="G542" s="7" t="s">
        <v>339</v>
      </c>
      <c r="H542" s="15">
        <v>238</v>
      </c>
      <c r="I542" s="15">
        <v>141.34</v>
      </c>
      <c r="J542" s="7" t="str">
        <f>IFERROR(_xlfn.XLOOKUP(F542,ccustos!A:A,ccustos!B:B),"Sem termo")</f>
        <v>CCI</v>
      </c>
    </row>
    <row r="543" spans="1:10" ht="25.5" customHeight="1" x14ac:dyDescent="0.25">
      <c r="A543" s="16">
        <v>10793</v>
      </c>
      <c r="B543" s="17" t="s">
        <v>236</v>
      </c>
      <c r="C543" s="17" t="s">
        <v>241</v>
      </c>
      <c r="D543" s="17" t="s">
        <v>482</v>
      </c>
      <c r="E543" s="17" t="s">
        <v>239</v>
      </c>
      <c r="F543" s="17" t="s">
        <v>211</v>
      </c>
      <c r="G543" s="17" t="s">
        <v>324</v>
      </c>
      <c r="H543" s="18">
        <v>1267.6099999999999</v>
      </c>
      <c r="I543" s="18">
        <v>585.85</v>
      </c>
      <c r="J543" s="7" t="str">
        <f>IFERROR(_xlfn.XLOOKUP(F543,ccustos!A:A,ccustos!B:B),"Sem termo")</f>
        <v>DIGEO</v>
      </c>
    </row>
    <row r="544" spans="1:10" ht="25.5" customHeight="1" x14ac:dyDescent="0.25">
      <c r="A544" s="14">
        <v>10794</v>
      </c>
      <c r="B544" s="7" t="s">
        <v>236</v>
      </c>
      <c r="C544" s="7" t="s">
        <v>237</v>
      </c>
      <c r="D544" s="7" t="s">
        <v>594</v>
      </c>
      <c r="E544" s="7" t="s">
        <v>239</v>
      </c>
      <c r="F544" s="7" t="s">
        <v>29</v>
      </c>
      <c r="G544" s="7" t="s">
        <v>311</v>
      </c>
      <c r="H544" s="15">
        <v>1021.01</v>
      </c>
      <c r="I544" s="15">
        <v>58.46</v>
      </c>
      <c r="J544" s="7" t="str">
        <f>IFERROR(_xlfn.XLOOKUP(F544,ccustos!A:A,ccustos!B:B),"Sem termo")</f>
        <v>COAD</v>
      </c>
    </row>
    <row r="545" spans="1:10" ht="36.75" customHeight="1" x14ac:dyDescent="0.25">
      <c r="A545" s="16">
        <v>10795</v>
      </c>
      <c r="B545" s="17" t="s">
        <v>236</v>
      </c>
      <c r="C545" s="17" t="s">
        <v>237</v>
      </c>
      <c r="D545" s="17" t="s">
        <v>595</v>
      </c>
      <c r="E545" s="17" t="s">
        <v>239</v>
      </c>
      <c r="F545" s="17" t="s">
        <v>0</v>
      </c>
      <c r="G545" s="17" t="s">
        <v>311</v>
      </c>
      <c r="H545" s="18">
        <v>1021.01</v>
      </c>
      <c r="I545" s="18">
        <v>397.35</v>
      </c>
      <c r="J545" s="7" t="str">
        <f>IFERROR(_xlfn.XLOOKUP(F545,ccustos!A:A,ccustos!B:B),"Sem termo")</f>
        <v>SEPAT</v>
      </c>
    </row>
    <row r="546" spans="1:10" ht="25.5" customHeight="1" x14ac:dyDescent="0.25">
      <c r="A546" s="14">
        <v>10796</v>
      </c>
      <c r="B546" s="7" t="s">
        <v>236</v>
      </c>
      <c r="C546" s="7" t="s">
        <v>241</v>
      </c>
      <c r="D546" s="7" t="s">
        <v>596</v>
      </c>
      <c r="E546" s="7" t="s">
        <v>239</v>
      </c>
      <c r="F546" s="7" t="s">
        <v>27</v>
      </c>
      <c r="G546" s="7" t="s">
        <v>308</v>
      </c>
      <c r="H546" s="15">
        <v>695.75</v>
      </c>
      <c r="I546" s="15">
        <v>177.2</v>
      </c>
      <c r="J546" s="7" t="str">
        <f>IFERROR(_xlfn.XLOOKUP(F546,ccustos!A:A,ccustos!B:B),"Sem termo")</f>
        <v>CCI</v>
      </c>
    </row>
    <row r="547" spans="1:10" ht="36.75" customHeight="1" x14ac:dyDescent="0.25">
      <c r="A547" s="16">
        <v>10797</v>
      </c>
      <c r="B547" s="17" t="s">
        <v>236</v>
      </c>
      <c r="C547" s="17" t="s">
        <v>237</v>
      </c>
      <c r="D547" s="17" t="s">
        <v>597</v>
      </c>
      <c r="E547" s="17" t="s">
        <v>239</v>
      </c>
      <c r="F547" s="17" t="s">
        <v>0</v>
      </c>
      <c r="G547" s="17" t="s">
        <v>343</v>
      </c>
      <c r="H547" s="18">
        <v>530.16999999999996</v>
      </c>
      <c r="I547" s="18">
        <v>173.7</v>
      </c>
      <c r="J547" s="7" t="str">
        <f>IFERROR(_xlfn.XLOOKUP(F547,ccustos!A:A,ccustos!B:B),"Sem termo")</f>
        <v>SEPAT</v>
      </c>
    </row>
    <row r="548" spans="1:10" ht="36.75" customHeight="1" x14ac:dyDescent="0.25">
      <c r="A548" s="14">
        <v>10798</v>
      </c>
      <c r="B548" s="7" t="s">
        <v>236</v>
      </c>
      <c r="C548" s="7" t="s">
        <v>237</v>
      </c>
      <c r="D548" s="7" t="s">
        <v>598</v>
      </c>
      <c r="E548" s="7" t="s">
        <v>239</v>
      </c>
      <c r="F548" s="7" t="s">
        <v>185</v>
      </c>
      <c r="G548" s="7" t="s">
        <v>343</v>
      </c>
      <c r="H548" s="15">
        <v>292.58</v>
      </c>
      <c r="I548" s="15">
        <v>149.01</v>
      </c>
      <c r="J548" s="7" t="str">
        <f>IFERROR(_xlfn.XLOOKUP(F548,ccustos!A:A,ccustos!B:B),"Sem termo")</f>
        <v>CGGE</v>
      </c>
    </row>
    <row r="549" spans="1:10" ht="36.75" customHeight="1" x14ac:dyDescent="0.25">
      <c r="A549" s="16">
        <v>10799</v>
      </c>
      <c r="B549" s="17" t="s">
        <v>236</v>
      </c>
      <c r="C549" s="17" t="s">
        <v>237</v>
      </c>
      <c r="D549" s="17" t="s">
        <v>597</v>
      </c>
      <c r="E549" s="17" t="s">
        <v>239</v>
      </c>
      <c r="F549" s="17" t="s">
        <v>0</v>
      </c>
      <c r="G549" s="17" t="s">
        <v>343</v>
      </c>
      <c r="H549" s="18">
        <v>530.16999999999996</v>
      </c>
      <c r="I549" s="18">
        <v>173.7</v>
      </c>
      <c r="J549" s="7" t="str">
        <f>IFERROR(_xlfn.XLOOKUP(F549,ccustos!A:A,ccustos!B:B),"Sem termo")</f>
        <v>SEPAT</v>
      </c>
    </row>
    <row r="550" spans="1:10" ht="36.75" customHeight="1" x14ac:dyDescent="0.25">
      <c r="A550" s="14">
        <v>10800</v>
      </c>
      <c r="B550" s="7" t="s">
        <v>236</v>
      </c>
      <c r="C550" s="7" t="s">
        <v>306</v>
      </c>
      <c r="D550" s="7" t="s">
        <v>307</v>
      </c>
      <c r="E550" s="7" t="s">
        <v>239</v>
      </c>
      <c r="F550" s="7" t="s">
        <v>30</v>
      </c>
      <c r="G550" s="7" t="s">
        <v>308</v>
      </c>
      <c r="H550" s="15">
        <v>310.75</v>
      </c>
      <c r="I550" s="15">
        <v>127.1</v>
      </c>
      <c r="J550" s="7" t="str">
        <f>IFERROR(_xlfn.XLOOKUP(F550,ccustos!A:A,ccustos!B:B),"Sem termo")</f>
        <v>COFIS</v>
      </c>
    </row>
    <row r="551" spans="1:10" ht="36.75" customHeight="1" x14ac:dyDescent="0.25">
      <c r="A551" s="16">
        <v>10801</v>
      </c>
      <c r="B551" s="17" t="s">
        <v>236</v>
      </c>
      <c r="C551" s="17" t="s">
        <v>306</v>
      </c>
      <c r="D551" s="17" t="s">
        <v>307</v>
      </c>
      <c r="E551" s="17" t="s">
        <v>239</v>
      </c>
      <c r="F551" s="17" t="s">
        <v>30</v>
      </c>
      <c r="G551" s="17" t="s">
        <v>289</v>
      </c>
      <c r="H551" s="18">
        <v>287.67</v>
      </c>
      <c r="I551" s="18">
        <v>127.1</v>
      </c>
      <c r="J551" s="7" t="str">
        <f>IFERROR(_xlfn.XLOOKUP(F551,ccustos!A:A,ccustos!B:B),"Sem termo")</f>
        <v>COFIS</v>
      </c>
    </row>
    <row r="552" spans="1:10" ht="25.5" customHeight="1" x14ac:dyDescent="0.25">
      <c r="A552" s="14">
        <v>10802</v>
      </c>
      <c r="B552" s="7" t="s">
        <v>236</v>
      </c>
      <c r="C552" s="7" t="s">
        <v>306</v>
      </c>
      <c r="D552" s="7" t="s">
        <v>307</v>
      </c>
      <c r="E552" s="7" t="s">
        <v>239</v>
      </c>
      <c r="F552" s="7" t="s">
        <v>30</v>
      </c>
      <c r="G552" s="7" t="s">
        <v>289</v>
      </c>
      <c r="H552" s="15">
        <v>310.75</v>
      </c>
      <c r="I552" s="15">
        <v>127.1</v>
      </c>
      <c r="J552" s="7" t="str">
        <f>IFERROR(_xlfn.XLOOKUP(F552,ccustos!A:A,ccustos!B:B),"Sem termo")</f>
        <v>COFIS</v>
      </c>
    </row>
    <row r="553" spans="1:10" ht="25.5" customHeight="1" x14ac:dyDescent="0.25">
      <c r="A553" s="16">
        <v>10803</v>
      </c>
      <c r="B553" s="17" t="s">
        <v>236</v>
      </c>
      <c r="C553" s="17" t="s">
        <v>306</v>
      </c>
      <c r="D553" s="17" t="s">
        <v>369</v>
      </c>
      <c r="E553" s="17" t="s">
        <v>239</v>
      </c>
      <c r="F553" s="17" t="s">
        <v>303</v>
      </c>
      <c r="G553" s="17" t="s">
        <v>289</v>
      </c>
      <c r="H553" s="18">
        <v>734.67</v>
      </c>
      <c r="I553" s="18">
        <v>154.72999999999999</v>
      </c>
      <c r="J553" s="7" t="str">
        <f>IFERROR(_xlfn.XLOOKUP(F553,ccustos!A:A,ccustos!B:B),"Sem termo")</f>
        <v>Sem termo</v>
      </c>
    </row>
    <row r="554" spans="1:10" ht="25.5" customHeight="1" x14ac:dyDescent="0.25">
      <c r="A554" s="14">
        <v>10804</v>
      </c>
      <c r="B554" s="7" t="s">
        <v>236</v>
      </c>
      <c r="C554" s="7" t="s">
        <v>306</v>
      </c>
      <c r="D554" s="7" t="s">
        <v>369</v>
      </c>
      <c r="E554" s="7" t="s">
        <v>239</v>
      </c>
      <c r="F554" s="7" t="s">
        <v>30</v>
      </c>
      <c r="G554" s="7" t="s">
        <v>289</v>
      </c>
      <c r="H554" s="15">
        <v>444.97</v>
      </c>
      <c r="I554" s="15">
        <v>154.72999999999999</v>
      </c>
      <c r="J554" s="7" t="str">
        <f>IFERROR(_xlfn.XLOOKUP(F554,ccustos!A:A,ccustos!B:B),"Sem termo")</f>
        <v>COFIS</v>
      </c>
    </row>
    <row r="555" spans="1:10" ht="25.5" customHeight="1" x14ac:dyDescent="0.25">
      <c r="A555" s="16">
        <v>10805</v>
      </c>
      <c r="B555" s="17" t="s">
        <v>236</v>
      </c>
      <c r="C555" s="17" t="s">
        <v>241</v>
      </c>
      <c r="D555" s="17" t="s">
        <v>599</v>
      </c>
      <c r="E555" s="17" t="s">
        <v>239</v>
      </c>
      <c r="F555" s="17" t="s">
        <v>30</v>
      </c>
      <c r="G555" s="17" t="s">
        <v>331</v>
      </c>
      <c r="H555" s="18">
        <v>369</v>
      </c>
      <c r="I555" s="18">
        <v>141.34</v>
      </c>
      <c r="J555" s="7" t="str">
        <f>IFERROR(_xlfn.XLOOKUP(F555,ccustos!A:A,ccustos!B:B),"Sem termo")</f>
        <v>COFIS</v>
      </c>
    </row>
    <row r="556" spans="1:10" ht="25.5" customHeight="1" x14ac:dyDescent="0.25">
      <c r="A556" s="14">
        <v>10806</v>
      </c>
      <c r="B556" s="7" t="s">
        <v>236</v>
      </c>
      <c r="C556" s="7" t="s">
        <v>306</v>
      </c>
      <c r="D556" s="7" t="s">
        <v>600</v>
      </c>
      <c r="E556" s="7" t="s">
        <v>239</v>
      </c>
      <c r="F556" s="7" t="s">
        <v>30</v>
      </c>
      <c r="G556" s="7" t="s">
        <v>253</v>
      </c>
      <c r="H556" s="15">
        <v>547.07000000000005</v>
      </c>
      <c r="I556" s="15">
        <v>141.71</v>
      </c>
      <c r="J556" s="7" t="str">
        <f>IFERROR(_xlfn.XLOOKUP(F556,ccustos!A:A,ccustos!B:B),"Sem termo")</f>
        <v>COFIS</v>
      </c>
    </row>
    <row r="557" spans="1:10" ht="36.75" customHeight="1" x14ac:dyDescent="0.25">
      <c r="A557" s="16">
        <v>10807</v>
      </c>
      <c r="B557" s="17" t="s">
        <v>236</v>
      </c>
      <c r="C557" s="17" t="s">
        <v>237</v>
      </c>
      <c r="D557" s="17" t="s">
        <v>279</v>
      </c>
      <c r="E557" s="17" t="s">
        <v>239</v>
      </c>
      <c r="F557" s="17" t="s">
        <v>0</v>
      </c>
      <c r="G557" s="17" t="s">
        <v>280</v>
      </c>
      <c r="H557" s="18">
        <v>565.47</v>
      </c>
      <c r="I557" s="18">
        <v>173.7</v>
      </c>
      <c r="J557" s="7" t="str">
        <f>IFERROR(_xlfn.XLOOKUP(F557,ccustos!A:A,ccustos!B:B),"Sem termo")</f>
        <v>SEPAT</v>
      </c>
    </row>
    <row r="558" spans="1:10" ht="25.5" customHeight="1" x14ac:dyDescent="0.25">
      <c r="A558" s="14">
        <v>10809</v>
      </c>
      <c r="B558" s="7" t="s">
        <v>236</v>
      </c>
      <c r="C558" s="7" t="s">
        <v>333</v>
      </c>
      <c r="D558" s="7" t="s">
        <v>601</v>
      </c>
      <c r="E558" s="7" t="s">
        <v>335</v>
      </c>
      <c r="F558" s="7" t="s">
        <v>53</v>
      </c>
      <c r="G558" s="7" t="s">
        <v>348</v>
      </c>
      <c r="H558" s="15">
        <v>618.41999999999996</v>
      </c>
      <c r="I558" s="15">
        <v>111.89</v>
      </c>
      <c r="J558" s="7" t="str">
        <f>IFERROR(_xlfn.XLOOKUP(F558,ccustos!A:A,ccustos!B:B),"Sem termo")</f>
        <v>DELIC</v>
      </c>
    </row>
    <row r="559" spans="1:10" ht="36.75" customHeight="1" x14ac:dyDescent="0.25">
      <c r="A559" s="16">
        <v>10810</v>
      </c>
      <c r="B559" s="17" t="s">
        <v>236</v>
      </c>
      <c r="C559" s="17" t="s">
        <v>241</v>
      </c>
      <c r="D559" s="17" t="s">
        <v>602</v>
      </c>
      <c r="E559" s="17" t="s">
        <v>239</v>
      </c>
      <c r="F559" s="17" t="s">
        <v>30</v>
      </c>
      <c r="G559" s="17" t="s">
        <v>463</v>
      </c>
      <c r="H559" s="18">
        <v>919.82</v>
      </c>
      <c r="I559" s="18">
        <v>206.4</v>
      </c>
      <c r="J559" s="7" t="str">
        <f>IFERROR(_xlfn.XLOOKUP(F559,ccustos!A:A,ccustos!B:B),"Sem termo")</f>
        <v>COFIS</v>
      </c>
    </row>
    <row r="560" spans="1:10" ht="36.75" customHeight="1" x14ac:dyDescent="0.25">
      <c r="A560" s="14">
        <v>10811</v>
      </c>
      <c r="B560" s="7" t="s">
        <v>236</v>
      </c>
      <c r="C560" s="7" t="s">
        <v>237</v>
      </c>
      <c r="D560" s="7" t="s">
        <v>598</v>
      </c>
      <c r="E560" s="7" t="s">
        <v>239</v>
      </c>
      <c r="F560" s="7" t="s">
        <v>211</v>
      </c>
      <c r="G560" s="7" t="s">
        <v>343</v>
      </c>
      <c r="H560" s="15">
        <v>292.58</v>
      </c>
      <c r="I560" s="15">
        <v>149.01</v>
      </c>
      <c r="J560" s="7" t="str">
        <f>IFERROR(_xlfn.XLOOKUP(F560,ccustos!A:A,ccustos!B:B),"Sem termo")</f>
        <v>DIGEO</v>
      </c>
    </row>
    <row r="561" spans="1:10" ht="25.5" customHeight="1" x14ac:dyDescent="0.25">
      <c r="A561" s="16">
        <v>10812</v>
      </c>
      <c r="B561" s="17" t="s">
        <v>236</v>
      </c>
      <c r="C561" s="17" t="s">
        <v>313</v>
      </c>
      <c r="D561" s="17" t="s">
        <v>603</v>
      </c>
      <c r="E561" s="17" t="s">
        <v>250</v>
      </c>
      <c r="F561" s="17" t="s">
        <v>30</v>
      </c>
      <c r="G561" s="17" t="s">
        <v>315</v>
      </c>
      <c r="H561" s="18">
        <v>620</v>
      </c>
      <c r="I561" s="18">
        <v>196.91</v>
      </c>
      <c r="J561" s="7" t="str">
        <f>IFERROR(_xlfn.XLOOKUP(F561,ccustos!A:A,ccustos!B:B),"Sem termo")</f>
        <v>COFIS</v>
      </c>
    </row>
    <row r="562" spans="1:10" ht="36.75" customHeight="1" x14ac:dyDescent="0.25">
      <c r="A562" s="14">
        <v>10813</v>
      </c>
      <c r="B562" s="7" t="s">
        <v>236</v>
      </c>
      <c r="C562" s="7" t="s">
        <v>306</v>
      </c>
      <c r="D562" s="7" t="s">
        <v>462</v>
      </c>
      <c r="E562" s="7" t="s">
        <v>239</v>
      </c>
      <c r="F562" s="7" t="s">
        <v>30</v>
      </c>
      <c r="G562" s="7" t="s">
        <v>463</v>
      </c>
      <c r="H562" s="15">
        <v>322.56</v>
      </c>
      <c r="I562" s="15">
        <v>127.1</v>
      </c>
      <c r="J562" s="7" t="str">
        <f>IFERROR(_xlfn.XLOOKUP(F562,ccustos!A:A,ccustos!B:B),"Sem termo")</f>
        <v>COFIS</v>
      </c>
    </row>
    <row r="563" spans="1:10" ht="36.75" customHeight="1" x14ac:dyDescent="0.25">
      <c r="A563" s="16">
        <v>10814</v>
      </c>
      <c r="B563" s="17" t="s">
        <v>236</v>
      </c>
      <c r="C563" s="17" t="s">
        <v>306</v>
      </c>
      <c r="D563" s="17" t="s">
        <v>307</v>
      </c>
      <c r="E563" s="17" t="s">
        <v>239</v>
      </c>
      <c r="F563" s="17" t="s">
        <v>30</v>
      </c>
      <c r="G563" s="17" t="s">
        <v>308</v>
      </c>
      <c r="H563" s="18">
        <v>310.75</v>
      </c>
      <c r="I563" s="18">
        <v>127.1</v>
      </c>
      <c r="J563" s="7" t="str">
        <f>IFERROR(_xlfn.XLOOKUP(F563,ccustos!A:A,ccustos!B:B),"Sem termo")</f>
        <v>COFIS</v>
      </c>
    </row>
    <row r="564" spans="1:10" ht="25.5" customHeight="1" x14ac:dyDescent="0.25">
      <c r="A564" s="14">
        <v>10815</v>
      </c>
      <c r="B564" s="7" t="s">
        <v>236</v>
      </c>
      <c r="C564" s="7" t="s">
        <v>306</v>
      </c>
      <c r="D564" s="7" t="s">
        <v>369</v>
      </c>
      <c r="E564" s="7" t="s">
        <v>239</v>
      </c>
      <c r="F564" s="7" t="s">
        <v>37</v>
      </c>
      <c r="G564" s="7" t="s">
        <v>289</v>
      </c>
      <c r="H564" s="15">
        <v>444.97</v>
      </c>
      <c r="I564" s="15">
        <v>154.72999999999999</v>
      </c>
      <c r="J564" s="7" t="str">
        <f>IFERROR(_xlfn.XLOOKUP(F564,ccustos!A:A,ccustos!B:B),"Sem termo")</f>
        <v>PROJUR</v>
      </c>
    </row>
    <row r="565" spans="1:10" ht="25.5" customHeight="1" x14ac:dyDescent="0.25">
      <c r="A565" s="16">
        <v>10816</v>
      </c>
      <c r="B565" s="17" t="s">
        <v>236</v>
      </c>
      <c r="C565" s="17" t="s">
        <v>306</v>
      </c>
      <c r="D565" s="17" t="s">
        <v>512</v>
      </c>
      <c r="E565" s="17" t="s">
        <v>239</v>
      </c>
      <c r="F565" s="17" t="s">
        <v>37</v>
      </c>
      <c r="G565" s="17" t="s">
        <v>339</v>
      </c>
      <c r="H565" s="18">
        <v>238.22</v>
      </c>
      <c r="I565" s="18">
        <v>127.1</v>
      </c>
      <c r="J565" s="7" t="str">
        <f>IFERROR(_xlfn.XLOOKUP(F565,ccustos!A:A,ccustos!B:B),"Sem termo")</f>
        <v>PROJUR</v>
      </c>
    </row>
    <row r="566" spans="1:10" ht="25.5" customHeight="1" x14ac:dyDescent="0.25">
      <c r="A566" s="14">
        <v>10817</v>
      </c>
      <c r="B566" s="7" t="s">
        <v>236</v>
      </c>
      <c r="C566" s="7" t="s">
        <v>306</v>
      </c>
      <c r="D566" s="7" t="s">
        <v>307</v>
      </c>
      <c r="E566" s="7" t="s">
        <v>239</v>
      </c>
      <c r="F566" s="7" t="s">
        <v>37</v>
      </c>
      <c r="G566" s="7" t="s">
        <v>289</v>
      </c>
      <c r="H566" s="15">
        <v>287.67</v>
      </c>
      <c r="I566" s="15">
        <v>127.1</v>
      </c>
      <c r="J566" s="7" t="str">
        <f>IFERROR(_xlfn.XLOOKUP(F566,ccustos!A:A,ccustos!B:B),"Sem termo")</f>
        <v>PROJUR</v>
      </c>
    </row>
    <row r="567" spans="1:10" ht="25.5" customHeight="1" x14ac:dyDescent="0.25">
      <c r="A567" s="16">
        <v>10818</v>
      </c>
      <c r="B567" s="17" t="s">
        <v>236</v>
      </c>
      <c r="C567" s="17" t="s">
        <v>337</v>
      </c>
      <c r="D567" s="17" t="s">
        <v>510</v>
      </c>
      <c r="E567" s="17" t="s">
        <v>239</v>
      </c>
      <c r="F567" s="17" t="s">
        <v>185</v>
      </c>
      <c r="G567" s="17" t="s">
        <v>331</v>
      </c>
      <c r="H567" s="18">
        <v>298</v>
      </c>
      <c r="I567" s="18">
        <v>213.43</v>
      </c>
      <c r="J567" s="7" t="str">
        <f>IFERROR(_xlfn.XLOOKUP(F567,ccustos!A:A,ccustos!B:B),"Sem termo")</f>
        <v>CGGE</v>
      </c>
    </row>
    <row r="568" spans="1:10" ht="25.5" customHeight="1" x14ac:dyDescent="0.25">
      <c r="A568" s="14">
        <v>10819</v>
      </c>
      <c r="B568" s="7" t="s">
        <v>236</v>
      </c>
      <c r="C568" s="7" t="s">
        <v>337</v>
      </c>
      <c r="D568" s="7" t="s">
        <v>510</v>
      </c>
      <c r="E568" s="7" t="s">
        <v>239</v>
      </c>
      <c r="F568" s="7" t="s">
        <v>37</v>
      </c>
      <c r="G568" s="7" t="s">
        <v>375</v>
      </c>
      <c r="H568" s="15">
        <v>200</v>
      </c>
      <c r="I568" s="15">
        <v>498</v>
      </c>
      <c r="J568" s="7" t="str">
        <f>IFERROR(_xlfn.XLOOKUP(F568,ccustos!A:A,ccustos!B:B),"Sem termo")</f>
        <v>PROJUR</v>
      </c>
    </row>
    <row r="569" spans="1:10" ht="36.75" customHeight="1" x14ac:dyDescent="0.25">
      <c r="A569" s="16">
        <v>10822</v>
      </c>
      <c r="B569" s="17" t="s">
        <v>236</v>
      </c>
      <c r="C569" s="17" t="s">
        <v>313</v>
      </c>
      <c r="D569" s="17" t="s">
        <v>604</v>
      </c>
      <c r="E569" s="17" t="s">
        <v>250</v>
      </c>
      <c r="F569" s="17" t="s">
        <v>37</v>
      </c>
      <c r="G569" s="17" t="s">
        <v>315</v>
      </c>
      <c r="H569" s="18">
        <v>620</v>
      </c>
      <c r="I569" s="18">
        <v>196.91</v>
      </c>
      <c r="J569" s="7" t="str">
        <f>IFERROR(_xlfn.XLOOKUP(F569,ccustos!A:A,ccustos!B:B),"Sem termo")</f>
        <v>PROJUR</v>
      </c>
    </row>
    <row r="570" spans="1:10" ht="25.5" customHeight="1" x14ac:dyDescent="0.25">
      <c r="A570" s="14">
        <v>10825</v>
      </c>
      <c r="B570" s="7" t="s">
        <v>236</v>
      </c>
      <c r="C570" s="7" t="s">
        <v>241</v>
      </c>
      <c r="D570" s="7" t="s">
        <v>605</v>
      </c>
      <c r="E570" s="7" t="s">
        <v>239</v>
      </c>
      <c r="F570" s="7" t="s">
        <v>37</v>
      </c>
      <c r="G570" s="7" t="s">
        <v>308</v>
      </c>
      <c r="H570" s="15">
        <v>820.23</v>
      </c>
      <c r="I570" s="15">
        <v>200.85</v>
      </c>
      <c r="J570" s="7" t="str">
        <f>IFERROR(_xlfn.XLOOKUP(F570,ccustos!A:A,ccustos!B:B),"Sem termo")</f>
        <v>PROJUR</v>
      </c>
    </row>
    <row r="571" spans="1:10" ht="25.5" customHeight="1" x14ac:dyDescent="0.25">
      <c r="A571" s="16">
        <v>10829</v>
      </c>
      <c r="B571" s="17" t="s">
        <v>236</v>
      </c>
      <c r="C571" s="17" t="s">
        <v>237</v>
      </c>
      <c r="D571" s="17" t="s">
        <v>527</v>
      </c>
      <c r="E571" s="17" t="s">
        <v>239</v>
      </c>
      <c r="F571" s="17" t="s">
        <v>62</v>
      </c>
      <c r="G571" s="17" t="s">
        <v>280</v>
      </c>
      <c r="H571" s="18">
        <v>310.76</v>
      </c>
      <c r="I571" s="18">
        <v>58.46</v>
      </c>
      <c r="J571" s="7" t="str">
        <f>IFERROR(_xlfn.XLOOKUP(F571,ccustos!A:A,ccustos!B:B),"Sem termo")</f>
        <v>SETRAN</v>
      </c>
    </row>
    <row r="572" spans="1:10" ht="25.5" customHeight="1" x14ac:dyDescent="0.25">
      <c r="A572" s="14">
        <v>10831</v>
      </c>
      <c r="B572" s="7" t="s">
        <v>236</v>
      </c>
      <c r="C572" s="7" t="s">
        <v>237</v>
      </c>
      <c r="D572" s="7" t="s">
        <v>527</v>
      </c>
      <c r="E572" s="7" t="s">
        <v>239</v>
      </c>
      <c r="F572" s="7" t="s">
        <v>62</v>
      </c>
      <c r="G572" s="7" t="s">
        <v>280</v>
      </c>
      <c r="H572" s="15">
        <v>310.77</v>
      </c>
      <c r="I572" s="15">
        <v>58.46</v>
      </c>
      <c r="J572" s="7" t="str">
        <f>IFERROR(_xlfn.XLOOKUP(F572,ccustos!A:A,ccustos!B:B),"Sem termo")</f>
        <v>SETRAN</v>
      </c>
    </row>
    <row r="573" spans="1:10" ht="25.5" customHeight="1" x14ac:dyDescent="0.25">
      <c r="A573" s="16">
        <v>10832</v>
      </c>
      <c r="B573" s="17" t="s">
        <v>236</v>
      </c>
      <c r="C573" s="17" t="s">
        <v>237</v>
      </c>
      <c r="D573" s="17" t="s">
        <v>527</v>
      </c>
      <c r="E573" s="17" t="s">
        <v>239</v>
      </c>
      <c r="F573" s="17" t="s">
        <v>62</v>
      </c>
      <c r="G573" s="17" t="s">
        <v>280</v>
      </c>
      <c r="H573" s="18">
        <v>310.76</v>
      </c>
      <c r="I573" s="18">
        <v>58.46</v>
      </c>
      <c r="J573" s="7" t="str">
        <f>IFERROR(_xlfn.XLOOKUP(F573,ccustos!A:A,ccustos!B:B),"Sem termo")</f>
        <v>SETRAN</v>
      </c>
    </row>
    <row r="574" spans="1:10" ht="25.5" customHeight="1" x14ac:dyDescent="0.25">
      <c r="A574" s="14">
        <v>10834</v>
      </c>
      <c r="B574" s="7" t="s">
        <v>236</v>
      </c>
      <c r="C574" s="7" t="s">
        <v>241</v>
      </c>
      <c r="D574" s="7" t="s">
        <v>606</v>
      </c>
      <c r="E574" s="7" t="s">
        <v>239</v>
      </c>
      <c r="F574" s="7" t="s">
        <v>37</v>
      </c>
      <c r="G574" s="7" t="s">
        <v>331</v>
      </c>
      <c r="H574" s="15">
        <v>369</v>
      </c>
      <c r="I574" s="15">
        <v>141.57</v>
      </c>
      <c r="J574" s="7" t="str">
        <f>IFERROR(_xlfn.XLOOKUP(F574,ccustos!A:A,ccustos!B:B),"Sem termo")</f>
        <v>PROJUR</v>
      </c>
    </row>
    <row r="575" spans="1:10" ht="25.5" customHeight="1" x14ac:dyDescent="0.25">
      <c r="A575" s="16">
        <v>10835</v>
      </c>
      <c r="B575" s="17" t="s">
        <v>236</v>
      </c>
      <c r="C575" s="17" t="s">
        <v>306</v>
      </c>
      <c r="D575" s="17" t="s">
        <v>307</v>
      </c>
      <c r="E575" s="17" t="s">
        <v>239</v>
      </c>
      <c r="F575" s="17" t="s">
        <v>185</v>
      </c>
      <c r="G575" s="17" t="s">
        <v>308</v>
      </c>
      <c r="H575" s="18">
        <v>310.75</v>
      </c>
      <c r="I575" s="18">
        <v>142.58000000000001</v>
      </c>
      <c r="J575" s="7" t="str">
        <f>IFERROR(_xlfn.XLOOKUP(F575,ccustos!A:A,ccustos!B:B),"Sem termo")</f>
        <v>CGGE</v>
      </c>
    </row>
    <row r="576" spans="1:10" ht="36.75" customHeight="1" x14ac:dyDescent="0.25">
      <c r="A576" s="14">
        <v>10836</v>
      </c>
      <c r="B576" s="7" t="s">
        <v>236</v>
      </c>
      <c r="C576" s="7" t="s">
        <v>241</v>
      </c>
      <c r="D576" s="7" t="s">
        <v>607</v>
      </c>
      <c r="E576" s="7" t="s">
        <v>239</v>
      </c>
      <c r="F576" s="7" t="s">
        <v>185</v>
      </c>
      <c r="G576" s="7" t="s">
        <v>339</v>
      </c>
      <c r="H576" s="15">
        <v>364</v>
      </c>
      <c r="I576" s="15">
        <v>296.22000000000003</v>
      </c>
      <c r="J576" s="7" t="str">
        <f>IFERROR(_xlfn.XLOOKUP(F576,ccustos!A:A,ccustos!B:B),"Sem termo")</f>
        <v>CGGE</v>
      </c>
    </row>
    <row r="577" spans="1:10" ht="36.75" customHeight="1" x14ac:dyDescent="0.25">
      <c r="A577" s="16">
        <v>10838</v>
      </c>
      <c r="B577" s="17" t="s">
        <v>236</v>
      </c>
      <c r="C577" s="17" t="s">
        <v>237</v>
      </c>
      <c r="D577" s="17" t="s">
        <v>279</v>
      </c>
      <c r="E577" s="17" t="s">
        <v>239</v>
      </c>
      <c r="F577" s="17" t="s">
        <v>0</v>
      </c>
      <c r="G577" s="17" t="s">
        <v>280</v>
      </c>
      <c r="H577" s="18">
        <v>565.47</v>
      </c>
      <c r="I577" s="18">
        <v>173.7</v>
      </c>
      <c r="J577" s="7" t="str">
        <f>IFERROR(_xlfn.XLOOKUP(F577,ccustos!A:A,ccustos!B:B),"Sem termo")</f>
        <v>SEPAT</v>
      </c>
    </row>
    <row r="578" spans="1:10" ht="36.75" customHeight="1" x14ac:dyDescent="0.25">
      <c r="A578" s="14">
        <v>10839</v>
      </c>
      <c r="B578" s="7" t="s">
        <v>236</v>
      </c>
      <c r="C578" s="7" t="s">
        <v>333</v>
      </c>
      <c r="D578" s="7" t="s">
        <v>608</v>
      </c>
      <c r="E578" s="7" t="s">
        <v>335</v>
      </c>
      <c r="F578" s="7" t="s">
        <v>32</v>
      </c>
      <c r="G578" s="7" t="s">
        <v>348</v>
      </c>
      <c r="H578" s="15">
        <v>618.41999999999996</v>
      </c>
      <c r="I578" s="15">
        <v>49.32</v>
      </c>
      <c r="J578" s="7" t="str">
        <f>IFERROR(_xlfn.XLOOKUP(F578,ccustos!A:A,ccustos!B:B),"Sem termo")</f>
        <v>DECONT</v>
      </c>
    </row>
    <row r="579" spans="1:10" ht="36.75" customHeight="1" x14ac:dyDescent="0.25">
      <c r="A579" s="16">
        <v>10840</v>
      </c>
      <c r="B579" s="17" t="s">
        <v>236</v>
      </c>
      <c r="C579" s="17" t="s">
        <v>337</v>
      </c>
      <c r="D579" s="17" t="s">
        <v>609</v>
      </c>
      <c r="E579" s="17" t="s">
        <v>239</v>
      </c>
      <c r="F579" s="17" t="s">
        <v>28</v>
      </c>
      <c r="G579" s="17" t="s">
        <v>331</v>
      </c>
      <c r="H579" s="18">
        <v>298</v>
      </c>
      <c r="I579" s="18">
        <v>213.43</v>
      </c>
      <c r="J579" s="7" t="str">
        <f>IFERROR(_xlfn.XLOOKUP(F579,ccustos!A:A,ccustos!B:B),"Sem termo")</f>
        <v>COPI</v>
      </c>
    </row>
    <row r="580" spans="1:10" ht="36.75" customHeight="1" x14ac:dyDescent="0.25">
      <c r="A580" s="14">
        <v>10841</v>
      </c>
      <c r="B580" s="7" t="s">
        <v>236</v>
      </c>
      <c r="C580" s="7" t="s">
        <v>306</v>
      </c>
      <c r="D580" s="7" t="s">
        <v>307</v>
      </c>
      <c r="E580" s="7" t="s">
        <v>239</v>
      </c>
      <c r="F580" s="7" t="s">
        <v>37</v>
      </c>
      <c r="G580" s="7" t="s">
        <v>308</v>
      </c>
      <c r="H580" s="15">
        <v>310.75</v>
      </c>
      <c r="I580" s="15">
        <v>127.1</v>
      </c>
      <c r="J580" s="7" t="str">
        <f>IFERROR(_xlfn.XLOOKUP(F580,ccustos!A:A,ccustos!B:B),"Sem termo")</f>
        <v>PROJUR</v>
      </c>
    </row>
    <row r="581" spans="1:10" ht="36.75" customHeight="1" x14ac:dyDescent="0.25">
      <c r="A581" s="16">
        <v>10842</v>
      </c>
      <c r="B581" s="17" t="s">
        <v>236</v>
      </c>
      <c r="C581" s="17" t="s">
        <v>306</v>
      </c>
      <c r="D581" s="17" t="s">
        <v>307</v>
      </c>
      <c r="E581" s="17" t="s">
        <v>239</v>
      </c>
      <c r="F581" s="17" t="s">
        <v>37</v>
      </c>
      <c r="G581" s="17" t="s">
        <v>308</v>
      </c>
      <c r="H581" s="18">
        <v>310.75</v>
      </c>
      <c r="I581" s="18">
        <v>127.1</v>
      </c>
      <c r="J581" s="7" t="str">
        <f>IFERROR(_xlfn.XLOOKUP(F581,ccustos!A:A,ccustos!B:B),"Sem termo")</f>
        <v>PROJUR</v>
      </c>
    </row>
    <row r="582" spans="1:10" ht="36.75" customHeight="1" x14ac:dyDescent="0.25">
      <c r="A582" s="14">
        <v>10843</v>
      </c>
      <c r="B582" s="7" t="s">
        <v>236</v>
      </c>
      <c r="C582" s="7" t="s">
        <v>306</v>
      </c>
      <c r="D582" s="7" t="s">
        <v>559</v>
      </c>
      <c r="E582" s="7" t="s">
        <v>239</v>
      </c>
      <c r="F582" s="7" t="s">
        <v>37</v>
      </c>
      <c r="G582" s="7" t="s">
        <v>463</v>
      </c>
      <c r="H582" s="15">
        <v>1106.05</v>
      </c>
      <c r="I582" s="15">
        <v>154.72999999999999</v>
      </c>
      <c r="J582" s="7" t="str">
        <f>IFERROR(_xlfn.XLOOKUP(F582,ccustos!A:A,ccustos!B:B),"Sem termo")</f>
        <v>PROJUR</v>
      </c>
    </row>
    <row r="583" spans="1:10" ht="36.75" customHeight="1" x14ac:dyDescent="0.25">
      <c r="A583" s="16">
        <v>10844</v>
      </c>
      <c r="B583" s="17" t="s">
        <v>236</v>
      </c>
      <c r="C583" s="17" t="s">
        <v>306</v>
      </c>
      <c r="D583" s="17" t="s">
        <v>307</v>
      </c>
      <c r="E583" s="17" t="s">
        <v>239</v>
      </c>
      <c r="F583" s="17" t="s">
        <v>49</v>
      </c>
      <c r="G583" s="17" t="s">
        <v>308</v>
      </c>
      <c r="H583" s="18">
        <v>310.75</v>
      </c>
      <c r="I583" s="18">
        <v>127.1</v>
      </c>
      <c r="J583" s="7" t="str">
        <f>IFERROR(_xlfn.XLOOKUP(F583,ccustos!A:A,ccustos!B:B),"Sem termo")</f>
        <v>COAD</v>
      </c>
    </row>
    <row r="584" spans="1:10" ht="36.75" customHeight="1" x14ac:dyDescent="0.25">
      <c r="A584" s="14">
        <v>10845</v>
      </c>
      <c r="B584" s="7" t="s">
        <v>236</v>
      </c>
      <c r="C584" s="7" t="s">
        <v>241</v>
      </c>
      <c r="D584" s="7" t="s">
        <v>362</v>
      </c>
      <c r="E584" s="7" t="s">
        <v>239</v>
      </c>
      <c r="F584" s="7" t="s">
        <v>211</v>
      </c>
      <c r="G584" s="7" t="s">
        <v>331</v>
      </c>
      <c r="H584" s="15">
        <v>232</v>
      </c>
      <c r="I584" s="15">
        <v>73.680000000000007</v>
      </c>
      <c r="J584" s="7" t="str">
        <f>IFERROR(_xlfn.XLOOKUP(F584,ccustos!A:A,ccustos!B:B),"Sem termo")</f>
        <v>DIGEO</v>
      </c>
    </row>
    <row r="585" spans="1:10" ht="36.75" customHeight="1" x14ac:dyDescent="0.25">
      <c r="A585" s="16">
        <v>10847</v>
      </c>
      <c r="B585" s="17" t="s">
        <v>236</v>
      </c>
      <c r="C585" s="17" t="s">
        <v>327</v>
      </c>
      <c r="D585" s="17" t="s">
        <v>610</v>
      </c>
      <c r="E585" s="17" t="s">
        <v>239</v>
      </c>
      <c r="F585" s="17" t="s">
        <v>185</v>
      </c>
      <c r="G585" s="17" t="s">
        <v>308</v>
      </c>
      <c r="H585" s="18">
        <v>820.23</v>
      </c>
      <c r="I585" s="18">
        <v>741.82</v>
      </c>
      <c r="J585" s="7" t="str">
        <f>IFERROR(_xlfn.XLOOKUP(F585,ccustos!A:A,ccustos!B:B),"Sem termo")</f>
        <v>CGGE</v>
      </c>
    </row>
    <row r="586" spans="1:10" ht="36.75" customHeight="1" x14ac:dyDescent="0.25">
      <c r="A586" s="14">
        <v>10848</v>
      </c>
      <c r="B586" s="7" t="s">
        <v>236</v>
      </c>
      <c r="C586" s="7" t="s">
        <v>337</v>
      </c>
      <c r="D586" s="7" t="s">
        <v>611</v>
      </c>
      <c r="E586" s="7" t="s">
        <v>239</v>
      </c>
      <c r="F586" s="7" t="s">
        <v>47</v>
      </c>
      <c r="G586" s="7" t="s">
        <v>331</v>
      </c>
      <c r="H586" s="15">
        <v>298</v>
      </c>
      <c r="I586" s="15">
        <v>213.43</v>
      </c>
      <c r="J586" s="7" t="str">
        <f>IFERROR(_xlfn.XLOOKUP(F586,ccustos!A:A,ccustos!B:B),"Sem termo")</f>
        <v>CDPROF</v>
      </c>
    </row>
    <row r="587" spans="1:10" ht="36.75" customHeight="1" x14ac:dyDescent="0.25">
      <c r="A587" s="16">
        <v>10849</v>
      </c>
      <c r="B587" s="17" t="s">
        <v>236</v>
      </c>
      <c r="C587" s="17" t="s">
        <v>337</v>
      </c>
      <c r="D587" s="17" t="s">
        <v>611</v>
      </c>
      <c r="E587" s="17" t="s">
        <v>239</v>
      </c>
      <c r="F587" s="17" t="s">
        <v>37</v>
      </c>
      <c r="G587" s="17" t="s">
        <v>331</v>
      </c>
      <c r="H587" s="18">
        <v>298</v>
      </c>
      <c r="I587" s="18">
        <v>213.43</v>
      </c>
      <c r="J587" s="7" t="str">
        <f>IFERROR(_xlfn.XLOOKUP(F587,ccustos!A:A,ccustos!B:B),"Sem termo")</f>
        <v>PROJUR</v>
      </c>
    </row>
    <row r="588" spans="1:10" ht="36.75" customHeight="1" x14ac:dyDescent="0.25">
      <c r="A588" s="14">
        <v>10850</v>
      </c>
      <c r="B588" s="7" t="s">
        <v>236</v>
      </c>
      <c r="C588" s="7" t="s">
        <v>612</v>
      </c>
      <c r="D588" s="7" t="s">
        <v>613</v>
      </c>
      <c r="E588" s="7" t="s">
        <v>335</v>
      </c>
      <c r="F588" s="7" t="s">
        <v>192</v>
      </c>
      <c r="G588" s="7" t="s">
        <v>614</v>
      </c>
      <c r="H588" s="15">
        <v>2454.54</v>
      </c>
      <c r="I588" s="15">
        <v>368.16</v>
      </c>
      <c r="J588" s="7" t="str">
        <f>IFERROR(_xlfn.XLOOKUP(F588,ccustos!A:A,ccustos!B:B),"Sem termo")</f>
        <v>SEPAT</v>
      </c>
    </row>
    <row r="589" spans="1:10" ht="25.5" customHeight="1" x14ac:dyDescent="0.25">
      <c r="A589" s="16">
        <v>10855</v>
      </c>
      <c r="B589" s="17" t="s">
        <v>236</v>
      </c>
      <c r="C589" s="17" t="s">
        <v>237</v>
      </c>
      <c r="D589" s="17" t="s">
        <v>279</v>
      </c>
      <c r="E589" s="17" t="s">
        <v>239</v>
      </c>
      <c r="F589" s="17" t="s">
        <v>0</v>
      </c>
      <c r="G589" s="17" t="s">
        <v>280</v>
      </c>
      <c r="H589" s="18">
        <v>565.47</v>
      </c>
      <c r="I589" s="18">
        <v>173.7</v>
      </c>
      <c r="J589" s="7" t="str">
        <f>IFERROR(_xlfn.XLOOKUP(F589,ccustos!A:A,ccustos!B:B),"Sem termo")</f>
        <v>SEPAT</v>
      </c>
    </row>
    <row r="590" spans="1:10" ht="36.75" customHeight="1" x14ac:dyDescent="0.25">
      <c r="A590" s="14">
        <v>10857</v>
      </c>
      <c r="B590" s="7" t="s">
        <v>236</v>
      </c>
      <c r="C590" s="7" t="s">
        <v>237</v>
      </c>
      <c r="D590" s="7" t="s">
        <v>279</v>
      </c>
      <c r="E590" s="7" t="s">
        <v>239</v>
      </c>
      <c r="F590" s="7" t="s">
        <v>30</v>
      </c>
      <c r="G590" s="7" t="s">
        <v>280</v>
      </c>
      <c r="H590" s="15">
        <v>565.46</v>
      </c>
      <c r="I590" s="15">
        <v>173.7</v>
      </c>
      <c r="J590" s="7" t="str">
        <f>IFERROR(_xlfn.XLOOKUP(F590,ccustos!A:A,ccustos!B:B),"Sem termo")</f>
        <v>COFIS</v>
      </c>
    </row>
    <row r="591" spans="1:10" ht="36.75" customHeight="1" x14ac:dyDescent="0.25">
      <c r="A591" s="16">
        <v>10860</v>
      </c>
      <c r="B591" s="17" t="s">
        <v>236</v>
      </c>
      <c r="C591" s="17" t="s">
        <v>337</v>
      </c>
      <c r="D591" s="17" t="s">
        <v>611</v>
      </c>
      <c r="E591" s="17" t="s">
        <v>239</v>
      </c>
      <c r="F591" s="17" t="s">
        <v>37</v>
      </c>
      <c r="G591" s="17" t="s">
        <v>331</v>
      </c>
      <c r="H591" s="18">
        <v>298</v>
      </c>
      <c r="I591" s="18">
        <v>213.43</v>
      </c>
      <c r="J591" s="7" t="str">
        <f>IFERROR(_xlfn.XLOOKUP(F591,ccustos!A:A,ccustos!B:B),"Sem termo")</f>
        <v>PROJUR</v>
      </c>
    </row>
    <row r="592" spans="1:10" ht="36.75" customHeight="1" x14ac:dyDescent="0.25">
      <c r="A592" s="14">
        <v>10863</v>
      </c>
      <c r="B592" s="7" t="s">
        <v>236</v>
      </c>
      <c r="C592" s="7" t="s">
        <v>333</v>
      </c>
      <c r="D592" s="7" t="s">
        <v>615</v>
      </c>
      <c r="E592" s="7" t="s">
        <v>335</v>
      </c>
      <c r="F592" s="7" t="s">
        <v>55</v>
      </c>
      <c r="G592" s="7" t="s">
        <v>348</v>
      </c>
      <c r="H592" s="15">
        <v>618.41999999999996</v>
      </c>
      <c r="I592" s="15">
        <v>49.32</v>
      </c>
      <c r="J592" s="7" t="str">
        <f>IFERROR(_xlfn.XLOOKUP(F592,ccustos!A:A,ccustos!B:B),"Sem termo")</f>
        <v>DEPAD</v>
      </c>
    </row>
    <row r="593" spans="1:10" ht="36.75" customHeight="1" x14ac:dyDescent="0.25">
      <c r="A593" s="16">
        <v>10864</v>
      </c>
      <c r="B593" s="17" t="s">
        <v>236</v>
      </c>
      <c r="C593" s="17" t="s">
        <v>337</v>
      </c>
      <c r="D593" s="17" t="s">
        <v>611</v>
      </c>
      <c r="E593" s="17" t="s">
        <v>239</v>
      </c>
      <c r="F593" s="17" t="s">
        <v>37</v>
      </c>
      <c r="G593" s="17" t="s">
        <v>331</v>
      </c>
      <c r="H593" s="18">
        <v>298</v>
      </c>
      <c r="I593" s="18">
        <v>213.43</v>
      </c>
      <c r="J593" s="7" t="str">
        <f>IFERROR(_xlfn.XLOOKUP(F593,ccustos!A:A,ccustos!B:B),"Sem termo")</f>
        <v>PROJUR</v>
      </c>
    </row>
    <row r="594" spans="1:10" ht="36.75" customHeight="1" x14ac:dyDescent="0.25">
      <c r="A594" s="14">
        <v>10866</v>
      </c>
      <c r="B594" s="7" t="s">
        <v>236</v>
      </c>
      <c r="C594" s="7" t="s">
        <v>237</v>
      </c>
      <c r="D594" s="7" t="s">
        <v>616</v>
      </c>
      <c r="E594" s="7" t="s">
        <v>239</v>
      </c>
      <c r="F594" s="7" t="s">
        <v>0</v>
      </c>
      <c r="G594" s="7" t="s">
        <v>280</v>
      </c>
      <c r="H594" s="15">
        <v>565.46</v>
      </c>
      <c r="I594" s="15">
        <v>173.7</v>
      </c>
      <c r="J594" s="7" t="str">
        <f>IFERROR(_xlfn.XLOOKUP(F594,ccustos!A:A,ccustos!B:B),"Sem termo")</f>
        <v>SEPAT</v>
      </c>
    </row>
    <row r="595" spans="1:10" ht="25.5" customHeight="1" x14ac:dyDescent="0.25">
      <c r="A595" s="16">
        <v>10867</v>
      </c>
      <c r="B595" s="17" t="s">
        <v>236</v>
      </c>
      <c r="C595" s="17" t="s">
        <v>241</v>
      </c>
      <c r="D595" s="17" t="s">
        <v>617</v>
      </c>
      <c r="E595" s="17" t="s">
        <v>239</v>
      </c>
      <c r="F595" s="17" t="s">
        <v>66</v>
      </c>
      <c r="G595" s="17" t="s">
        <v>324</v>
      </c>
      <c r="H595" s="18">
        <v>5576.64</v>
      </c>
      <c r="I595" s="18">
        <v>2577.34</v>
      </c>
      <c r="J595" s="7" t="str">
        <f>IFERROR(_xlfn.XLOOKUP(F595,ccustos!A:A,ccustos!B:B),"Sem termo")</f>
        <v>COAD</v>
      </c>
    </row>
    <row r="596" spans="1:10" ht="36.75" customHeight="1" x14ac:dyDescent="0.25">
      <c r="A596" s="14">
        <v>10868</v>
      </c>
      <c r="B596" s="7" t="s">
        <v>236</v>
      </c>
      <c r="C596" s="7" t="s">
        <v>316</v>
      </c>
      <c r="D596" s="7" t="s">
        <v>447</v>
      </c>
      <c r="E596" s="7" t="s">
        <v>318</v>
      </c>
      <c r="F596" s="7" t="s">
        <v>66</v>
      </c>
      <c r="G596" s="7" t="s">
        <v>448</v>
      </c>
      <c r="H596" s="15">
        <v>565</v>
      </c>
      <c r="I596" s="15">
        <v>218.55</v>
      </c>
      <c r="J596" s="7" t="str">
        <f>IFERROR(_xlfn.XLOOKUP(F596,ccustos!A:A,ccustos!B:B),"Sem termo")</f>
        <v>COAD</v>
      </c>
    </row>
    <row r="597" spans="1:10" ht="36.75" customHeight="1" x14ac:dyDescent="0.25">
      <c r="A597" s="16">
        <v>10869</v>
      </c>
      <c r="B597" s="17" t="s">
        <v>236</v>
      </c>
      <c r="C597" s="17" t="s">
        <v>294</v>
      </c>
      <c r="D597" s="17" t="s">
        <v>618</v>
      </c>
      <c r="E597" s="17" t="s">
        <v>239</v>
      </c>
      <c r="F597" s="17" t="s">
        <v>66</v>
      </c>
      <c r="G597" s="17" t="s">
        <v>619</v>
      </c>
      <c r="H597" s="18">
        <v>17640</v>
      </c>
      <c r="I597" s="18">
        <v>8479.02</v>
      </c>
      <c r="J597" s="7" t="str">
        <f>IFERROR(_xlfn.XLOOKUP(F597,ccustos!A:A,ccustos!B:B),"Sem termo")</f>
        <v>COAD</v>
      </c>
    </row>
    <row r="598" spans="1:10" ht="25.5" customHeight="1" x14ac:dyDescent="0.25">
      <c r="A598" s="14">
        <v>10870</v>
      </c>
      <c r="B598" s="7" t="s">
        <v>236</v>
      </c>
      <c r="C598" s="7" t="s">
        <v>320</v>
      </c>
      <c r="D598" s="7" t="s">
        <v>620</v>
      </c>
      <c r="E598" s="7" t="s">
        <v>250</v>
      </c>
      <c r="F598" s="7" t="s">
        <v>67</v>
      </c>
      <c r="G598" s="7" t="s">
        <v>322</v>
      </c>
      <c r="H598" s="15">
        <v>1428</v>
      </c>
      <c r="I598" s="15">
        <v>634.94000000000005</v>
      </c>
      <c r="J598" s="7" t="str">
        <f>IFERROR(_xlfn.XLOOKUP(F598,ccustos!A:A,ccustos!B:B),"Sem termo")</f>
        <v>CDPROF</v>
      </c>
    </row>
    <row r="599" spans="1:10" ht="25.5" customHeight="1" x14ac:dyDescent="0.25">
      <c r="A599" s="16">
        <v>10871</v>
      </c>
      <c r="B599" s="17" t="s">
        <v>236</v>
      </c>
      <c r="C599" s="17" t="s">
        <v>313</v>
      </c>
      <c r="D599" s="17" t="s">
        <v>621</v>
      </c>
      <c r="E599" s="17" t="s">
        <v>250</v>
      </c>
      <c r="F599" s="17" t="s">
        <v>66</v>
      </c>
      <c r="G599" s="17" t="s">
        <v>315</v>
      </c>
      <c r="H599" s="18">
        <v>620</v>
      </c>
      <c r="I599" s="18">
        <v>196.91</v>
      </c>
      <c r="J599" s="7" t="str">
        <f>IFERROR(_xlfn.XLOOKUP(F599,ccustos!A:A,ccustos!B:B),"Sem termo")</f>
        <v>COAD</v>
      </c>
    </row>
    <row r="600" spans="1:10" ht="36.75" customHeight="1" x14ac:dyDescent="0.25">
      <c r="A600" s="14">
        <v>10872</v>
      </c>
      <c r="B600" s="7" t="s">
        <v>236</v>
      </c>
      <c r="C600" s="7" t="s">
        <v>325</v>
      </c>
      <c r="D600" s="7" t="s">
        <v>622</v>
      </c>
      <c r="E600" s="7" t="s">
        <v>239</v>
      </c>
      <c r="F600" s="7" t="s">
        <v>66</v>
      </c>
      <c r="G600" s="7" t="s">
        <v>311</v>
      </c>
      <c r="H600" s="15">
        <v>2279.6799999999998</v>
      </c>
      <c r="I600" s="15">
        <v>824.89</v>
      </c>
      <c r="J600" s="7" t="str">
        <f>IFERROR(_xlfn.XLOOKUP(F600,ccustos!A:A,ccustos!B:B),"Sem termo")</f>
        <v>COAD</v>
      </c>
    </row>
    <row r="601" spans="1:10" ht="36.75" customHeight="1" x14ac:dyDescent="0.25">
      <c r="A601" s="16">
        <v>10873</v>
      </c>
      <c r="B601" s="17" t="s">
        <v>236</v>
      </c>
      <c r="C601" s="17" t="s">
        <v>237</v>
      </c>
      <c r="D601" s="17" t="s">
        <v>623</v>
      </c>
      <c r="E601" s="17" t="s">
        <v>239</v>
      </c>
      <c r="F601" s="17" t="s">
        <v>66</v>
      </c>
      <c r="G601" s="17" t="s">
        <v>311</v>
      </c>
      <c r="H601" s="18">
        <v>2897.35</v>
      </c>
      <c r="I601" s="18">
        <v>724.91</v>
      </c>
      <c r="J601" s="7" t="str">
        <f>IFERROR(_xlfn.XLOOKUP(F601,ccustos!A:A,ccustos!B:B),"Sem termo")</f>
        <v>COAD</v>
      </c>
    </row>
    <row r="602" spans="1:10" ht="36.75" customHeight="1" x14ac:dyDescent="0.25">
      <c r="A602" s="14">
        <v>10874</v>
      </c>
      <c r="B602" s="7" t="s">
        <v>236</v>
      </c>
      <c r="C602" s="7" t="s">
        <v>237</v>
      </c>
      <c r="D602" s="7" t="s">
        <v>624</v>
      </c>
      <c r="E602" s="7" t="s">
        <v>239</v>
      </c>
      <c r="F602" s="7" t="s">
        <v>66</v>
      </c>
      <c r="G602" s="7" t="s">
        <v>311</v>
      </c>
      <c r="H602" s="15">
        <v>2297.58</v>
      </c>
      <c r="I602" s="15">
        <v>407.16</v>
      </c>
      <c r="J602" s="7" t="str">
        <f>IFERROR(_xlfn.XLOOKUP(F602,ccustos!A:A,ccustos!B:B),"Sem termo")</f>
        <v>COAD</v>
      </c>
    </row>
    <row r="603" spans="1:10" ht="36.75" customHeight="1" x14ac:dyDescent="0.25">
      <c r="A603" s="16">
        <v>10875</v>
      </c>
      <c r="B603" s="17" t="s">
        <v>236</v>
      </c>
      <c r="C603" s="17" t="s">
        <v>237</v>
      </c>
      <c r="D603" s="17" t="s">
        <v>624</v>
      </c>
      <c r="E603" s="17" t="s">
        <v>239</v>
      </c>
      <c r="F603" s="17" t="s">
        <v>66</v>
      </c>
      <c r="G603" s="17" t="s">
        <v>311</v>
      </c>
      <c r="H603" s="18">
        <v>2298.58</v>
      </c>
      <c r="I603" s="18">
        <v>407.16</v>
      </c>
      <c r="J603" s="7" t="str">
        <f>IFERROR(_xlfn.XLOOKUP(F603,ccustos!A:A,ccustos!B:B),"Sem termo")</f>
        <v>COAD</v>
      </c>
    </row>
    <row r="604" spans="1:10" ht="36.75" customHeight="1" x14ac:dyDescent="0.25">
      <c r="A604" s="14">
        <v>10876</v>
      </c>
      <c r="B604" s="7" t="s">
        <v>236</v>
      </c>
      <c r="C604" s="7" t="s">
        <v>237</v>
      </c>
      <c r="D604" s="7" t="s">
        <v>360</v>
      </c>
      <c r="E604" s="7" t="s">
        <v>239</v>
      </c>
      <c r="F604" s="7" t="s">
        <v>49</v>
      </c>
      <c r="G604" s="7" t="s">
        <v>282</v>
      </c>
      <c r="H604" s="15">
        <v>2690</v>
      </c>
      <c r="I604" s="15">
        <v>724.91</v>
      </c>
      <c r="J604" s="7" t="str">
        <f>IFERROR(_xlfn.XLOOKUP(F604,ccustos!A:A,ccustos!B:B),"Sem termo")</f>
        <v>COAD</v>
      </c>
    </row>
    <row r="605" spans="1:10" ht="36.75" customHeight="1" x14ac:dyDescent="0.25">
      <c r="A605" s="16">
        <v>10877</v>
      </c>
      <c r="B605" s="17" t="s">
        <v>236</v>
      </c>
      <c r="C605" s="17" t="s">
        <v>237</v>
      </c>
      <c r="D605" s="17" t="s">
        <v>360</v>
      </c>
      <c r="E605" s="17" t="s">
        <v>239</v>
      </c>
      <c r="F605" s="17" t="s">
        <v>49</v>
      </c>
      <c r="G605" s="17" t="s">
        <v>282</v>
      </c>
      <c r="H605" s="18">
        <v>2690</v>
      </c>
      <c r="I605" s="18">
        <v>724.91</v>
      </c>
      <c r="J605" s="7" t="str">
        <f>IFERROR(_xlfn.XLOOKUP(F605,ccustos!A:A,ccustos!B:B),"Sem termo")</f>
        <v>COAD</v>
      </c>
    </row>
    <row r="606" spans="1:10" ht="36.75" customHeight="1" x14ac:dyDescent="0.25">
      <c r="A606" s="14">
        <v>10878</v>
      </c>
      <c r="B606" s="7" t="s">
        <v>236</v>
      </c>
      <c r="C606" s="7" t="s">
        <v>237</v>
      </c>
      <c r="D606" s="7" t="s">
        <v>360</v>
      </c>
      <c r="E606" s="7" t="s">
        <v>239</v>
      </c>
      <c r="F606" s="7" t="s">
        <v>49</v>
      </c>
      <c r="G606" s="7" t="s">
        <v>282</v>
      </c>
      <c r="H606" s="15">
        <v>2690</v>
      </c>
      <c r="I606" s="15">
        <v>724.91</v>
      </c>
      <c r="J606" s="7" t="str">
        <f>IFERROR(_xlfn.XLOOKUP(F606,ccustos!A:A,ccustos!B:B),"Sem termo")</f>
        <v>COAD</v>
      </c>
    </row>
    <row r="607" spans="1:10" ht="36.75" customHeight="1" x14ac:dyDescent="0.25">
      <c r="A607" s="16">
        <v>10879</v>
      </c>
      <c r="B607" s="17" t="s">
        <v>236</v>
      </c>
      <c r="C607" s="17" t="s">
        <v>237</v>
      </c>
      <c r="D607" s="17" t="s">
        <v>360</v>
      </c>
      <c r="E607" s="17" t="s">
        <v>239</v>
      </c>
      <c r="F607" s="17" t="s">
        <v>49</v>
      </c>
      <c r="G607" s="17" t="s">
        <v>282</v>
      </c>
      <c r="H607" s="18">
        <v>2690</v>
      </c>
      <c r="I607" s="18">
        <v>724.91</v>
      </c>
      <c r="J607" s="7" t="str">
        <f>IFERROR(_xlfn.XLOOKUP(F607,ccustos!A:A,ccustos!B:B),"Sem termo")</f>
        <v>COAD</v>
      </c>
    </row>
    <row r="608" spans="1:10" ht="36.75" customHeight="1" x14ac:dyDescent="0.25">
      <c r="A608" s="14">
        <v>10880</v>
      </c>
      <c r="B608" s="7" t="s">
        <v>236</v>
      </c>
      <c r="C608" s="7" t="s">
        <v>237</v>
      </c>
      <c r="D608" s="7" t="s">
        <v>360</v>
      </c>
      <c r="E608" s="7" t="s">
        <v>239</v>
      </c>
      <c r="F608" s="7" t="s">
        <v>185</v>
      </c>
      <c r="G608" s="7" t="s">
        <v>282</v>
      </c>
      <c r="H608" s="15">
        <v>2690</v>
      </c>
      <c r="I608" s="15">
        <v>724.91</v>
      </c>
      <c r="J608" s="7" t="str">
        <f>IFERROR(_xlfn.XLOOKUP(F608,ccustos!A:A,ccustos!B:B),"Sem termo")</f>
        <v>CGGE</v>
      </c>
    </row>
    <row r="609" spans="1:10" ht="36.75" customHeight="1" x14ac:dyDescent="0.25">
      <c r="A609" s="16">
        <v>10881</v>
      </c>
      <c r="B609" s="17" t="s">
        <v>236</v>
      </c>
      <c r="C609" s="17" t="s">
        <v>237</v>
      </c>
      <c r="D609" s="17" t="s">
        <v>360</v>
      </c>
      <c r="E609" s="17" t="s">
        <v>239</v>
      </c>
      <c r="F609" s="17" t="s">
        <v>27</v>
      </c>
      <c r="G609" s="17" t="s">
        <v>282</v>
      </c>
      <c r="H609" s="18">
        <v>2690</v>
      </c>
      <c r="I609" s="18">
        <v>724.91</v>
      </c>
      <c r="J609" s="7" t="str">
        <f>IFERROR(_xlfn.XLOOKUP(F609,ccustos!A:A,ccustos!B:B),"Sem termo")</f>
        <v>CCI</v>
      </c>
    </row>
    <row r="610" spans="1:10" ht="36.75" customHeight="1" x14ac:dyDescent="0.25">
      <c r="A610" s="14">
        <v>10882</v>
      </c>
      <c r="B610" s="7" t="s">
        <v>236</v>
      </c>
      <c r="C610" s="7" t="s">
        <v>237</v>
      </c>
      <c r="D610" s="7" t="s">
        <v>360</v>
      </c>
      <c r="E610" s="7" t="s">
        <v>239</v>
      </c>
      <c r="F610" s="7" t="s">
        <v>34</v>
      </c>
      <c r="G610" s="7" t="s">
        <v>282</v>
      </c>
      <c r="H610" s="15">
        <v>2690</v>
      </c>
      <c r="I610" s="15">
        <v>724.91</v>
      </c>
      <c r="J610" s="7" t="str">
        <f>IFERROR(_xlfn.XLOOKUP(F610,ccustos!A:A,ccustos!B:B),"Sem termo")</f>
        <v>COFIS</v>
      </c>
    </row>
    <row r="611" spans="1:10" ht="36.75" customHeight="1" x14ac:dyDescent="0.25">
      <c r="A611" s="16">
        <v>10883</v>
      </c>
      <c r="B611" s="17" t="s">
        <v>236</v>
      </c>
      <c r="C611" s="17" t="s">
        <v>237</v>
      </c>
      <c r="D611" s="17" t="s">
        <v>360</v>
      </c>
      <c r="E611" s="17" t="s">
        <v>239</v>
      </c>
      <c r="F611" s="17" t="s">
        <v>186</v>
      </c>
      <c r="G611" s="17" t="s">
        <v>282</v>
      </c>
      <c r="H611" s="18">
        <v>2690</v>
      </c>
      <c r="I611" s="18">
        <v>724.91</v>
      </c>
      <c r="J611" s="7" t="str">
        <f>IFERROR(_xlfn.XLOOKUP(F611,ccustos!A:A,ccustos!B:B),"Sem termo")</f>
        <v>CGGE</v>
      </c>
    </row>
    <row r="612" spans="1:10" ht="36.75" customHeight="1" x14ac:dyDescent="0.25">
      <c r="A612" s="14">
        <v>10884</v>
      </c>
      <c r="B612" s="7" t="s">
        <v>236</v>
      </c>
      <c r="C612" s="7" t="s">
        <v>237</v>
      </c>
      <c r="D612" s="7" t="s">
        <v>360</v>
      </c>
      <c r="E612" s="7" t="s">
        <v>239</v>
      </c>
      <c r="F612" s="7" t="s">
        <v>49</v>
      </c>
      <c r="G612" s="7" t="s">
        <v>282</v>
      </c>
      <c r="H612" s="15">
        <v>2690</v>
      </c>
      <c r="I612" s="15">
        <v>724.91</v>
      </c>
      <c r="J612" s="7" t="str">
        <f>IFERROR(_xlfn.XLOOKUP(F612,ccustos!A:A,ccustos!B:B),"Sem termo")</f>
        <v>COAD</v>
      </c>
    </row>
    <row r="613" spans="1:10" ht="25.5" customHeight="1" x14ac:dyDescent="0.25">
      <c r="A613" s="16">
        <v>10885</v>
      </c>
      <c r="B613" s="17" t="s">
        <v>236</v>
      </c>
      <c r="C613" s="17" t="s">
        <v>294</v>
      </c>
      <c r="D613" s="17" t="s">
        <v>625</v>
      </c>
      <c r="E613" s="17" t="s">
        <v>239</v>
      </c>
      <c r="F613" s="17" t="s">
        <v>49</v>
      </c>
      <c r="G613" s="17" t="s">
        <v>619</v>
      </c>
      <c r="H613" s="18">
        <v>14280</v>
      </c>
      <c r="I613" s="18">
        <v>7256.5</v>
      </c>
      <c r="J613" s="7" t="str">
        <f>IFERROR(_xlfn.XLOOKUP(F613,ccustos!A:A,ccustos!B:B),"Sem termo")</f>
        <v>COAD</v>
      </c>
    </row>
    <row r="614" spans="1:10" ht="25.5" customHeight="1" x14ac:dyDescent="0.25">
      <c r="A614" s="14">
        <v>10886</v>
      </c>
      <c r="B614" s="7" t="s">
        <v>236</v>
      </c>
      <c r="C614" s="7" t="s">
        <v>364</v>
      </c>
      <c r="D614" s="7" t="s">
        <v>626</v>
      </c>
      <c r="E614" s="7" t="s">
        <v>250</v>
      </c>
      <c r="F614" s="7" t="s">
        <v>49</v>
      </c>
      <c r="G614" s="7" t="s">
        <v>322</v>
      </c>
      <c r="H614" s="15">
        <v>2409.12</v>
      </c>
      <c r="I614" s="15">
        <v>892.74</v>
      </c>
      <c r="J614" s="7" t="str">
        <f>IFERROR(_xlfn.XLOOKUP(F614,ccustos!A:A,ccustos!B:B),"Sem termo")</f>
        <v>COAD</v>
      </c>
    </row>
    <row r="615" spans="1:10" ht="36.75" customHeight="1" x14ac:dyDescent="0.25">
      <c r="A615" s="16">
        <v>10887</v>
      </c>
      <c r="B615" s="17" t="s">
        <v>236</v>
      </c>
      <c r="C615" s="17" t="s">
        <v>241</v>
      </c>
      <c r="D615" s="17" t="s">
        <v>362</v>
      </c>
      <c r="E615" s="17" t="s">
        <v>239</v>
      </c>
      <c r="F615" s="17" t="s">
        <v>0</v>
      </c>
      <c r="G615" s="17" t="s">
        <v>339</v>
      </c>
      <c r="H615" s="18">
        <v>238</v>
      </c>
      <c r="I615" s="18">
        <v>141.34</v>
      </c>
      <c r="J615" s="7" t="str">
        <f>IFERROR(_xlfn.XLOOKUP(F615,ccustos!A:A,ccustos!B:B),"Sem termo")</f>
        <v>SEPAT</v>
      </c>
    </row>
    <row r="616" spans="1:10" ht="25.5" customHeight="1" x14ac:dyDescent="0.25">
      <c r="A616" s="14">
        <v>10889</v>
      </c>
      <c r="B616" s="7" t="s">
        <v>236</v>
      </c>
      <c r="C616" s="7" t="s">
        <v>241</v>
      </c>
      <c r="D616" s="7" t="s">
        <v>484</v>
      </c>
      <c r="E616" s="7" t="s">
        <v>239</v>
      </c>
      <c r="F616" s="7" t="s">
        <v>49</v>
      </c>
      <c r="G616" s="7" t="s">
        <v>324</v>
      </c>
      <c r="H616" s="15">
        <v>6249.39</v>
      </c>
      <c r="I616" s="15">
        <v>1952.71</v>
      </c>
      <c r="J616" s="7" t="str">
        <f>IFERROR(_xlfn.XLOOKUP(F616,ccustos!A:A,ccustos!B:B),"Sem termo")</f>
        <v>COAD</v>
      </c>
    </row>
    <row r="617" spans="1:10" ht="25.5" customHeight="1" x14ac:dyDescent="0.25">
      <c r="A617" s="16">
        <v>10890</v>
      </c>
      <c r="B617" s="17" t="s">
        <v>236</v>
      </c>
      <c r="C617" s="17" t="s">
        <v>306</v>
      </c>
      <c r="D617" s="17" t="s">
        <v>369</v>
      </c>
      <c r="E617" s="17" t="s">
        <v>239</v>
      </c>
      <c r="F617" s="17" t="s">
        <v>37</v>
      </c>
      <c r="G617" s="17" t="s">
        <v>308</v>
      </c>
      <c r="H617" s="18">
        <v>592.80999999999995</v>
      </c>
      <c r="I617" s="18">
        <v>154.72999999999999</v>
      </c>
      <c r="J617" s="7" t="str">
        <f>IFERROR(_xlfn.XLOOKUP(F617,ccustos!A:A,ccustos!B:B),"Sem termo")</f>
        <v>PROJUR</v>
      </c>
    </row>
    <row r="618" spans="1:10" ht="25.5" customHeight="1" x14ac:dyDescent="0.25">
      <c r="A618" s="14">
        <v>10891</v>
      </c>
      <c r="B618" s="7" t="s">
        <v>236</v>
      </c>
      <c r="C618" s="7" t="s">
        <v>306</v>
      </c>
      <c r="D618" s="7" t="s">
        <v>307</v>
      </c>
      <c r="E618" s="7" t="s">
        <v>239</v>
      </c>
      <c r="F618" s="7" t="s">
        <v>29</v>
      </c>
      <c r="G618" s="7" t="s">
        <v>289</v>
      </c>
      <c r="H618" s="15">
        <v>287.67</v>
      </c>
      <c r="I618" s="15">
        <v>127.1</v>
      </c>
      <c r="J618" s="7" t="str">
        <f>IFERROR(_xlfn.XLOOKUP(F618,ccustos!A:A,ccustos!B:B),"Sem termo")</f>
        <v>COAD</v>
      </c>
    </row>
    <row r="619" spans="1:10" ht="25.5" customHeight="1" x14ac:dyDescent="0.25">
      <c r="A619" s="16">
        <v>10892</v>
      </c>
      <c r="B619" s="17" t="s">
        <v>236</v>
      </c>
      <c r="C619" s="17" t="s">
        <v>337</v>
      </c>
      <c r="D619" s="17" t="s">
        <v>349</v>
      </c>
      <c r="E619" s="17" t="s">
        <v>239</v>
      </c>
      <c r="F619" s="17" t="s">
        <v>55</v>
      </c>
      <c r="G619" s="17" t="s">
        <v>350</v>
      </c>
      <c r="H619" s="18">
        <v>227.27</v>
      </c>
      <c r="I619" s="18">
        <v>498</v>
      </c>
      <c r="J619" s="7" t="str">
        <f>IFERROR(_xlfn.XLOOKUP(F619,ccustos!A:A,ccustos!B:B),"Sem termo")</f>
        <v>DEPAD</v>
      </c>
    </row>
    <row r="620" spans="1:10" ht="25.5" customHeight="1" x14ac:dyDescent="0.25">
      <c r="A620" s="14">
        <v>10895</v>
      </c>
      <c r="B620" s="7" t="s">
        <v>236</v>
      </c>
      <c r="C620" s="7" t="s">
        <v>333</v>
      </c>
      <c r="D620" s="7" t="s">
        <v>627</v>
      </c>
      <c r="E620" s="7" t="s">
        <v>335</v>
      </c>
      <c r="F620" s="7" t="s">
        <v>68</v>
      </c>
      <c r="G620" s="7" t="s">
        <v>336</v>
      </c>
      <c r="H620" s="15">
        <v>750</v>
      </c>
      <c r="I620" s="15">
        <v>111.58</v>
      </c>
      <c r="J620" s="7" t="str">
        <f>IFERROR(_xlfn.XLOOKUP(F620,ccustos!A:A,ccustos!B:B),"Sem termo")</f>
        <v>DEINFRA</v>
      </c>
    </row>
    <row r="621" spans="1:10" ht="36.75" customHeight="1" x14ac:dyDescent="0.25">
      <c r="A621" s="16">
        <v>10898</v>
      </c>
      <c r="B621" s="17" t="s">
        <v>236</v>
      </c>
      <c r="C621" s="17" t="s">
        <v>237</v>
      </c>
      <c r="D621" s="17" t="s">
        <v>302</v>
      </c>
      <c r="E621" s="17" t="s">
        <v>239</v>
      </c>
      <c r="F621" s="17" t="s">
        <v>49</v>
      </c>
      <c r="G621" s="17" t="s">
        <v>343</v>
      </c>
      <c r="H621" s="18">
        <v>292.58</v>
      </c>
      <c r="I621" s="18">
        <v>149.01</v>
      </c>
      <c r="J621" s="7" t="str">
        <f>IFERROR(_xlfn.XLOOKUP(F621,ccustos!A:A,ccustos!B:B),"Sem termo")</f>
        <v>COAD</v>
      </c>
    </row>
    <row r="622" spans="1:10" ht="36.75" customHeight="1" x14ac:dyDescent="0.25">
      <c r="A622" s="14">
        <v>10899</v>
      </c>
      <c r="B622" s="7" t="s">
        <v>236</v>
      </c>
      <c r="C622" s="7" t="s">
        <v>237</v>
      </c>
      <c r="D622" s="7" t="s">
        <v>628</v>
      </c>
      <c r="E622" s="7" t="s">
        <v>239</v>
      </c>
      <c r="F622" s="7" t="s">
        <v>30</v>
      </c>
      <c r="G622" s="7" t="s">
        <v>305</v>
      </c>
      <c r="H622" s="15">
        <v>373.77</v>
      </c>
      <c r="I622" s="15">
        <v>149.01</v>
      </c>
      <c r="J622" s="7" t="str">
        <f>IFERROR(_xlfn.XLOOKUP(F622,ccustos!A:A,ccustos!B:B),"Sem termo")</f>
        <v>COFIS</v>
      </c>
    </row>
    <row r="623" spans="1:10" ht="36.75" customHeight="1" x14ac:dyDescent="0.25">
      <c r="A623" s="16">
        <v>10900</v>
      </c>
      <c r="B623" s="17" t="s">
        <v>236</v>
      </c>
      <c r="C623" s="17" t="s">
        <v>333</v>
      </c>
      <c r="D623" s="17" t="s">
        <v>629</v>
      </c>
      <c r="E623" s="17" t="s">
        <v>335</v>
      </c>
      <c r="F623" s="17" t="s">
        <v>60</v>
      </c>
      <c r="G623" s="17" t="s">
        <v>336</v>
      </c>
      <c r="H623" s="18">
        <v>750</v>
      </c>
      <c r="I623" s="18">
        <v>119.11</v>
      </c>
      <c r="J623" s="7" t="str">
        <f>IFERROR(_xlfn.XLOOKUP(F623,ccustos!A:A,ccustos!B:B),"Sem termo")</f>
        <v>DEGEP</v>
      </c>
    </row>
    <row r="624" spans="1:10" ht="25.5" customHeight="1" x14ac:dyDescent="0.25">
      <c r="A624" s="14">
        <v>10901</v>
      </c>
      <c r="B624" s="7" t="s">
        <v>236</v>
      </c>
      <c r="C624" s="7" t="s">
        <v>237</v>
      </c>
      <c r="D624" s="7" t="s">
        <v>360</v>
      </c>
      <c r="E624" s="7" t="s">
        <v>239</v>
      </c>
      <c r="F624" s="7" t="s">
        <v>38</v>
      </c>
      <c r="G624" s="7" t="s">
        <v>282</v>
      </c>
      <c r="H624" s="15">
        <v>2690</v>
      </c>
      <c r="I624" s="15">
        <v>765.82</v>
      </c>
      <c r="J624" s="7" t="str">
        <f>IFERROR(_xlfn.XLOOKUP(F624,ccustos!A:A,ccustos!B:B),"Sem termo")</f>
        <v>CDPROF</v>
      </c>
    </row>
    <row r="625" spans="1:10" ht="25.5" customHeight="1" x14ac:dyDescent="0.25">
      <c r="A625" s="16">
        <v>10902</v>
      </c>
      <c r="B625" s="17" t="s">
        <v>236</v>
      </c>
      <c r="C625" s="17" t="s">
        <v>237</v>
      </c>
      <c r="D625" s="17" t="s">
        <v>360</v>
      </c>
      <c r="E625" s="17" t="s">
        <v>239</v>
      </c>
      <c r="F625" s="17" t="s">
        <v>38</v>
      </c>
      <c r="G625" s="17" t="s">
        <v>282</v>
      </c>
      <c r="H625" s="18">
        <v>2690</v>
      </c>
      <c r="I625" s="18">
        <v>765.82</v>
      </c>
      <c r="J625" s="7" t="str">
        <f>IFERROR(_xlfn.XLOOKUP(F625,ccustos!A:A,ccustos!B:B),"Sem termo")</f>
        <v>CDPROF</v>
      </c>
    </row>
    <row r="626" spans="1:10" ht="36.75" customHeight="1" x14ac:dyDescent="0.25">
      <c r="A626" s="14">
        <v>10903</v>
      </c>
      <c r="B626" s="7" t="s">
        <v>236</v>
      </c>
      <c r="C626" s="7" t="s">
        <v>237</v>
      </c>
      <c r="D626" s="7" t="s">
        <v>360</v>
      </c>
      <c r="E626" s="7" t="s">
        <v>239</v>
      </c>
      <c r="F626" s="7" t="s">
        <v>38</v>
      </c>
      <c r="G626" s="7" t="s">
        <v>282</v>
      </c>
      <c r="H626" s="15">
        <v>2690</v>
      </c>
      <c r="I626" s="15">
        <v>765.82</v>
      </c>
      <c r="J626" s="7" t="str">
        <f>IFERROR(_xlfn.XLOOKUP(F626,ccustos!A:A,ccustos!B:B),"Sem termo")</f>
        <v>CDPROF</v>
      </c>
    </row>
    <row r="627" spans="1:10" ht="25.5" customHeight="1" x14ac:dyDescent="0.25">
      <c r="A627" s="16">
        <v>10904</v>
      </c>
      <c r="B627" s="17" t="s">
        <v>236</v>
      </c>
      <c r="C627" s="17" t="s">
        <v>237</v>
      </c>
      <c r="D627" s="17" t="s">
        <v>360</v>
      </c>
      <c r="E627" s="17" t="s">
        <v>239</v>
      </c>
      <c r="F627" s="17" t="s">
        <v>38</v>
      </c>
      <c r="G627" s="17" t="s">
        <v>282</v>
      </c>
      <c r="H627" s="18">
        <v>2690</v>
      </c>
      <c r="I627" s="18">
        <v>765.82</v>
      </c>
      <c r="J627" s="7" t="str">
        <f>IFERROR(_xlfn.XLOOKUP(F627,ccustos!A:A,ccustos!B:B),"Sem termo")</f>
        <v>CDPROF</v>
      </c>
    </row>
    <row r="628" spans="1:10" ht="25.5" customHeight="1" x14ac:dyDescent="0.25">
      <c r="A628" s="14">
        <v>10905</v>
      </c>
      <c r="B628" s="7" t="s">
        <v>236</v>
      </c>
      <c r="C628" s="7" t="s">
        <v>237</v>
      </c>
      <c r="D628" s="7" t="s">
        <v>360</v>
      </c>
      <c r="E628" s="7" t="s">
        <v>239</v>
      </c>
      <c r="F628" s="7" t="s">
        <v>38</v>
      </c>
      <c r="G628" s="7" t="s">
        <v>282</v>
      </c>
      <c r="H628" s="15">
        <v>2690</v>
      </c>
      <c r="I628" s="15">
        <v>765.82</v>
      </c>
      <c r="J628" s="7" t="str">
        <f>IFERROR(_xlfn.XLOOKUP(F628,ccustos!A:A,ccustos!B:B),"Sem termo")</f>
        <v>CDPROF</v>
      </c>
    </row>
    <row r="629" spans="1:10" ht="25.5" customHeight="1" x14ac:dyDescent="0.25">
      <c r="A629" s="16">
        <v>10906</v>
      </c>
      <c r="B629" s="17" t="s">
        <v>236</v>
      </c>
      <c r="C629" s="17" t="s">
        <v>241</v>
      </c>
      <c r="D629" s="17" t="s">
        <v>484</v>
      </c>
      <c r="E629" s="17" t="s">
        <v>239</v>
      </c>
      <c r="F629" s="17" t="s">
        <v>38</v>
      </c>
      <c r="G629" s="17" t="s">
        <v>324</v>
      </c>
      <c r="H629" s="18">
        <v>6249.39</v>
      </c>
      <c r="I629" s="18">
        <v>1952.71</v>
      </c>
      <c r="J629" s="7" t="str">
        <f>IFERROR(_xlfn.XLOOKUP(F629,ccustos!A:A,ccustos!B:B),"Sem termo")</f>
        <v>CDPROF</v>
      </c>
    </row>
    <row r="630" spans="1:10" ht="25.5" customHeight="1" x14ac:dyDescent="0.25">
      <c r="A630" s="14">
        <v>10907</v>
      </c>
      <c r="B630" s="7" t="s">
        <v>236</v>
      </c>
      <c r="C630" s="7" t="s">
        <v>364</v>
      </c>
      <c r="D630" s="7" t="s">
        <v>502</v>
      </c>
      <c r="E630" s="7" t="s">
        <v>250</v>
      </c>
      <c r="F630" s="7" t="s">
        <v>38</v>
      </c>
      <c r="G630" s="7" t="s">
        <v>324</v>
      </c>
      <c r="H630" s="15">
        <v>2409.12</v>
      </c>
      <c r="I630" s="15">
        <v>915.09</v>
      </c>
      <c r="J630" s="7" t="str">
        <f>IFERROR(_xlfn.XLOOKUP(F630,ccustos!A:A,ccustos!B:B),"Sem termo")</f>
        <v>CDPROF</v>
      </c>
    </row>
    <row r="631" spans="1:10" ht="25.5" customHeight="1" x14ac:dyDescent="0.25">
      <c r="A631" s="16">
        <v>10910</v>
      </c>
      <c r="B631" s="17" t="s">
        <v>236</v>
      </c>
      <c r="C631" s="17" t="s">
        <v>294</v>
      </c>
      <c r="D631" s="17" t="s">
        <v>449</v>
      </c>
      <c r="E631" s="17" t="s">
        <v>239</v>
      </c>
      <c r="F631" s="17" t="s">
        <v>38</v>
      </c>
      <c r="G631" s="17" t="s">
        <v>324</v>
      </c>
      <c r="H631" s="18">
        <v>15120</v>
      </c>
      <c r="I631" s="18">
        <v>6879.58</v>
      </c>
      <c r="J631" s="7" t="str">
        <f>IFERROR(_xlfn.XLOOKUP(F631,ccustos!A:A,ccustos!B:B),"Sem termo")</f>
        <v>CDPROF</v>
      </c>
    </row>
    <row r="632" spans="1:10" ht="25.5" customHeight="1" x14ac:dyDescent="0.25">
      <c r="A632" s="14">
        <v>10911</v>
      </c>
      <c r="B632" s="7" t="s">
        <v>236</v>
      </c>
      <c r="C632" s="7" t="s">
        <v>237</v>
      </c>
      <c r="D632" s="7" t="s">
        <v>495</v>
      </c>
      <c r="E632" s="7" t="s">
        <v>239</v>
      </c>
      <c r="F632" s="7" t="s">
        <v>67</v>
      </c>
      <c r="G632" s="7" t="s">
        <v>311</v>
      </c>
      <c r="H632" s="15">
        <v>2297.58</v>
      </c>
      <c r="I632" s="15">
        <v>707.59</v>
      </c>
      <c r="J632" s="7" t="str">
        <f>IFERROR(_xlfn.XLOOKUP(F632,ccustos!A:A,ccustos!B:B),"Sem termo")</f>
        <v>CDPROF</v>
      </c>
    </row>
    <row r="633" spans="1:10" ht="36.75" customHeight="1" x14ac:dyDescent="0.25">
      <c r="A633" s="16">
        <v>10912</v>
      </c>
      <c r="B633" s="17" t="s">
        <v>236</v>
      </c>
      <c r="C633" s="17" t="s">
        <v>237</v>
      </c>
      <c r="D633" s="17" t="s">
        <v>495</v>
      </c>
      <c r="E633" s="17" t="s">
        <v>239</v>
      </c>
      <c r="F633" s="17" t="s">
        <v>67</v>
      </c>
      <c r="G633" s="17" t="s">
        <v>311</v>
      </c>
      <c r="H633" s="18">
        <v>2297.58</v>
      </c>
      <c r="I633" s="18">
        <v>507.23</v>
      </c>
      <c r="J633" s="7" t="str">
        <f>IFERROR(_xlfn.XLOOKUP(F633,ccustos!A:A,ccustos!B:B),"Sem termo")</f>
        <v>CDPROF</v>
      </c>
    </row>
    <row r="634" spans="1:10" ht="36.75" customHeight="1" x14ac:dyDescent="0.25">
      <c r="A634" s="14">
        <v>10913</v>
      </c>
      <c r="B634" s="7" t="s">
        <v>236</v>
      </c>
      <c r="C634" s="7" t="s">
        <v>325</v>
      </c>
      <c r="D634" s="7" t="s">
        <v>452</v>
      </c>
      <c r="E634" s="7" t="s">
        <v>239</v>
      </c>
      <c r="F634" s="7" t="s">
        <v>67</v>
      </c>
      <c r="G634" s="7" t="s">
        <v>311</v>
      </c>
      <c r="H634" s="15">
        <v>2279.69</v>
      </c>
      <c r="I634" s="15">
        <v>1019.58</v>
      </c>
      <c r="J634" s="7" t="str">
        <f>IFERROR(_xlfn.XLOOKUP(F634,ccustos!A:A,ccustos!B:B),"Sem termo")</f>
        <v>CDPROF</v>
      </c>
    </row>
    <row r="635" spans="1:10" ht="36.75" customHeight="1" x14ac:dyDescent="0.25">
      <c r="A635" s="16">
        <v>10914</v>
      </c>
      <c r="B635" s="17" t="s">
        <v>236</v>
      </c>
      <c r="C635" s="17" t="s">
        <v>237</v>
      </c>
      <c r="D635" s="17" t="s">
        <v>494</v>
      </c>
      <c r="E635" s="17" t="s">
        <v>239</v>
      </c>
      <c r="F635" s="17" t="s">
        <v>67</v>
      </c>
      <c r="G635" s="17" t="s">
        <v>311</v>
      </c>
      <c r="H635" s="18">
        <v>2297.58</v>
      </c>
      <c r="I635" s="18">
        <v>765.82</v>
      </c>
      <c r="J635" s="7" t="str">
        <f>IFERROR(_xlfn.XLOOKUP(F635,ccustos!A:A,ccustos!B:B),"Sem termo")</f>
        <v>CDPROF</v>
      </c>
    </row>
    <row r="636" spans="1:10" ht="25.5" customHeight="1" x14ac:dyDescent="0.25">
      <c r="A636" s="14">
        <v>10915</v>
      </c>
      <c r="B636" s="7" t="s">
        <v>236</v>
      </c>
      <c r="C636" s="7" t="s">
        <v>241</v>
      </c>
      <c r="D636" s="7" t="s">
        <v>361</v>
      </c>
      <c r="E636" s="7" t="s">
        <v>239</v>
      </c>
      <c r="F636" s="7" t="s">
        <v>67</v>
      </c>
      <c r="G636" s="7" t="s">
        <v>324</v>
      </c>
      <c r="H636" s="15">
        <v>5576.64</v>
      </c>
      <c r="I636" s="15">
        <v>2479.59</v>
      </c>
      <c r="J636" s="7" t="str">
        <f>IFERROR(_xlfn.XLOOKUP(F636,ccustos!A:A,ccustos!B:B),"Sem termo")</f>
        <v>CDPROF</v>
      </c>
    </row>
    <row r="637" spans="1:10" ht="25.5" customHeight="1" x14ac:dyDescent="0.25">
      <c r="A637" s="16">
        <v>10916</v>
      </c>
      <c r="B637" s="17" t="s">
        <v>236</v>
      </c>
      <c r="C637" s="17" t="s">
        <v>320</v>
      </c>
      <c r="D637" s="17" t="s">
        <v>446</v>
      </c>
      <c r="E637" s="17" t="s">
        <v>250</v>
      </c>
      <c r="F637" s="17" t="s">
        <v>63</v>
      </c>
      <c r="G637" s="17" t="s">
        <v>322</v>
      </c>
      <c r="H637" s="18">
        <v>1428</v>
      </c>
      <c r="I637" s="18">
        <v>751.53</v>
      </c>
      <c r="J637" s="7" t="str">
        <f>IFERROR(_xlfn.XLOOKUP(F637,ccustos!A:A,ccustos!B:B),"Sem termo")</f>
        <v>SEPAT</v>
      </c>
    </row>
    <row r="638" spans="1:10" ht="36.75" customHeight="1" x14ac:dyDescent="0.25">
      <c r="A638" s="14">
        <v>10917</v>
      </c>
      <c r="B638" s="7" t="s">
        <v>236</v>
      </c>
      <c r="C638" s="7" t="s">
        <v>294</v>
      </c>
      <c r="D638" s="7" t="s">
        <v>449</v>
      </c>
      <c r="E638" s="7" t="s">
        <v>239</v>
      </c>
      <c r="F638" s="7" t="s">
        <v>67</v>
      </c>
      <c r="G638" s="7" t="s">
        <v>324</v>
      </c>
      <c r="H638" s="15">
        <v>17640</v>
      </c>
      <c r="I638" s="15">
        <v>7719.07</v>
      </c>
      <c r="J638" s="7" t="str">
        <f>IFERROR(_xlfn.XLOOKUP(F638,ccustos!A:A,ccustos!B:B),"Sem termo")</f>
        <v>CDPROF</v>
      </c>
    </row>
    <row r="639" spans="1:10" ht="36.75" customHeight="1" x14ac:dyDescent="0.25">
      <c r="A639" s="16">
        <v>10918</v>
      </c>
      <c r="B639" s="17" t="s">
        <v>236</v>
      </c>
      <c r="C639" s="17" t="s">
        <v>316</v>
      </c>
      <c r="D639" s="17" t="s">
        <v>317</v>
      </c>
      <c r="E639" s="17" t="s">
        <v>318</v>
      </c>
      <c r="F639" s="17" t="s">
        <v>67</v>
      </c>
      <c r="G639" s="17" t="s">
        <v>319</v>
      </c>
      <c r="H639" s="18">
        <v>696</v>
      </c>
      <c r="I639" s="18">
        <v>394.79</v>
      </c>
      <c r="J639" s="7" t="str">
        <f>IFERROR(_xlfn.XLOOKUP(F639,ccustos!A:A,ccustos!B:B),"Sem termo")</f>
        <v>CDPROF</v>
      </c>
    </row>
    <row r="640" spans="1:10" ht="36.75" customHeight="1" x14ac:dyDescent="0.25">
      <c r="A640" s="14">
        <v>10919</v>
      </c>
      <c r="B640" s="7" t="s">
        <v>236</v>
      </c>
      <c r="C640" s="7" t="s">
        <v>313</v>
      </c>
      <c r="D640" s="7" t="s">
        <v>630</v>
      </c>
      <c r="E640" s="7" t="s">
        <v>250</v>
      </c>
      <c r="F640" s="7" t="s">
        <v>47</v>
      </c>
      <c r="G640" s="7" t="s">
        <v>315</v>
      </c>
      <c r="H640" s="15">
        <v>620</v>
      </c>
      <c r="I640" s="15">
        <v>196.91</v>
      </c>
      <c r="J640" s="7" t="str">
        <f>IFERROR(_xlfn.XLOOKUP(F640,ccustos!A:A,ccustos!B:B),"Sem termo")</f>
        <v>CDPROF</v>
      </c>
    </row>
    <row r="641" spans="1:10" ht="36.75" customHeight="1" x14ac:dyDescent="0.25">
      <c r="A641" s="16">
        <v>10921</v>
      </c>
      <c r="B641" s="17" t="s">
        <v>236</v>
      </c>
      <c r="C641" s="17" t="s">
        <v>333</v>
      </c>
      <c r="D641" s="17" t="s">
        <v>631</v>
      </c>
      <c r="E641" s="17" t="s">
        <v>335</v>
      </c>
      <c r="F641" s="17" t="s">
        <v>20</v>
      </c>
      <c r="G641" s="17" t="s">
        <v>336</v>
      </c>
      <c r="H641" s="18">
        <v>750</v>
      </c>
      <c r="I641" s="18">
        <v>130.79</v>
      </c>
      <c r="J641" s="7" t="str">
        <f>IFERROR(_xlfn.XLOOKUP(F641,ccustos!A:A,ccustos!B:B),"Sem termo")</f>
        <v>CGTI</v>
      </c>
    </row>
    <row r="642" spans="1:10" ht="36.75" customHeight="1" x14ac:dyDescent="0.25">
      <c r="A642" s="14">
        <v>10922</v>
      </c>
      <c r="B642" s="7" t="s">
        <v>236</v>
      </c>
      <c r="C642" s="7" t="s">
        <v>237</v>
      </c>
      <c r="D642" s="7" t="s">
        <v>632</v>
      </c>
      <c r="E642" s="7" t="s">
        <v>239</v>
      </c>
      <c r="F642" s="7" t="s">
        <v>211</v>
      </c>
      <c r="G642" s="7" t="s">
        <v>443</v>
      </c>
      <c r="H642" s="15">
        <v>208</v>
      </c>
      <c r="I642" s="15">
        <v>156.83000000000001</v>
      </c>
      <c r="J642" s="7" t="str">
        <f>IFERROR(_xlfn.XLOOKUP(F642,ccustos!A:A,ccustos!B:B),"Sem termo")</f>
        <v>DIGEO</v>
      </c>
    </row>
    <row r="643" spans="1:10" ht="25.5" customHeight="1" x14ac:dyDescent="0.25">
      <c r="A643" s="16">
        <v>10923</v>
      </c>
      <c r="B643" s="17" t="s">
        <v>236</v>
      </c>
      <c r="C643" s="17" t="s">
        <v>241</v>
      </c>
      <c r="D643" s="17" t="s">
        <v>541</v>
      </c>
      <c r="E643" s="17" t="s">
        <v>239</v>
      </c>
      <c r="F643" s="17" t="s">
        <v>13</v>
      </c>
      <c r="G643" s="17" t="s">
        <v>331</v>
      </c>
      <c r="H643" s="18">
        <v>646</v>
      </c>
      <c r="I643" s="18">
        <v>449.05</v>
      </c>
      <c r="J643" s="7" t="str">
        <f>IFERROR(_xlfn.XLOOKUP(F643,ccustos!A:A,ccustos!B:B),"Sem termo")</f>
        <v>SEPROT</v>
      </c>
    </row>
    <row r="644" spans="1:10" ht="36.75" customHeight="1" x14ac:dyDescent="0.25">
      <c r="A644" s="14">
        <v>10924</v>
      </c>
      <c r="B644" s="7" t="s">
        <v>236</v>
      </c>
      <c r="C644" s="7" t="s">
        <v>337</v>
      </c>
      <c r="D644" s="7" t="s">
        <v>454</v>
      </c>
      <c r="E644" s="7" t="s">
        <v>239</v>
      </c>
      <c r="F644" s="7" t="s">
        <v>205</v>
      </c>
      <c r="G644" s="7" t="s">
        <v>289</v>
      </c>
      <c r="H644" s="15">
        <v>227.17</v>
      </c>
      <c r="I644" s="15">
        <v>213.43</v>
      </c>
      <c r="J644" s="7" t="str">
        <f>IFERROR(_xlfn.XLOOKUP(F644,ccustos!A:A,ccustos!B:B),"Sem termo")</f>
        <v>CCOM</v>
      </c>
    </row>
    <row r="645" spans="1:10" ht="25.5" customHeight="1" x14ac:dyDescent="0.25">
      <c r="A645" s="16">
        <v>10925</v>
      </c>
      <c r="B645" s="17" t="s">
        <v>236</v>
      </c>
      <c r="C645" s="17" t="s">
        <v>306</v>
      </c>
      <c r="D645" s="17" t="s">
        <v>307</v>
      </c>
      <c r="E645" s="17" t="s">
        <v>239</v>
      </c>
      <c r="F645" s="17" t="s">
        <v>47</v>
      </c>
      <c r="G645" s="17" t="s">
        <v>308</v>
      </c>
      <c r="H645" s="18">
        <v>310.75</v>
      </c>
      <c r="I645" s="18">
        <v>165.21</v>
      </c>
      <c r="J645" s="7" t="str">
        <f>IFERROR(_xlfn.XLOOKUP(F645,ccustos!A:A,ccustos!B:B),"Sem termo")</f>
        <v>CDPROF</v>
      </c>
    </row>
    <row r="646" spans="1:10" ht="36.75" customHeight="1" x14ac:dyDescent="0.25">
      <c r="A646" s="14">
        <v>10926</v>
      </c>
      <c r="B646" s="7" t="s">
        <v>236</v>
      </c>
      <c r="C646" s="7" t="s">
        <v>237</v>
      </c>
      <c r="D646" s="7" t="s">
        <v>277</v>
      </c>
      <c r="E646" s="7" t="s">
        <v>239</v>
      </c>
      <c r="F646" s="7" t="s">
        <v>83</v>
      </c>
      <c r="G646" s="7" t="s">
        <v>278</v>
      </c>
      <c r="H646" s="15">
        <v>201.3</v>
      </c>
      <c r="I646" s="15">
        <v>173.7</v>
      </c>
      <c r="J646" s="7" t="str">
        <f>IFERROR(_xlfn.XLOOKUP(F646,ccustos!A:A,ccustos!B:B),"Sem termo")</f>
        <v>GABIN</v>
      </c>
    </row>
    <row r="647" spans="1:10" ht="25.5" customHeight="1" x14ac:dyDescent="0.25">
      <c r="A647" s="16">
        <v>10930</v>
      </c>
      <c r="B647" s="17" t="s">
        <v>236</v>
      </c>
      <c r="C647" s="17" t="s">
        <v>306</v>
      </c>
      <c r="D647" s="17" t="s">
        <v>633</v>
      </c>
      <c r="E647" s="17" t="s">
        <v>239</v>
      </c>
      <c r="F647" s="17" t="s">
        <v>47</v>
      </c>
      <c r="G647" s="17" t="s">
        <v>331</v>
      </c>
      <c r="H647" s="18">
        <v>339</v>
      </c>
      <c r="I647" s="18">
        <v>137.18</v>
      </c>
      <c r="J647" s="7" t="str">
        <f>IFERROR(_xlfn.XLOOKUP(F647,ccustos!A:A,ccustos!B:B),"Sem termo")</f>
        <v>CDPROF</v>
      </c>
    </row>
    <row r="648" spans="1:10" ht="25.5" customHeight="1" x14ac:dyDescent="0.25">
      <c r="A648" s="14">
        <v>10931</v>
      </c>
      <c r="B648" s="7" t="s">
        <v>236</v>
      </c>
      <c r="C648" s="7" t="s">
        <v>241</v>
      </c>
      <c r="D648" s="7" t="s">
        <v>362</v>
      </c>
      <c r="E648" s="7" t="s">
        <v>239</v>
      </c>
      <c r="F648" s="7" t="s">
        <v>47</v>
      </c>
      <c r="G648" s="7" t="s">
        <v>331</v>
      </c>
      <c r="H648" s="15">
        <v>232</v>
      </c>
      <c r="I648" s="15">
        <v>108.46</v>
      </c>
      <c r="J648" s="7" t="str">
        <f>IFERROR(_xlfn.XLOOKUP(F648,ccustos!A:A,ccustos!B:B),"Sem termo")</f>
        <v>CDPROF</v>
      </c>
    </row>
    <row r="649" spans="1:10" ht="36.75" customHeight="1" x14ac:dyDescent="0.25">
      <c r="A649" s="16">
        <v>10932</v>
      </c>
      <c r="B649" s="17" t="s">
        <v>236</v>
      </c>
      <c r="C649" s="17" t="s">
        <v>337</v>
      </c>
      <c r="D649" s="17" t="s">
        <v>376</v>
      </c>
      <c r="E649" s="17" t="s">
        <v>239</v>
      </c>
      <c r="F649" s="17" t="s">
        <v>47</v>
      </c>
      <c r="G649" s="17" t="s">
        <v>331</v>
      </c>
      <c r="H649" s="18">
        <v>298</v>
      </c>
      <c r="I649" s="18">
        <v>213.43</v>
      </c>
      <c r="J649" s="7" t="str">
        <f>IFERROR(_xlfn.XLOOKUP(F649,ccustos!A:A,ccustos!B:B),"Sem termo")</f>
        <v>CDPROF</v>
      </c>
    </row>
    <row r="650" spans="1:10" ht="36.75" customHeight="1" x14ac:dyDescent="0.25">
      <c r="A650" s="14">
        <v>10933</v>
      </c>
      <c r="B650" s="7" t="s">
        <v>236</v>
      </c>
      <c r="C650" s="7" t="s">
        <v>241</v>
      </c>
      <c r="D650" s="7" t="s">
        <v>634</v>
      </c>
      <c r="E650" s="7" t="s">
        <v>239</v>
      </c>
      <c r="F650" s="7" t="s">
        <v>47</v>
      </c>
      <c r="G650" s="7" t="s">
        <v>345</v>
      </c>
      <c r="H650" s="15">
        <v>1819.94</v>
      </c>
      <c r="I650" s="15">
        <v>298.10000000000002</v>
      </c>
      <c r="J650" s="7" t="str">
        <f>IFERROR(_xlfn.XLOOKUP(F650,ccustos!A:A,ccustos!B:B),"Sem termo")</f>
        <v>CDPROF</v>
      </c>
    </row>
    <row r="651" spans="1:10" ht="36.75" customHeight="1" x14ac:dyDescent="0.25">
      <c r="A651" s="16">
        <v>10935</v>
      </c>
      <c r="B651" s="17" t="s">
        <v>236</v>
      </c>
      <c r="C651" s="17" t="s">
        <v>237</v>
      </c>
      <c r="D651" s="17" t="s">
        <v>632</v>
      </c>
      <c r="E651" s="17" t="s">
        <v>239</v>
      </c>
      <c r="F651" s="17" t="s">
        <v>27</v>
      </c>
      <c r="G651" s="17" t="s">
        <v>280</v>
      </c>
      <c r="H651" s="18">
        <v>310.77</v>
      </c>
      <c r="I651" s="18">
        <v>149.01</v>
      </c>
      <c r="J651" s="7" t="str">
        <f>IFERROR(_xlfn.XLOOKUP(F651,ccustos!A:A,ccustos!B:B),"Sem termo")</f>
        <v>CCI</v>
      </c>
    </row>
    <row r="652" spans="1:10" ht="36.75" customHeight="1" x14ac:dyDescent="0.25">
      <c r="A652" s="14">
        <v>10936</v>
      </c>
      <c r="B652" s="7" t="s">
        <v>236</v>
      </c>
      <c r="C652" s="7" t="s">
        <v>237</v>
      </c>
      <c r="D652" s="7" t="s">
        <v>635</v>
      </c>
      <c r="E652" s="7" t="s">
        <v>239</v>
      </c>
      <c r="F652" s="7" t="s">
        <v>47</v>
      </c>
      <c r="G652" s="7" t="s">
        <v>280</v>
      </c>
      <c r="H652" s="15">
        <v>310.77</v>
      </c>
      <c r="I652" s="15">
        <v>149.01</v>
      </c>
      <c r="J652" s="7" t="str">
        <f>IFERROR(_xlfn.XLOOKUP(F652,ccustos!A:A,ccustos!B:B),"Sem termo")</f>
        <v>CDPROF</v>
      </c>
    </row>
    <row r="653" spans="1:10" ht="36.75" customHeight="1" x14ac:dyDescent="0.25">
      <c r="A653" s="16">
        <v>10937</v>
      </c>
      <c r="B653" s="17" t="s">
        <v>236</v>
      </c>
      <c r="C653" s="17" t="s">
        <v>313</v>
      </c>
      <c r="D653" s="17" t="s">
        <v>636</v>
      </c>
      <c r="E653" s="17" t="s">
        <v>250</v>
      </c>
      <c r="F653" s="17" t="s">
        <v>67</v>
      </c>
      <c r="G653" s="17" t="s">
        <v>315</v>
      </c>
      <c r="H653" s="18">
        <v>620</v>
      </c>
      <c r="I653" s="18">
        <v>196.91</v>
      </c>
      <c r="J653" s="7" t="str">
        <f>IFERROR(_xlfn.XLOOKUP(F653,ccustos!A:A,ccustos!B:B),"Sem termo")</f>
        <v>CDPROF</v>
      </c>
    </row>
    <row r="654" spans="1:10" ht="25.5" customHeight="1" x14ac:dyDescent="0.25">
      <c r="A654" s="14">
        <v>10938</v>
      </c>
      <c r="B654" s="7" t="s">
        <v>236</v>
      </c>
      <c r="C654" s="7" t="s">
        <v>306</v>
      </c>
      <c r="D654" s="7" t="s">
        <v>369</v>
      </c>
      <c r="E654" s="7" t="s">
        <v>239</v>
      </c>
      <c r="F654" s="7" t="s">
        <v>47</v>
      </c>
      <c r="G654" s="7" t="s">
        <v>289</v>
      </c>
      <c r="H654" s="15">
        <v>444.97</v>
      </c>
      <c r="I654" s="15">
        <v>195.89</v>
      </c>
      <c r="J654" s="7" t="str">
        <f>IFERROR(_xlfn.XLOOKUP(F654,ccustos!A:A,ccustos!B:B),"Sem termo")</f>
        <v>CDPROF</v>
      </c>
    </row>
    <row r="655" spans="1:10" ht="25.5" customHeight="1" x14ac:dyDescent="0.25">
      <c r="A655" s="16">
        <v>10939</v>
      </c>
      <c r="B655" s="17" t="s">
        <v>236</v>
      </c>
      <c r="C655" s="17" t="s">
        <v>306</v>
      </c>
      <c r="D655" s="17" t="s">
        <v>637</v>
      </c>
      <c r="E655" s="17" t="s">
        <v>239</v>
      </c>
      <c r="F655" s="17" t="s">
        <v>47</v>
      </c>
      <c r="G655" s="17" t="s">
        <v>589</v>
      </c>
      <c r="H655" s="18">
        <v>4562</v>
      </c>
      <c r="I655" s="18">
        <v>732.27</v>
      </c>
      <c r="J655" s="7" t="str">
        <f>IFERROR(_xlfn.XLOOKUP(F655,ccustos!A:A,ccustos!B:B),"Sem termo")</f>
        <v>CDPROF</v>
      </c>
    </row>
    <row r="656" spans="1:10" ht="25.5" customHeight="1" x14ac:dyDescent="0.25">
      <c r="A656" s="14">
        <v>10940</v>
      </c>
      <c r="B656" s="7" t="s">
        <v>236</v>
      </c>
      <c r="C656" s="7" t="s">
        <v>306</v>
      </c>
      <c r="D656" s="7" t="s">
        <v>512</v>
      </c>
      <c r="E656" s="7" t="s">
        <v>239</v>
      </c>
      <c r="F656" s="7" t="s">
        <v>39</v>
      </c>
      <c r="G656" s="7" t="s">
        <v>339</v>
      </c>
      <c r="H656" s="15">
        <v>238.22</v>
      </c>
      <c r="I656" s="15">
        <v>137.18</v>
      </c>
      <c r="J656" s="7" t="str">
        <f>IFERROR(_xlfn.XLOOKUP(F656,ccustos!A:A,ccustos!B:B),"Sem termo")</f>
        <v>COREG</v>
      </c>
    </row>
    <row r="657" spans="1:10" ht="25.5" customHeight="1" x14ac:dyDescent="0.25">
      <c r="A657" s="16">
        <v>10941</v>
      </c>
      <c r="B657" s="17" t="s">
        <v>236</v>
      </c>
      <c r="C657" s="17" t="s">
        <v>306</v>
      </c>
      <c r="D657" s="17" t="s">
        <v>512</v>
      </c>
      <c r="E657" s="17" t="s">
        <v>239</v>
      </c>
      <c r="F657" s="17" t="s">
        <v>47</v>
      </c>
      <c r="G657" s="17" t="s">
        <v>339</v>
      </c>
      <c r="H657" s="18">
        <v>238.22</v>
      </c>
      <c r="I657" s="18">
        <v>137.18</v>
      </c>
      <c r="J657" s="7" t="str">
        <f>IFERROR(_xlfn.XLOOKUP(F657,ccustos!A:A,ccustos!B:B),"Sem termo")</f>
        <v>CDPROF</v>
      </c>
    </row>
    <row r="658" spans="1:10" ht="25.5" customHeight="1" x14ac:dyDescent="0.25">
      <c r="A658" s="14">
        <v>10942</v>
      </c>
      <c r="B658" s="7" t="s">
        <v>236</v>
      </c>
      <c r="C658" s="7" t="s">
        <v>241</v>
      </c>
      <c r="D658" s="7" t="s">
        <v>362</v>
      </c>
      <c r="E658" s="7" t="s">
        <v>239</v>
      </c>
      <c r="F658" s="7" t="s">
        <v>69</v>
      </c>
      <c r="G658" s="7" t="s">
        <v>331</v>
      </c>
      <c r="H658" s="15">
        <v>232</v>
      </c>
      <c r="I658" s="15">
        <v>108.46</v>
      </c>
      <c r="J658" s="7" t="str">
        <f>IFERROR(_xlfn.XLOOKUP(F658,ccustos!A:A,ccustos!B:B),"Sem termo")</f>
        <v>SEPAT</v>
      </c>
    </row>
    <row r="659" spans="1:10" ht="25.5" customHeight="1" x14ac:dyDescent="0.25">
      <c r="A659" s="16">
        <v>10943</v>
      </c>
      <c r="B659" s="17" t="s">
        <v>236</v>
      </c>
      <c r="C659" s="17" t="s">
        <v>241</v>
      </c>
      <c r="D659" s="17" t="s">
        <v>520</v>
      </c>
      <c r="E659" s="17" t="s">
        <v>239</v>
      </c>
      <c r="F659" s="17" t="s">
        <v>26</v>
      </c>
      <c r="G659" s="17" t="s">
        <v>331</v>
      </c>
      <c r="H659" s="18">
        <v>446</v>
      </c>
      <c r="I659" s="18">
        <v>332.24</v>
      </c>
      <c r="J659" s="7" t="str">
        <f>IFERROR(_xlfn.XLOOKUP(F659,ccustos!A:A,ccustos!B:B),"Sem termo")</f>
        <v>COLOG</v>
      </c>
    </row>
    <row r="660" spans="1:10" ht="25.5" customHeight="1" x14ac:dyDescent="0.25">
      <c r="A660" s="14">
        <v>10944</v>
      </c>
      <c r="B660" s="7" t="s">
        <v>236</v>
      </c>
      <c r="C660" s="7" t="s">
        <v>237</v>
      </c>
      <c r="D660" s="7" t="s">
        <v>304</v>
      </c>
      <c r="E660" s="7" t="s">
        <v>239</v>
      </c>
      <c r="F660" s="7" t="s">
        <v>47</v>
      </c>
      <c r="G660" s="7" t="s">
        <v>305</v>
      </c>
      <c r="H660" s="15">
        <v>373.77</v>
      </c>
      <c r="I660" s="15">
        <v>149.01</v>
      </c>
      <c r="J660" s="7" t="str">
        <f>IFERROR(_xlfn.XLOOKUP(F660,ccustos!A:A,ccustos!B:B),"Sem termo")</f>
        <v>CDPROF</v>
      </c>
    </row>
    <row r="661" spans="1:10" ht="25.5" customHeight="1" x14ac:dyDescent="0.25">
      <c r="A661" s="16">
        <v>10945</v>
      </c>
      <c r="B661" s="17" t="s">
        <v>236</v>
      </c>
      <c r="C661" s="17" t="s">
        <v>337</v>
      </c>
      <c r="D661" s="17" t="s">
        <v>638</v>
      </c>
      <c r="E661" s="17" t="s">
        <v>239</v>
      </c>
      <c r="F661" s="17" t="s">
        <v>48</v>
      </c>
      <c r="G661" s="17" t="s">
        <v>331</v>
      </c>
      <c r="H661" s="18">
        <v>298</v>
      </c>
      <c r="I661" s="18">
        <v>213.43</v>
      </c>
      <c r="J661" s="7" t="str">
        <f>IFERROR(_xlfn.XLOOKUP(F661,ccustos!A:A,ccustos!B:B),"Sem termo")</f>
        <v>DEPES</v>
      </c>
    </row>
    <row r="662" spans="1:10" ht="36.75" customHeight="1" x14ac:dyDescent="0.25">
      <c r="A662" s="14">
        <v>10951</v>
      </c>
      <c r="B662" s="7" t="s">
        <v>236</v>
      </c>
      <c r="C662" s="7" t="s">
        <v>306</v>
      </c>
      <c r="D662" s="7" t="s">
        <v>639</v>
      </c>
      <c r="E662" s="7" t="s">
        <v>239</v>
      </c>
      <c r="F662" s="7" t="s">
        <v>30</v>
      </c>
      <c r="G662" s="7" t="s">
        <v>331</v>
      </c>
      <c r="H662" s="15">
        <v>812</v>
      </c>
      <c r="I662" s="15">
        <v>195.89</v>
      </c>
      <c r="J662" s="7" t="str">
        <f>IFERROR(_xlfn.XLOOKUP(F662,ccustos!A:A,ccustos!B:B),"Sem termo")</f>
        <v>COFIS</v>
      </c>
    </row>
    <row r="663" spans="1:10" ht="36.75" customHeight="1" x14ac:dyDescent="0.25">
      <c r="A663" s="16">
        <v>10952</v>
      </c>
      <c r="B663" s="17" t="s">
        <v>236</v>
      </c>
      <c r="C663" s="17" t="s">
        <v>327</v>
      </c>
      <c r="D663" s="17" t="s">
        <v>640</v>
      </c>
      <c r="E663" s="17" t="s">
        <v>239</v>
      </c>
      <c r="F663" s="17" t="s">
        <v>22</v>
      </c>
      <c r="G663" s="17" t="s">
        <v>331</v>
      </c>
      <c r="H663" s="18">
        <v>446</v>
      </c>
      <c r="I663" s="18">
        <v>815.7</v>
      </c>
      <c r="J663" s="7" t="str">
        <f>IFERROR(_xlfn.XLOOKUP(F663,ccustos!A:A,ccustos!B:B),"Sem termo")</f>
        <v>COTEC</v>
      </c>
    </row>
    <row r="664" spans="1:10" ht="36.75" customHeight="1" x14ac:dyDescent="0.25">
      <c r="A664" s="14">
        <v>10953</v>
      </c>
      <c r="B664" s="7" t="s">
        <v>236</v>
      </c>
      <c r="C664" s="7" t="s">
        <v>306</v>
      </c>
      <c r="D664" s="7" t="s">
        <v>307</v>
      </c>
      <c r="E664" s="7" t="s">
        <v>239</v>
      </c>
      <c r="F664" s="7" t="s">
        <v>30</v>
      </c>
      <c r="G664" s="7" t="s">
        <v>289</v>
      </c>
      <c r="H664" s="15">
        <v>287.67</v>
      </c>
      <c r="I664" s="15">
        <v>151.19999999999999</v>
      </c>
      <c r="J664" s="7" t="str">
        <f>IFERROR(_xlfn.XLOOKUP(F664,ccustos!A:A,ccustos!B:B),"Sem termo")</f>
        <v>COFIS</v>
      </c>
    </row>
    <row r="665" spans="1:10" ht="36.75" customHeight="1" x14ac:dyDescent="0.25">
      <c r="A665" s="16">
        <v>10954</v>
      </c>
      <c r="B665" s="17" t="s">
        <v>236</v>
      </c>
      <c r="C665" s="17" t="s">
        <v>327</v>
      </c>
      <c r="D665" s="17" t="s">
        <v>641</v>
      </c>
      <c r="E665" s="17" t="s">
        <v>239</v>
      </c>
      <c r="F665" s="17" t="s">
        <v>30</v>
      </c>
      <c r="G665" s="17" t="s">
        <v>331</v>
      </c>
      <c r="H665" s="18">
        <v>446</v>
      </c>
      <c r="I665" s="18">
        <v>1119.3699999999999</v>
      </c>
      <c r="J665" s="7" t="str">
        <f>IFERROR(_xlfn.XLOOKUP(F665,ccustos!A:A,ccustos!B:B),"Sem termo")</f>
        <v>COFIS</v>
      </c>
    </row>
    <row r="666" spans="1:10" ht="36.75" customHeight="1" x14ac:dyDescent="0.25">
      <c r="A666" s="14">
        <v>10955</v>
      </c>
      <c r="B666" s="7" t="s">
        <v>236</v>
      </c>
      <c r="C666" s="7" t="s">
        <v>327</v>
      </c>
      <c r="D666" s="7" t="s">
        <v>641</v>
      </c>
      <c r="E666" s="7" t="s">
        <v>239</v>
      </c>
      <c r="F666" s="7" t="s">
        <v>30</v>
      </c>
      <c r="G666" s="7" t="s">
        <v>375</v>
      </c>
      <c r="H666" s="15">
        <v>1740</v>
      </c>
      <c r="I666" s="15">
        <v>1600.7</v>
      </c>
      <c r="J666" s="7" t="str">
        <f>IFERROR(_xlfn.XLOOKUP(F666,ccustos!A:A,ccustos!B:B),"Sem termo")</f>
        <v>COFIS</v>
      </c>
    </row>
    <row r="667" spans="1:10" ht="36.75" customHeight="1" x14ac:dyDescent="0.25">
      <c r="A667" s="16">
        <v>10956</v>
      </c>
      <c r="B667" s="17" t="s">
        <v>236</v>
      </c>
      <c r="C667" s="17" t="s">
        <v>306</v>
      </c>
      <c r="D667" s="17" t="s">
        <v>369</v>
      </c>
      <c r="E667" s="17" t="s">
        <v>239</v>
      </c>
      <c r="F667" s="17" t="s">
        <v>30</v>
      </c>
      <c r="G667" s="17" t="s">
        <v>289</v>
      </c>
      <c r="H667" s="18">
        <v>447.96</v>
      </c>
      <c r="I667" s="18">
        <v>195.89</v>
      </c>
      <c r="J667" s="7" t="str">
        <f>IFERROR(_xlfn.XLOOKUP(F667,ccustos!A:A,ccustos!B:B),"Sem termo")</f>
        <v>COFIS</v>
      </c>
    </row>
    <row r="668" spans="1:10" ht="36.75" customHeight="1" x14ac:dyDescent="0.25">
      <c r="A668" s="14">
        <v>10959</v>
      </c>
      <c r="B668" s="7" t="s">
        <v>236</v>
      </c>
      <c r="C668" s="7" t="s">
        <v>337</v>
      </c>
      <c r="D668" s="7" t="s">
        <v>346</v>
      </c>
      <c r="E668" s="7" t="s">
        <v>239</v>
      </c>
      <c r="F668" s="7" t="s">
        <v>65</v>
      </c>
      <c r="G668" s="7" t="s">
        <v>331</v>
      </c>
      <c r="H668" s="15">
        <v>298</v>
      </c>
      <c r="I668" s="15">
        <v>215.09</v>
      </c>
      <c r="J668" s="7" t="str">
        <f>IFERROR(_xlfn.XLOOKUP(F668,ccustos!A:A,ccustos!B:B),"Sem termo")</f>
        <v>DEINFRA</v>
      </c>
    </row>
    <row r="669" spans="1:10" ht="36.75" customHeight="1" x14ac:dyDescent="0.25">
      <c r="A669" s="16">
        <v>10960</v>
      </c>
      <c r="B669" s="17" t="s">
        <v>236</v>
      </c>
      <c r="C669" s="17" t="s">
        <v>237</v>
      </c>
      <c r="D669" s="17" t="s">
        <v>597</v>
      </c>
      <c r="E669" s="17" t="s">
        <v>239</v>
      </c>
      <c r="F669" s="17" t="s">
        <v>0</v>
      </c>
      <c r="G669" s="17" t="s">
        <v>343</v>
      </c>
      <c r="H669" s="18">
        <v>530.16999999999996</v>
      </c>
      <c r="I669" s="18">
        <v>173.7</v>
      </c>
      <c r="J669" s="7" t="str">
        <f>IFERROR(_xlfn.XLOOKUP(F669,ccustos!A:A,ccustos!B:B),"Sem termo")</f>
        <v>SEPAT</v>
      </c>
    </row>
    <row r="670" spans="1:10" ht="25.5" customHeight="1" x14ac:dyDescent="0.25">
      <c r="A670" s="14">
        <v>10962</v>
      </c>
      <c r="B670" s="7" t="s">
        <v>236</v>
      </c>
      <c r="C670" s="7" t="s">
        <v>337</v>
      </c>
      <c r="D670" s="7" t="s">
        <v>611</v>
      </c>
      <c r="E670" s="7" t="s">
        <v>239</v>
      </c>
      <c r="F670" s="7" t="s">
        <v>30</v>
      </c>
      <c r="G670" s="7" t="s">
        <v>331</v>
      </c>
      <c r="H670" s="15">
        <v>298</v>
      </c>
      <c r="I670" s="15">
        <v>215.09</v>
      </c>
      <c r="J670" s="7" t="str">
        <f>IFERROR(_xlfn.XLOOKUP(F670,ccustos!A:A,ccustos!B:B),"Sem termo")</f>
        <v>COFIS</v>
      </c>
    </row>
    <row r="671" spans="1:10" ht="36.75" customHeight="1" x14ac:dyDescent="0.25">
      <c r="A671" s="16">
        <v>10963</v>
      </c>
      <c r="B671" s="17" t="s">
        <v>236</v>
      </c>
      <c r="C671" s="17" t="s">
        <v>237</v>
      </c>
      <c r="D671" s="17" t="s">
        <v>642</v>
      </c>
      <c r="E671" s="17" t="s">
        <v>239</v>
      </c>
      <c r="F671" s="17" t="s">
        <v>0</v>
      </c>
      <c r="G671" s="17" t="s">
        <v>343</v>
      </c>
      <c r="H671" s="18">
        <v>222.3</v>
      </c>
      <c r="I671" s="18">
        <v>173.7</v>
      </c>
      <c r="J671" s="7" t="str">
        <f>IFERROR(_xlfn.XLOOKUP(F671,ccustos!A:A,ccustos!B:B),"Sem termo")</f>
        <v>SEPAT</v>
      </c>
    </row>
    <row r="672" spans="1:10" ht="25.5" customHeight="1" x14ac:dyDescent="0.25">
      <c r="A672" s="14">
        <v>10973</v>
      </c>
      <c r="B672" s="7" t="s">
        <v>236</v>
      </c>
      <c r="C672" s="7" t="s">
        <v>337</v>
      </c>
      <c r="D672" s="7" t="s">
        <v>611</v>
      </c>
      <c r="E672" s="7" t="s">
        <v>239</v>
      </c>
      <c r="F672" s="7" t="s">
        <v>30</v>
      </c>
      <c r="G672" s="7" t="s">
        <v>331</v>
      </c>
      <c r="H672" s="15">
        <v>298</v>
      </c>
      <c r="I672" s="15">
        <v>213.43</v>
      </c>
      <c r="J672" s="7" t="str">
        <f>IFERROR(_xlfn.XLOOKUP(F672,ccustos!A:A,ccustos!B:B),"Sem termo")</f>
        <v>COFIS</v>
      </c>
    </row>
    <row r="673" spans="1:10" ht="36.75" customHeight="1" x14ac:dyDescent="0.25">
      <c r="A673" s="16">
        <v>10974</v>
      </c>
      <c r="B673" s="17" t="s">
        <v>236</v>
      </c>
      <c r="C673" s="17" t="s">
        <v>337</v>
      </c>
      <c r="D673" s="17" t="s">
        <v>338</v>
      </c>
      <c r="E673" s="17" t="s">
        <v>239</v>
      </c>
      <c r="F673" s="17" t="s">
        <v>27</v>
      </c>
      <c r="G673" s="17" t="s">
        <v>339</v>
      </c>
      <c r="H673" s="18">
        <v>237</v>
      </c>
      <c r="I673" s="18">
        <v>215.09</v>
      </c>
      <c r="J673" s="7" t="str">
        <f>IFERROR(_xlfn.XLOOKUP(F673,ccustos!A:A,ccustos!B:B),"Sem termo")</f>
        <v>CCI</v>
      </c>
    </row>
    <row r="674" spans="1:10" ht="36.75" customHeight="1" x14ac:dyDescent="0.25">
      <c r="A674" s="14">
        <v>10977</v>
      </c>
      <c r="B674" s="7" t="s">
        <v>236</v>
      </c>
      <c r="C674" s="7" t="s">
        <v>337</v>
      </c>
      <c r="D674" s="7" t="s">
        <v>611</v>
      </c>
      <c r="E674" s="7" t="s">
        <v>239</v>
      </c>
      <c r="F674" s="7" t="s">
        <v>30</v>
      </c>
      <c r="G674" s="7" t="s">
        <v>331</v>
      </c>
      <c r="H674" s="15">
        <v>298</v>
      </c>
      <c r="I674" s="15">
        <v>215.09</v>
      </c>
      <c r="J674" s="7" t="str">
        <f>IFERROR(_xlfn.XLOOKUP(F674,ccustos!A:A,ccustos!B:B),"Sem termo")</f>
        <v>COFIS</v>
      </c>
    </row>
    <row r="675" spans="1:10" ht="36.75" customHeight="1" x14ac:dyDescent="0.25">
      <c r="A675" s="16">
        <v>10978</v>
      </c>
      <c r="B675" s="17" t="s">
        <v>236</v>
      </c>
      <c r="C675" s="17" t="s">
        <v>237</v>
      </c>
      <c r="D675" s="17" t="s">
        <v>597</v>
      </c>
      <c r="E675" s="17" t="s">
        <v>239</v>
      </c>
      <c r="F675" s="17" t="s">
        <v>0</v>
      </c>
      <c r="G675" s="17" t="s">
        <v>280</v>
      </c>
      <c r="H675" s="18">
        <v>565.46</v>
      </c>
      <c r="I675" s="18">
        <v>173.7</v>
      </c>
      <c r="J675" s="7" t="str">
        <f>IFERROR(_xlfn.XLOOKUP(F675,ccustos!A:A,ccustos!B:B),"Sem termo")</f>
        <v>SEPAT</v>
      </c>
    </row>
    <row r="676" spans="1:10" ht="25.5" customHeight="1" x14ac:dyDescent="0.25">
      <c r="A676" s="14">
        <v>10981</v>
      </c>
      <c r="B676" s="7" t="s">
        <v>236</v>
      </c>
      <c r="C676" s="7" t="s">
        <v>313</v>
      </c>
      <c r="D676" s="7" t="s">
        <v>643</v>
      </c>
      <c r="E676" s="7" t="s">
        <v>250</v>
      </c>
      <c r="F676" s="7" t="s">
        <v>26</v>
      </c>
      <c r="G676" s="7" t="s">
        <v>570</v>
      </c>
      <c r="H676" s="15">
        <v>0.05</v>
      </c>
      <c r="I676" s="15">
        <v>236.29</v>
      </c>
      <c r="J676" s="7" t="str">
        <f>IFERROR(_xlfn.XLOOKUP(F676,ccustos!A:A,ccustos!B:B),"Sem termo")</f>
        <v>COLOG</v>
      </c>
    </row>
    <row r="677" spans="1:10" ht="36.75" customHeight="1" x14ac:dyDescent="0.25">
      <c r="A677" s="16">
        <v>10983</v>
      </c>
      <c r="B677" s="17" t="s">
        <v>236</v>
      </c>
      <c r="C677" s="17" t="s">
        <v>241</v>
      </c>
      <c r="D677" s="17" t="s">
        <v>644</v>
      </c>
      <c r="E677" s="17" t="s">
        <v>239</v>
      </c>
      <c r="F677" s="17" t="s">
        <v>68</v>
      </c>
      <c r="G677" s="17" t="s">
        <v>463</v>
      </c>
      <c r="H677" s="18">
        <v>276.33</v>
      </c>
      <c r="I677" s="18">
        <v>141.34</v>
      </c>
      <c r="J677" s="7" t="str">
        <f>IFERROR(_xlfn.XLOOKUP(F677,ccustos!A:A,ccustos!B:B),"Sem termo")</f>
        <v>DEINFRA</v>
      </c>
    </row>
    <row r="678" spans="1:10" ht="36.75" customHeight="1" x14ac:dyDescent="0.25">
      <c r="A678" s="14">
        <v>10985</v>
      </c>
      <c r="B678" s="7" t="s">
        <v>236</v>
      </c>
      <c r="C678" s="7" t="s">
        <v>241</v>
      </c>
      <c r="D678" s="7" t="s">
        <v>520</v>
      </c>
      <c r="E678" s="7" t="s">
        <v>239</v>
      </c>
      <c r="F678" s="7" t="s">
        <v>60</v>
      </c>
      <c r="G678" s="7" t="s">
        <v>331</v>
      </c>
      <c r="H678" s="15">
        <v>446</v>
      </c>
      <c r="I678" s="15">
        <v>332.24</v>
      </c>
      <c r="J678" s="7" t="str">
        <f>IFERROR(_xlfn.XLOOKUP(F678,ccustos!A:A,ccustos!B:B),"Sem termo")</f>
        <v>DEGEP</v>
      </c>
    </row>
    <row r="679" spans="1:10" ht="36.75" customHeight="1" x14ac:dyDescent="0.25">
      <c r="A679" s="16">
        <v>10989</v>
      </c>
      <c r="B679" s="17" t="s">
        <v>236</v>
      </c>
      <c r="C679" s="17" t="s">
        <v>237</v>
      </c>
      <c r="D679" s="17" t="s">
        <v>277</v>
      </c>
      <c r="E679" s="17" t="s">
        <v>239</v>
      </c>
      <c r="F679" s="17" t="s">
        <v>205</v>
      </c>
      <c r="G679" s="17" t="s">
        <v>278</v>
      </c>
      <c r="H679" s="18">
        <v>201.3</v>
      </c>
      <c r="I679" s="18">
        <v>173.7</v>
      </c>
      <c r="J679" s="7" t="str">
        <f>IFERROR(_xlfn.XLOOKUP(F679,ccustos!A:A,ccustos!B:B),"Sem termo")</f>
        <v>CCOM</v>
      </c>
    </row>
    <row r="680" spans="1:10" ht="36.75" customHeight="1" x14ac:dyDescent="0.25">
      <c r="A680" s="14">
        <v>10991</v>
      </c>
      <c r="B680" s="7" t="s">
        <v>236</v>
      </c>
      <c r="C680" s="7" t="s">
        <v>306</v>
      </c>
      <c r="D680" s="7" t="s">
        <v>512</v>
      </c>
      <c r="E680" s="7" t="s">
        <v>239</v>
      </c>
      <c r="F680" s="7" t="s">
        <v>30</v>
      </c>
      <c r="G680" s="7" t="s">
        <v>339</v>
      </c>
      <c r="H680" s="15">
        <v>238.22</v>
      </c>
      <c r="I680" s="15">
        <v>137.18</v>
      </c>
      <c r="J680" s="7" t="str">
        <f>IFERROR(_xlfn.XLOOKUP(F680,ccustos!A:A,ccustos!B:B),"Sem termo")</f>
        <v>COFIS</v>
      </c>
    </row>
    <row r="681" spans="1:10" ht="36.75" customHeight="1" x14ac:dyDescent="0.25">
      <c r="A681" s="16">
        <v>10992</v>
      </c>
      <c r="B681" s="17" t="s">
        <v>236</v>
      </c>
      <c r="C681" s="17" t="s">
        <v>337</v>
      </c>
      <c r="D681" s="17" t="s">
        <v>346</v>
      </c>
      <c r="E681" s="17" t="s">
        <v>239</v>
      </c>
      <c r="F681" s="17" t="s">
        <v>30</v>
      </c>
      <c r="G681" s="17" t="s">
        <v>331</v>
      </c>
      <c r="H681" s="18">
        <v>298</v>
      </c>
      <c r="I681" s="18">
        <v>213.43</v>
      </c>
      <c r="J681" s="7" t="str">
        <f>IFERROR(_xlfn.XLOOKUP(F681,ccustos!A:A,ccustos!B:B),"Sem termo")</f>
        <v>COFIS</v>
      </c>
    </row>
    <row r="682" spans="1:10" ht="36.75" customHeight="1" x14ac:dyDescent="0.25">
      <c r="A682" s="14">
        <v>10993</v>
      </c>
      <c r="B682" s="7" t="s">
        <v>236</v>
      </c>
      <c r="C682" s="7" t="s">
        <v>337</v>
      </c>
      <c r="D682" s="7" t="s">
        <v>338</v>
      </c>
      <c r="E682" s="7" t="s">
        <v>239</v>
      </c>
      <c r="F682" s="7" t="s">
        <v>30</v>
      </c>
      <c r="G682" s="7" t="s">
        <v>339</v>
      </c>
      <c r="H682" s="15">
        <v>237</v>
      </c>
      <c r="I682" s="15">
        <v>213.43</v>
      </c>
      <c r="J682" s="7" t="str">
        <f>IFERROR(_xlfn.XLOOKUP(F682,ccustos!A:A,ccustos!B:B),"Sem termo")</f>
        <v>COFIS</v>
      </c>
    </row>
    <row r="683" spans="1:10" ht="36.75" customHeight="1" x14ac:dyDescent="0.25">
      <c r="A683" s="16">
        <v>10994</v>
      </c>
      <c r="B683" s="17" t="s">
        <v>236</v>
      </c>
      <c r="C683" s="17" t="s">
        <v>306</v>
      </c>
      <c r="D683" s="17" t="s">
        <v>645</v>
      </c>
      <c r="E683" s="17" t="s">
        <v>239</v>
      </c>
      <c r="F683" s="17" t="s">
        <v>30</v>
      </c>
      <c r="G683" s="17" t="s">
        <v>331</v>
      </c>
      <c r="H683" s="18">
        <v>339</v>
      </c>
      <c r="I683" s="18">
        <v>185.02</v>
      </c>
      <c r="J683" s="7" t="str">
        <f>IFERROR(_xlfn.XLOOKUP(F683,ccustos!A:A,ccustos!B:B),"Sem termo")</f>
        <v>COFIS</v>
      </c>
    </row>
    <row r="684" spans="1:10" ht="36.75" customHeight="1" x14ac:dyDescent="0.25">
      <c r="A684" s="14">
        <v>10995</v>
      </c>
      <c r="B684" s="7" t="s">
        <v>236</v>
      </c>
      <c r="C684" s="7" t="s">
        <v>237</v>
      </c>
      <c r="D684" s="7" t="s">
        <v>279</v>
      </c>
      <c r="E684" s="7" t="s">
        <v>239</v>
      </c>
      <c r="F684" s="7" t="s">
        <v>0</v>
      </c>
      <c r="G684" s="7" t="s">
        <v>280</v>
      </c>
      <c r="H684" s="15">
        <v>565.46</v>
      </c>
      <c r="I684" s="15">
        <v>173.7</v>
      </c>
      <c r="J684" s="7" t="str">
        <f>IFERROR(_xlfn.XLOOKUP(F684,ccustos!A:A,ccustos!B:B),"Sem termo")</f>
        <v>SEPAT</v>
      </c>
    </row>
    <row r="685" spans="1:10" ht="36.75" customHeight="1" x14ac:dyDescent="0.25">
      <c r="A685" s="16">
        <v>10996</v>
      </c>
      <c r="B685" s="17" t="s">
        <v>236</v>
      </c>
      <c r="C685" s="17" t="s">
        <v>237</v>
      </c>
      <c r="D685" s="17" t="s">
        <v>597</v>
      </c>
      <c r="E685" s="17" t="s">
        <v>239</v>
      </c>
      <c r="F685" s="17" t="s">
        <v>0</v>
      </c>
      <c r="G685" s="17" t="s">
        <v>280</v>
      </c>
      <c r="H685" s="18">
        <v>565.47</v>
      </c>
      <c r="I685" s="18">
        <v>173.7</v>
      </c>
      <c r="J685" s="7" t="str">
        <f>IFERROR(_xlfn.XLOOKUP(F685,ccustos!A:A,ccustos!B:B),"Sem termo")</f>
        <v>SEPAT</v>
      </c>
    </row>
    <row r="686" spans="1:10" ht="25.5" customHeight="1" x14ac:dyDescent="0.25">
      <c r="A686" s="14">
        <v>10998</v>
      </c>
      <c r="B686" s="7" t="s">
        <v>236</v>
      </c>
      <c r="C686" s="7" t="s">
        <v>237</v>
      </c>
      <c r="D686" s="7" t="s">
        <v>279</v>
      </c>
      <c r="E686" s="7" t="s">
        <v>239</v>
      </c>
      <c r="F686" s="7" t="s">
        <v>0</v>
      </c>
      <c r="G686" s="7" t="s">
        <v>343</v>
      </c>
      <c r="H686" s="15">
        <v>530.16999999999996</v>
      </c>
      <c r="I686" s="15">
        <v>173.7</v>
      </c>
      <c r="J686" s="7" t="str">
        <f>IFERROR(_xlfn.XLOOKUP(F686,ccustos!A:A,ccustos!B:B),"Sem termo")</f>
        <v>SEPAT</v>
      </c>
    </row>
    <row r="687" spans="1:10" ht="25.5" customHeight="1" x14ac:dyDescent="0.25">
      <c r="A687" s="16">
        <v>11002</v>
      </c>
      <c r="B687" s="17" t="s">
        <v>236</v>
      </c>
      <c r="C687" s="17" t="s">
        <v>237</v>
      </c>
      <c r="D687" s="17" t="s">
        <v>646</v>
      </c>
      <c r="E687" s="17" t="s">
        <v>239</v>
      </c>
      <c r="F687" s="17" t="s">
        <v>53</v>
      </c>
      <c r="G687" s="17" t="s">
        <v>280</v>
      </c>
      <c r="H687" s="18">
        <v>310.77</v>
      </c>
      <c r="I687" s="18">
        <v>149.01</v>
      </c>
      <c r="J687" s="7" t="str">
        <f>IFERROR(_xlfn.XLOOKUP(F687,ccustos!A:A,ccustos!B:B),"Sem termo")</f>
        <v>DELIC</v>
      </c>
    </row>
    <row r="688" spans="1:10" ht="25.5" customHeight="1" x14ac:dyDescent="0.25">
      <c r="A688" s="14">
        <v>11003</v>
      </c>
      <c r="B688" s="7" t="s">
        <v>236</v>
      </c>
      <c r="C688" s="7" t="s">
        <v>237</v>
      </c>
      <c r="D688" s="7" t="s">
        <v>533</v>
      </c>
      <c r="E688" s="7" t="s">
        <v>239</v>
      </c>
      <c r="F688" s="7" t="s">
        <v>211</v>
      </c>
      <c r="G688" s="7" t="s">
        <v>343</v>
      </c>
      <c r="H688" s="15">
        <v>292.58</v>
      </c>
      <c r="I688" s="15">
        <v>149.01</v>
      </c>
      <c r="J688" s="7" t="str">
        <f>IFERROR(_xlfn.XLOOKUP(F688,ccustos!A:A,ccustos!B:B),"Sem termo")</f>
        <v>DIGEO</v>
      </c>
    </row>
    <row r="689" spans="1:10" ht="25.5" customHeight="1" x14ac:dyDescent="0.25">
      <c r="A689" s="16">
        <v>11004</v>
      </c>
      <c r="B689" s="17" t="s">
        <v>236</v>
      </c>
      <c r="C689" s="17" t="s">
        <v>237</v>
      </c>
      <c r="D689" s="17" t="s">
        <v>533</v>
      </c>
      <c r="E689" s="17" t="s">
        <v>239</v>
      </c>
      <c r="F689" s="17" t="s">
        <v>49</v>
      </c>
      <c r="G689" s="17" t="s">
        <v>343</v>
      </c>
      <c r="H689" s="18">
        <v>292.58</v>
      </c>
      <c r="I689" s="18">
        <v>149.01</v>
      </c>
      <c r="J689" s="7" t="str">
        <f>IFERROR(_xlfn.XLOOKUP(F689,ccustos!A:A,ccustos!B:B),"Sem termo")</f>
        <v>COAD</v>
      </c>
    </row>
    <row r="690" spans="1:10" ht="36.75" customHeight="1" x14ac:dyDescent="0.25">
      <c r="A690" s="14">
        <v>11005</v>
      </c>
      <c r="B690" s="7" t="s">
        <v>236</v>
      </c>
      <c r="C690" s="7" t="s">
        <v>241</v>
      </c>
      <c r="D690" s="7" t="s">
        <v>344</v>
      </c>
      <c r="E690" s="7" t="s">
        <v>239</v>
      </c>
      <c r="F690" s="7" t="s">
        <v>29</v>
      </c>
      <c r="G690" s="7" t="s">
        <v>345</v>
      </c>
      <c r="H690" s="15">
        <v>1819.94</v>
      </c>
      <c r="I690" s="15">
        <v>228.01</v>
      </c>
      <c r="J690" s="7" t="str">
        <f>IFERROR(_xlfn.XLOOKUP(F690,ccustos!A:A,ccustos!B:B),"Sem termo")</f>
        <v>COAD</v>
      </c>
    </row>
    <row r="691" spans="1:10" ht="25.5" customHeight="1" x14ac:dyDescent="0.25">
      <c r="A691" s="16">
        <v>11006</v>
      </c>
      <c r="B691" s="17" t="s">
        <v>236</v>
      </c>
      <c r="C691" s="17" t="s">
        <v>306</v>
      </c>
      <c r="D691" s="17" t="s">
        <v>647</v>
      </c>
      <c r="E691" s="17" t="s">
        <v>239</v>
      </c>
      <c r="F691" s="17" t="s">
        <v>29</v>
      </c>
      <c r="G691" s="17" t="s">
        <v>331</v>
      </c>
      <c r="H691" s="18">
        <v>339</v>
      </c>
      <c r="I691" s="18">
        <v>142.58000000000001</v>
      </c>
      <c r="J691" s="7" t="str">
        <f>IFERROR(_xlfn.XLOOKUP(F691,ccustos!A:A,ccustos!B:B),"Sem termo")</f>
        <v>COAD</v>
      </c>
    </row>
    <row r="692" spans="1:10" ht="36.75" customHeight="1" x14ac:dyDescent="0.25">
      <c r="A692" s="14">
        <v>11007</v>
      </c>
      <c r="B692" s="7" t="s">
        <v>236</v>
      </c>
      <c r="C692" s="7" t="s">
        <v>337</v>
      </c>
      <c r="D692" s="7" t="s">
        <v>346</v>
      </c>
      <c r="E692" s="7" t="s">
        <v>239</v>
      </c>
      <c r="F692" s="7" t="s">
        <v>29</v>
      </c>
      <c r="G692" s="7" t="s">
        <v>331</v>
      </c>
      <c r="H692" s="15">
        <v>298</v>
      </c>
      <c r="I692" s="15">
        <v>213.43</v>
      </c>
      <c r="J692" s="7" t="str">
        <f>IFERROR(_xlfn.XLOOKUP(F692,ccustos!A:A,ccustos!B:B),"Sem termo")</f>
        <v>COAD</v>
      </c>
    </row>
    <row r="693" spans="1:10" ht="36.75" customHeight="1" x14ac:dyDescent="0.25">
      <c r="A693" s="16">
        <v>11008</v>
      </c>
      <c r="B693" s="17" t="s">
        <v>236</v>
      </c>
      <c r="C693" s="17" t="s">
        <v>237</v>
      </c>
      <c r="D693" s="17" t="s">
        <v>535</v>
      </c>
      <c r="E693" s="17" t="s">
        <v>239</v>
      </c>
      <c r="F693" s="17" t="s">
        <v>14</v>
      </c>
      <c r="G693" s="17" t="s">
        <v>343</v>
      </c>
      <c r="H693" s="18">
        <v>222.3</v>
      </c>
      <c r="I693" s="18">
        <v>173.7</v>
      </c>
      <c r="J693" s="7" t="str">
        <f>IFERROR(_xlfn.XLOOKUP(F693,ccustos!A:A,ccustos!B:B),"Sem termo")</f>
        <v>SEPAT</v>
      </c>
    </row>
    <row r="694" spans="1:10" ht="36.75" customHeight="1" x14ac:dyDescent="0.25">
      <c r="A694" s="14">
        <v>11009</v>
      </c>
      <c r="B694" s="7" t="s">
        <v>236</v>
      </c>
      <c r="C694" s="7" t="s">
        <v>337</v>
      </c>
      <c r="D694" s="7" t="s">
        <v>346</v>
      </c>
      <c r="E694" s="7" t="s">
        <v>239</v>
      </c>
      <c r="F694" s="7" t="s">
        <v>27</v>
      </c>
      <c r="G694" s="7" t="s">
        <v>331</v>
      </c>
      <c r="H694" s="15">
        <v>298</v>
      </c>
      <c r="I694" s="15">
        <v>213.43</v>
      </c>
      <c r="J694" s="7" t="str">
        <f>IFERROR(_xlfn.XLOOKUP(F694,ccustos!A:A,ccustos!B:B),"Sem termo")</f>
        <v>CCI</v>
      </c>
    </row>
    <row r="695" spans="1:10" ht="36.75" customHeight="1" x14ac:dyDescent="0.25">
      <c r="A695" s="16">
        <v>11010</v>
      </c>
      <c r="B695" s="17" t="s">
        <v>236</v>
      </c>
      <c r="C695" s="17" t="s">
        <v>313</v>
      </c>
      <c r="D695" s="17" t="s">
        <v>648</v>
      </c>
      <c r="E695" s="17" t="s">
        <v>250</v>
      </c>
      <c r="F695" s="17" t="s">
        <v>29</v>
      </c>
      <c r="G695" s="17" t="s">
        <v>315</v>
      </c>
      <c r="H695" s="18">
        <v>620</v>
      </c>
      <c r="I695" s="18">
        <v>196.91</v>
      </c>
      <c r="J695" s="7" t="str">
        <f>IFERROR(_xlfn.XLOOKUP(F695,ccustos!A:A,ccustos!B:B),"Sem termo")</f>
        <v>COAD</v>
      </c>
    </row>
    <row r="696" spans="1:10" ht="36.75" customHeight="1" x14ac:dyDescent="0.25">
      <c r="A696" s="14">
        <v>11012</v>
      </c>
      <c r="B696" s="7" t="s">
        <v>236</v>
      </c>
      <c r="C696" s="7" t="s">
        <v>241</v>
      </c>
      <c r="D696" s="7" t="s">
        <v>354</v>
      </c>
      <c r="E696" s="7" t="s">
        <v>239</v>
      </c>
      <c r="F696" s="7" t="s">
        <v>34</v>
      </c>
      <c r="G696" s="7" t="s">
        <v>339</v>
      </c>
      <c r="H696" s="15">
        <v>238</v>
      </c>
      <c r="I696" s="15">
        <v>141.34</v>
      </c>
      <c r="J696" s="7" t="str">
        <f>IFERROR(_xlfn.XLOOKUP(F696,ccustos!A:A,ccustos!B:B),"Sem termo")</f>
        <v>COFIS</v>
      </c>
    </row>
    <row r="697" spans="1:10" ht="36.75" customHeight="1" x14ac:dyDescent="0.25">
      <c r="A697" s="16">
        <v>11013</v>
      </c>
      <c r="B697" s="17" t="s">
        <v>236</v>
      </c>
      <c r="C697" s="17" t="s">
        <v>241</v>
      </c>
      <c r="D697" s="17" t="s">
        <v>649</v>
      </c>
      <c r="E697" s="17" t="s">
        <v>239</v>
      </c>
      <c r="F697" s="17" t="s">
        <v>20</v>
      </c>
      <c r="G697" s="17" t="s">
        <v>331</v>
      </c>
      <c r="H697" s="18">
        <v>369</v>
      </c>
      <c r="I697" s="18">
        <v>0</v>
      </c>
      <c r="J697" s="7" t="str">
        <f>IFERROR(_xlfn.XLOOKUP(F697,ccustos!A:A,ccustos!B:B),"Sem termo")</f>
        <v>CGTI</v>
      </c>
    </row>
    <row r="698" spans="1:10" ht="36.75" customHeight="1" x14ac:dyDescent="0.25">
      <c r="A698" s="14">
        <v>11015</v>
      </c>
      <c r="B698" s="7" t="s">
        <v>236</v>
      </c>
      <c r="C698" s="7" t="s">
        <v>241</v>
      </c>
      <c r="D698" s="7" t="s">
        <v>650</v>
      </c>
      <c r="E698" s="7" t="s">
        <v>239</v>
      </c>
      <c r="F698" s="7" t="s">
        <v>29</v>
      </c>
      <c r="G698" s="7" t="s">
        <v>257</v>
      </c>
      <c r="H698" s="15">
        <v>161</v>
      </c>
      <c r="I698" s="15">
        <v>376.92</v>
      </c>
      <c r="J698" s="7" t="str">
        <f>IFERROR(_xlfn.XLOOKUP(F698,ccustos!A:A,ccustos!B:B),"Sem termo")</f>
        <v>COAD</v>
      </c>
    </row>
    <row r="699" spans="1:10" ht="36.75" customHeight="1" x14ac:dyDescent="0.25">
      <c r="A699" s="16">
        <v>11016</v>
      </c>
      <c r="B699" s="17" t="s">
        <v>236</v>
      </c>
      <c r="C699" s="17" t="s">
        <v>237</v>
      </c>
      <c r="D699" s="17" t="s">
        <v>651</v>
      </c>
      <c r="E699" s="17" t="s">
        <v>239</v>
      </c>
      <c r="F699" s="17" t="s">
        <v>39</v>
      </c>
      <c r="G699" s="17" t="s">
        <v>257</v>
      </c>
      <c r="H699" s="18">
        <v>280</v>
      </c>
      <c r="I699" s="18">
        <v>397.35</v>
      </c>
      <c r="J699" s="7" t="str">
        <f>IFERROR(_xlfn.XLOOKUP(F699,ccustos!A:A,ccustos!B:B),"Sem termo")</f>
        <v>COREG</v>
      </c>
    </row>
    <row r="700" spans="1:10" ht="36.75" customHeight="1" x14ac:dyDescent="0.25">
      <c r="A700" s="14">
        <v>11017</v>
      </c>
      <c r="B700" s="7" t="s">
        <v>236</v>
      </c>
      <c r="C700" s="7" t="s">
        <v>237</v>
      </c>
      <c r="D700" s="7" t="s">
        <v>651</v>
      </c>
      <c r="E700" s="7" t="s">
        <v>239</v>
      </c>
      <c r="F700" s="7" t="s">
        <v>0</v>
      </c>
      <c r="G700" s="7" t="s">
        <v>257</v>
      </c>
      <c r="H700" s="15">
        <v>280</v>
      </c>
      <c r="I700" s="15">
        <v>397.35</v>
      </c>
      <c r="J700" s="7" t="str">
        <f>IFERROR(_xlfn.XLOOKUP(F700,ccustos!A:A,ccustos!B:B),"Sem termo")</f>
        <v>SEPAT</v>
      </c>
    </row>
    <row r="701" spans="1:10" ht="36.75" customHeight="1" x14ac:dyDescent="0.25">
      <c r="A701" s="16">
        <v>11020</v>
      </c>
      <c r="B701" s="17" t="s">
        <v>236</v>
      </c>
      <c r="C701" s="17" t="s">
        <v>313</v>
      </c>
      <c r="D701" s="17" t="s">
        <v>652</v>
      </c>
      <c r="E701" s="17" t="s">
        <v>250</v>
      </c>
      <c r="F701" s="17" t="s">
        <v>53</v>
      </c>
      <c r="G701" s="17" t="s">
        <v>315</v>
      </c>
      <c r="H701" s="18">
        <v>620</v>
      </c>
      <c r="I701" s="18">
        <v>196.91</v>
      </c>
      <c r="J701" s="7" t="str">
        <f>IFERROR(_xlfn.XLOOKUP(F701,ccustos!A:A,ccustos!B:B),"Sem termo")</f>
        <v>DELIC</v>
      </c>
    </row>
    <row r="702" spans="1:10" ht="36.75" customHeight="1" x14ac:dyDescent="0.25">
      <c r="A702" s="14">
        <v>11022</v>
      </c>
      <c r="B702" s="7" t="s">
        <v>236</v>
      </c>
      <c r="C702" s="7" t="s">
        <v>241</v>
      </c>
      <c r="D702" s="7" t="s">
        <v>653</v>
      </c>
      <c r="E702" s="7" t="s">
        <v>239</v>
      </c>
      <c r="F702" s="7" t="s">
        <v>30</v>
      </c>
      <c r="G702" s="7" t="s">
        <v>308</v>
      </c>
      <c r="H702" s="15">
        <v>711.67</v>
      </c>
      <c r="I702" s="15">
        <v>206.4</v>
      </c>
      <c r="J702" s="7" t="str">
        <f>IFERROR(_xlfn.XLOOKUP(F702,ccustos!A:A,ccustos!B:B),"Sem termo")</f>
        <v>COFIS</v>
      </c>
    </row>
    <row r="703" spans="1:10" ht="36.75" customHeight="1" x14ac:dyDescent="0.25">
      <c r="A703" s="16">
        <v>11023</v>
      </c>
      <c r="B703" s="17" t="s">
        <v>236</v>
      </c>
      <c r="C703" s="17" t="s">
        <v>337</v>
      </c>
      <c r="D703" s="17" t="s">
        <v>454</v>
      </c>
      <c r="E703" s="17" t="s">
        <v>239</v>
      </c>
      <c r="F703" s="17" t="s">
        <v>0</v>
      </c>
      <c r="G703" s="17" t="s">
        <v>289</v>
      </c>
      <c r="H703" s="18">
        <v>227.17</v>
      </c>
      <c r="I703" s="18">
        <v>213.43</v>
      </c>
      <c r="J703" s="7" t="str">
        <f>IFERROR(_xlfn.XLOOKUP(F703,ccustos!A:A,ccustos!B:B),"Sem termo")</f>
        <v>SEPAT</v>
      </c>
    </row>
    <row r="704" spans="1:10" ht="25.5" customHeight="1" x14ac:dyDescent="0.25">
      <c r="A704" s="14">
        <v>11024</v>
      </c>
      <c r="B704" s="7" t="s">
        <v>236</v>
      </c>
      <c r="C704" s="7" t="s">
        <v>337</v>
      </c>
      <c r="D704" s="7" t="s">
        <v>510</v>
      </c>
      <c r="E704" s="7" t="s">
        <v>239</v>
      </c>
      <c r="F704" s="7" t="s">
        <v>185</v>
      </c>
      <c r="G704" s="7" t="s">
        <v>331</v>
      </c>
      <c r="H704" s="15">
        <v>298</v>
      </c>
      <c r="I704" s="15">
        <v>213.43</v>
      </c>
      <c r="J704" s="7" t="str">
        <f>IFERROR(_xlfn.XLOOKUP(F704,ccustos!A:A,ccustos!B:B),"Sem termo")</f>
        <v>CGGE</v>
      </c>
    </row>
    <row r="705" spans="1:10" ht="36.75" customHeight="1" x14ac:dyDescent="0.25">
      <c r="A705" s="16">
        <v>11025</v>
      </c>
      <c r="B705" s="17" t="s">
        <v>236</v>
      </c>
      <c r="C705" s="17" t="s">
        <v>337</v>
      </c>
      <c r="D705" s="17" t="s">
        <v>654</v>
      </c>
      <c r="E705" s="17" t="s">
        <v>239</v>
      </c>
      <c r="F705" s="17" t="s">
        <v>47</v>
      </c>
      <c r="G705" s="17" t="s">
        <v>331</v>
      </c>
      <c r="H705" s="18">
        <v>298</v>
      </c>
      <c r="I705" s="18">
        <v>213.43</v>
      </c>
      <c r="J705" s="7" t="str">
        <f>IFERROR(_xlfn.XLOOKUP(F705,ccustos!A:A,ccustos!B:B),"Sem termo")</f>
        <v>CDPROF</v>
      </c>
    </row>
    <row r="706" spans="1:10" ht="25.5" customHeight="1" x14ac:dyDescent="0.25">
      <c r="A706" s="14">
        <v>11026</v>
      </c>
      <c r="B706" s="7" t="s">
        <v>236</v>
      </c>
      <c r="C706" s="7" t="s">
        <v>306</v>
      </c>
      <c r="D706" s="7" t="s">
        <v>655</v>
      </c>
      <c r="E706" s="7" t="s">
        <v>239</v>
      </c>
      <c r="F706" s="7" t="s">
        <v>0</v>
      </c>
      <c r="G706" s="7" t="s">
        <v>331</v>
      </c>
      <c r="H706" s="15">
        <v>731</v>
      </c>
      <c r="I706" s="15">
        <v>154.72999999999999</v>
      </c>
      <c r="J706" s="7" t="str">
        <f>IFERROR(_xlfn.XLOOKUP(F706,ccustos!A:A,ccustos!B:B),"Sem termo")</f>
        <v>SEPAT</v>
      </c>
    </row>
    <row r="707" spans="1:10" ht="25.5" customHeight="1" x14ac:dyDescent="0.25">
      <c r="A707" s="16">
        <v>11027</v>
      </c>
      <c r="B707" s="17" t="s">
        <v>236</v>
      </c>
      <c r="C707" s="17" t="s">
        <v>306</v>
      </c>
      <c r="D707" s="17" t="s">
        <v>639</v>
      </c>
      <c r="E707" s="17" t="s">
        <v>239</v>
      </c>
      <c r="F707" s="17" t="s">
        <v>53</v>
      </c>
      <c r="G707" s="17" t="s">
        <v>331</v>
      </c>
      <c r="H707" s="18">
        <v>731</v>
      </c>
      <c r="I707" s="18">
        <v>154.72999999999999</v>
      </c>
      <c r="J707" s="7" t="str">
        <f>IFERROR(_xlfn.XLOOKUP(F707,ccustos!A:A,ccustos!B:B),"Sem termo")</f>
        <v>DELIC</v>
      </c>
    </row>
    <row r="708" spans="1:10" ht="36.75" customHeight="1" x14ac:dyDescent="0.25">
      <c r="A708" s="14">
        <v>11028</v>
      </c>
      <c r="B708" s="7" t="s">
        <v>236</v>
      </c>
      <c r="C708" s="7" t="s">
        <v>237</v>
      </c>
      <c r="D708" s="7" t="s">
        <v>628</v>
      </c>
      <c r="E708" s="7" t="s">
        <v>239</v>
      </c>
      <c r="F708" s="7" t="s">
        <v>0</v>
      </c>
      <c r="G708" s="7" t="s">
        <v>343</v>
      </c>
      <c r="H708" s="15">
        <v>292.58</v>
      </c>
      <c r="I708" s="15">
        <v>149.01</v>
      </c>
      <c r="J708" s="7" t="str">
        <f>IFERROR(_xlfn.XLOOKUP(F708,ccustos!A:A,ccustos!B:B),"Sem termo")</f>
        <v>SEPAT</v>
      </c>
    </row>
    <row r="709" spans="1:10" ht="25.5" customHeight="1" x14ac:dyDescent="0.25">
      <c r="A709" s="16">
        <v>11030</v>
      </c>
      <c r="B709" s="17" t="s">
        <v>236</v>
      </c>
      <c r="C709" s="17" t="s">
        <v>333</v>
      </c>
      <c r="D709" s="17" t="s">
        <v>656</v>
      </c>
      <c r="E709" s="17" t="s">
        <v>335</v>
      </c>
      <c r="F709" s="17" t="s">
        <v>2</v>
      </c>
      <c r="G709" s="17" t="s">
        <v>336</v>
      </c>
      <c r="H709" s="18">
        <v>750</v>
      </c>
      <c r="I709" s="18">
        <v>119.11</v>
      </c>
      <c r="J709" s="7" t="str">
        <f>IFERROR(_xlfn.XLOOKUP(F709,ccustos!A:A,ccustos!B:B),"Sem termo")</f>
        <v>SEGED</v>
      </c>
    </row>
    <row r="710" spans="1:10" ht="36.75" customHeight="1" x14ac:dyDescent="0.25">
      <c r="A710" s="14">
        <v>11032</v>
      </c>
      <c r="B710" s="7" t="s">
        <v>236</v>
      </c>
      <c r="C710" s="7" t="s">
        <v>241</v>
      </c>
      <c r="D710" s="7" t="s">
        <v>520</v>
      </c>
      <c r="E710" s="7" t="s">
        <v>239</v>
      </c>
      <c r="F710" s="7" t="s">
        <v>53</v>
      </c>
      <c r="G710" s="7" t="s">
        <v>331</v>
      </c>
      <c r="H710" s="15">
        <v>446</v>
      </c>
      <c r="I710" s="15">
        <v>332.24</v>
      </c>
      <c r="J710" s="7" t="str">
        <f>IFERROR(_xlfn.XLOOKUP(F710,ccustos!A:A,ccustos!B:B),"Sem termo")</f>
        <v>DELIC</v>
      </c>
    </row>
    <row r="711" spans="1:10" ht="25.5" customHeight="1" x14ac:dyDescent="0.25">
      <c r="A711" s="16">
        <v>11033</v>
      </c>
      <c r="B711" s="17" t="s">
        <v>236</v>
      </c>
      <c r="C711" s="17" t="s">
        <v>337</v>
      </c>
      <c r="D711" s="17" t="s">
        <v>510</v>
      </c>
      <c r="E711" s="17" t="s">
        <v>239</v>
      </c>
      <c r="F711" s="17" t="s">
        <v>13</v>
      </c>
      <c r="G711" s="17" t="s">
        <v>331</v>
      </c>
      <c r="H711" s="18">
        <v>298</v>
      </c>
      <c r="I711" s="18">
        <v>213.43</v>
      </c>
      <c r="J711" s="7" t="str">
        <f>IFERROR(_xlfn.XLOOKUP(F711,ccustos!A:A,ccustos!B:B),"Sem termo")</f>
        <v>SEPROT</v>
      </c>
    </row>
    <row r="712" spans="1:10" ht="25.5" customHeight="1" x14ac:dyDescent="0.25">
      <c r="A712" s="14">
        <v>11034</v>
      </c>
      <c r="B712" s="7" t="s">
        <v>236</v>
      </c>
      <c r="C712" s="7" t="s">
        <v>241</v>
      </c>
      <c r="D712" s="7" t="s">
        <v>657</v>
      </c>
      <c r="E712" s="7" t="s">
        <v>239</v>
      </c>
      <c r="F712" s="7" t="s">
        <v>6</v>
      </c>
      <c r="G712" s="7" t="s">
        <v>658</v>
      </c>
      <c r="H712" s="15">
        <v>156</v>
      </c>
      <c r="I712" s="15">
        <v>376.92</v>
      </c>
      <c r="J712" s="7" t="str">
        <f>IFERROR(_xlfn.XLOOKUP(F712,ccustos!A:A,ccustos!B:B),"Sem termo")</f>
        <v>SEPAT</v>
      </c>
    </row>
    <row r="713" spans="1:10" ht="36.75" customHeight="1" x14ac:dyDescent="0.25">
      <c r="A713" s="16">
        <v>11035</v>
      </c>
      <c r="B713" s="17" t="s">
        <v>236</v>
      </c>
      <c r="C713" s="17" t="s">
        <v>306</v>
      </c>
      <c r="D713" s="17" t="s">
        <v>659</v>
      </c>
      <c r="E713" s="17" t="s">
        <v>239</v>
      </c>
      <c r="F713" s="17" t="s">
        <v>53</v>
      </c>
      <c r="G713" s="17" t="s">
        <v>291</v>
      </c>
      <c r="H713" s="18">
        <v>206.44</v>
      </c>
      <c r="I713" s="18">
        <v>142.58000000000001</v>
      </c>
      <c r="J713" s="7" t="str">
        <f>IFERROR(_xlfn.XLOOKUP(F713,ccustos!A:A,ccustos!B:B),"Sem termo")</f>
        <v>DELIC</v>
      </c>
    </row>
    <row r="714" spans="1:10" ht="25.5" customHeight="1" x14ac:dyDescent="0.25">
      <c r="A714" s="14">
        <v>11037</v>
      </c>
      <c r="B714" s="7" t="s">
        <v>236</v>
      </c>
      <c r="C714" s="7" t="s">
        <v>337</v>
      </c>
      <c r="D714" s="7" t="s">
        <v>660</v>
      </c>
      <c r="E714" s="7" t="s">
        <v>239</v>
      </c>
      <c r="F714" s="7" t="s">
        <v>0</v>
      </c>
      <c r="G714" s="7" t="s">
        <v>350</v>
      </c>
      <c r="H714" s="15">
        <v>227.27</v>
      </c>
      <c r="I714" s="15">
        <v>498</v>
      </c>
      <c r="J714" s="7" t="str">
        <f>IFERROR(_xlfn.XLOOKUP(F714,ccustos!A:A,ccustos!B:B),"Sem termo")</f>
        <v>SEPAT</v>
      </c>
    </row>
    <row r="715" spans="1:10" ht="25.5" customHeight="1" x14ac:dyDescent="0.25">
      <c r="A715" s="16">
        <v>11038</v>
      </c>
      <c r="B715" s="17" t="s">
        <v>236</v>
      </c>
      <c r="C715" s="17" t="s">
        <v>337</v>
      </c>
      <c r="D715" s="17" t="s">
        <v>661</v>
      </c>
      <c r="E715" s="17" t="s">
        <v>239</v>
      </c>
      <c r="F715" s="17" t="s">
        <v>32</v>
      </c>
      <c r="G715" s="17" t="s">
        <v>463</v>
      </c>
      <c r="H715" s="18">
        <v>288.02999999999997</v>
      </c>
      <c r="I715" s="18">
        <v>213.43</v>
      </c>
      <c r="J715" s="7" t="str">
        <f>IFERROR(_xlfn.XLOOKUP(F715,ccustos!A:A,ccustos!B:B),"Sem termo")</f>
        <v>DECONT</v>
      </c>
    </row>
    <row r="716" spans="1:10" ht="36.75" customHeight="1" x14ac:dyDescent="0.25">
      <c r="A716" s="14">
        <v>11039</v>
      </c>
      <c r="B716" s="7" t="s">
        <v>236</v>
      </c>
      <c r="C716" s="7" t="s">
        <v>241</v>
      </c>
      <c r="D716" s="7" t="s">
        <v>520</v>
      </c>
      <c r="E716" s="7" t="s">
        <v>239</v>
      </c>
      <c r="F716" s="7" t="s">
        <v>53</v>
      </c>
      <c r="G716" s="7" t="s">
        <v>339</v>
      </c>
      <c r="H716" s="15">
        <v>364</v>
      </c>
      <c r="I716" s="15">
        <v>238.18</v>
      </c>
      <c r="J716" s="7" t="str">
        <f>IFERROR(_xlfn.XLOOKUP(F716,ccustos!A:A,ccustos!B:B),"Sem termo")</f>
        <v>DELIC</v>
      </c>
    </row>
    <row r="717" spans="1:10" ht="36.75" customHeight="1" x14ac:dyDescent="0.25">
      <c r="A717" s="16">
        <v>11040</v>
      </c>
      <c r="B717" s="17" t="s">
        <v>236</v>
      </c>
      <c r="C717" s="17" t="s">
        <v>241</v>
      </c>
      <c r="D717" s="17" t="s">
        <v>505</v>
      </c>
      <c r="E717" s="17" t="s">
        <v>239</v>
      </c>
      <c r="F717" s="17" t="s">
        <v>48</v>
      </c>
      <c r="G717" s="17" t="s">
        <v>331</v>
      </c>
      <c r="H717" s="18">
        <v>446</v>
      </c>
      <c r="I717" s="18">
        <v>141.34</v>
      </c>
      <c r="J717" s="7" t="str">
        <f>IFERROR(_xlfn.XLOOKUP(F717,ccustos!A:A,ccustos!B:B),"Sem termo")</f>
        <v>DEPES</v>
      </c>
    </row>
    <row r="718" spans="1:10" ht="36.75" customHeight="1" x14ac:dyDescent="0.25">
      <c r="A718" s="14">
        <v>11043</v>
      </c>
      <c r="B718" s="7" t="s">
        <v>236</v>
      </c>
      <c r="C718" s="7" t="s">
        <v>237</v>
      </c>
      <c r="D718" s="7" t="s">
        <v>628</v>
      </c>
      <c r="E718" s="7" t="s">
        <v>239</v>
      </c>
      <c r="F718" s="7" t="s">
        <v>20</v>
      </c>
      <c r="G718" s="7" t="s">
        <v>343</v>
      </c>
      <c r="H718" s="15">
        <v>292.58</v>
      </c>
      <c r="I718" s="15">
        <v>149.01</v>
      </c>
      <c r="J718" s="7" t="str">
        <f>IFERROR(_xlfn.XLOOKUP(F718,ccustos!A:A,ccustos!B:B),"Sem termo")</f>
        <v>CGTI</v>
      </c>
    </row>
    <row r="719" spans="1:10" ht="36.75" customHeight="1" x14ac:dyDescent="0.25">
      <c r="A719" s="16">
        <v>11046</v>
      </c>
      <c r="B719" s="17" t="s">
        <v>236</v>
      </c>
      <c r="C719" s="17" t="s">
        <v>306</v>
      </c>
      <c r="D719" s="17" t="s">
        <v>662</v>
      </c>
      <c r="E719" s="17" t="s">
        <v>239</v>
      </c>
      <c r="F719" s="17" t="s">
        <v>35</v>
      </c>
      <c r="G719" s="17" t="s">
        <v>289</v>
      </c>
      <c r="H719" s="18">
        <v>287.67</v>
      </c>
      <c r="I719" s="18">
        <v>127.1</v>
      </c>
      <c r="J719" s="7" t="str">
        <f>IFERROR(_xlfn.XLOOKUP(F719,ccustos!A:A,ccustos!B:B),"Sem termo")</f>
        <v>DEINFRA</v>
      </c>
    </row>
    <row r="720" spans="1:10" ht="36.75" customHeight="1" x14ac:dyDescent="0.25">
      <c r="A720" s="14">
        <v>11047</v>
      </c>
      <c r="B720" s="7" t="s">
        <v>236</v>
      </c>
      <c r="C720" s="7" t="s">
        <v>306</v>
      </c>
      <c r="D720" s="7" t="s">
        <v>663</v>
      </c>
      <c r="E720" s="7" t="s">
        <v>239</v>
      </c>
      <c r="F720" s="7" t="s">
        <v>205</v>
      </c>
      <c r="G720" s="7" t="s">
        <v>664</v>
      </c>
      <c r="H720" s="15">
        <v>7216.5</v>
      </c>
      <c r="I720" s="15">
        <v>715.24</v>
      </c>
      <c r="J720" s="7" t="str">
        <f>IFERROR(_xlfn.XLOOKUP(F720,ccustos!A:A,ccustos!B:B),"Sem termo")</f>
        <v>CCOM</v>
      </c>
    </row>
    <row r="721" spans="1:10" ht="36.75" customHeight="1" x14ac:dyDescent="0.25">
      <c r="A721" s="16">
        <v>11048</v>
      </c>
      <c r="B721" s="17" t="s">
        <v>236</v>
      </c>
      <c r="C721" s="17" t="s">
        <v>325</v>
      </c>
      <c r="D721" s="17" t="s">
        <v>665</v>
      </c>
      <c r="E721" s="17" t="s">
        <v>239</v>
      </c>
      <c r="F721" s="17" t="s">
        <v>45</v>
      </c>
      <c r="G721" s="17" t="s">
        <v>257</v>
      </c>
      <c r="H721" s="18">
        <v>975</v>
      </c>
      <c r="I721" s="18">
        <v>657.34</v>
      </c>
      <c r="J721" s="7" t="str">
        <f>IFERROR(_xlfn.XLOOKUP(F721,ccustos!A:A,ccustos!B:B),"Sem termo")</f>
        <v>SEPAT</v>
      </c>
    </row>
    <row r="722" spans="1:10" ht="36.75" customHeight="1" x14ac:dyDescent="0.25">
      <c r="A722" s="14">
        <v>11050</v>
      </c>
      <c r="B722" s="7" t="s">
        <v>236</v>
      </c>
      <c r="C722" s="7" t="s">
        <v>337</v>
      </c>
      <c r="D722" s="7" t="s">
        <v>346</v>
      </c>
      <c r="E722" s="7" t="s">
        <v>239</v>
      </c>
      <c r="F722" s="7" t="s">
        <v>27</v>
      </c>
      <c r="G722" s="7" t="s">
        <v>331</v>
      </c>
      <c r="H722" s="15">
        <v>298</v>
      </c>
      <c r="I722" s="15">
        <v>213.43</v>
      </c>
      <c r="J722" s="7" t="str">
        <f>IFERROR(_xlfn.XLOOKUP(F722,ccustos!A:A,ccustos!B:B),"Sem termo")</f>
        <v>CCI</v>
      </c>
    </row>
    <row r="723" spans="1:10" ht="36.75" customHeight="1" x14ac:dyDescent="0.25">
      <c r="A723" s="16">
        <v>11051</v>
      </c>
      <c r="B723" s="17" t="s">
        <v>236</v>
      </c>
      <c r="C723" s="17" t="s">
        <v>241</v>
      </c>
      <c r="D723" s="17" t="s">
        <v>362</v>
      </c>
      <c r="E723" s="17" t="s">
        <v>239</v>
      </c>
      <c r="F723" s="17" t="s">
        <v>9</v>
      </c>
      <c r="G723" s="17" t="s">
        <v>331</v>
      </c>
      <c r="H723" s="18">
        <v>232</v>
      </c>
      <c r="I723" s="18">
        <v>83.15</v>
      </c>
      <c r="J723" s="7" t="str">
        <f>IFERROR(_xlfn.XLOOKUP(F723,ccustos!A:A,ccustos!B:B),"Sem termo")</f>
        <v>DEINFRA</v>
      </c>
    </row>
    <row r="724" spans="1:10" ht="36.75" customHeight="1" x14ac:dyDescent="0.25">
      <c r="A724" s="14">
        <v>11052</v>
      </c>
      <c r="B724" s="7" t="s">
        <v>236</v>
      </c>
      <c r="C724" s="7" t="s">
        <v>241</v>
      </c>
      <c r="D724" s="7" t="s">
        <v>666</v>
      </c>
      <c r="E724" s="7" t="s">
        <v>239</v>
      </c>
      <c r="F724" s="7" t="s">
        <v>26</v>
      </c>
      <c r="G724" s="7" t="s">
        <v>331</v>
      </c>
      <c r="H724" s="15">
        <v>446</v>
      </c>
      <c r="I724" s="15">
        <v>238.18</v>
      </c>
      <c r="J724" s="7" t="str">
        <f>IFERROR(_xlfn.XLOOKUP(F724,ccustos!A:A,ccustos!B:B),"Sem termo")</f>
        <v>COLOG</v>
      </c>
    </row>
    <row r="725" spans="1:10" ht="25.5" customHeight="1" x14ac:dyDescent="0.25">
      <c r="A725" s="16">
        <v>11054</v>
      </c>
      <c r="B725" s="17" t="s">
        <v>236</v>
      </c>
      <c r="C725" s="17" t="s">
        <v>313</v>
      </c>
      <c r="D725" s="17" t="s">
        <v>667</v>
      </c>
      <c r="E725" s="17" t="s">
        <v>250</v>
      </c>
      <c r="F725" s="17" t="s">
        <v>83</v>
      </c>
      <c r="G725" s="17" t="s">
        <v>315</v>
      </c>
      <c r="H725" s="18">
        <v>620</v>
      </c>
      <c r="I725" s="18">
        <v>196.91</v>
      </c>
      <c r="J725" s="7" t="str">
        <f>IFERROR(_xlfn.XLOOKUP(F725,ccustos!A:A,ccustos!B:B),"Sem termo")</f>
        <v>GABIN</v>
      </c>
    </row>
    <row r="726" spans="1:10" ht="25.5" customHeight="1" x14ac:dyDescent="0.25">
      <c r="A726" s="14">
        <v>11056</v>
      </c>
      <c r="B726" s="7" t="s">
        <v>236</v>
      </c>
      <c r="C726" s="7" t="s">
        <v>333</v>
      </c>
      <c r="D726" s="7" t="s">
        <v>668</v>
      </c>
      <c r="E726" s="7" t="s">
        <v>335</v>
      </c>
      <c r="F726" s="7" t="s">
        <v>39</v>
      </c>
      <c r="G726" s="7" t="s">
        <v>348</v>
      </c>
      <c r="H726" s="15">
        <v>618.41999999999996</v>
      </c>
      <c r="I726" s="15">
        <v>125.33</v>
      </c>
      <c r="J726" s="7" t="str">
        <f>IFERROR(_xlfn.XLOOKUP(F726,ccustos!A:A,ccustos!B:B),"Sem termo")</f>
        <v>COREG</v>
      </c>
    </row>
    <row r="727" spans="1:10" ht="25.5" customHeight="1" x14ac:dyDescent="0.25">
      <c r="A727" s="16">
        <v>11057</v>
      </c>
      <c r="B727" s="17" t="s">
        <v>236</v>
      </c>
      <c r="C727" s="17" t="s">
        <v>237</v>
      </c>
      <c r="D727" s="17" t="s">
        <v>669</v>
      </c>
      <c r="E727" s="17" t="s">
        <v>239</v>
      </c>
      <c r="F727" s="17" t="s">
        <v>37</v>
      </c>
      <c r="G727" s="17" t="s">
        <v>243</v>
      </c>
      <c r="H727" s="18">
        <v>0.1</v>
      </c>
      <c r="I727" s="18">
        <v>754.62</v>
      </c>
      <c r="J727" s="7" t="str">
        <f>IFERROR(_xlfn.XLOOKUP(F727,ccustos!A:A,ccustos!B:B),"Sem termo")</f>
        <v>PROJUR</v>
      </c>
    </row>
    <row r="728" spans="1:10" ht="36.75" customHeight="1" x14ac:dyDescent="0.25">
      <c r="A728" s="14">
        <v>11058</v>
      </c>
      <c r="B728" s="7" t="s">
        <v>236</v>
      </c>
      <c r="C728" s="7" t="s">
        <v>237</v>
      </c>
      <c r="D728" s="7" t="s">
        <v>670</v>
      </c>
      <c r="E728" s="7" t="s">
        <v>239</v>
      </c>
      <c r="F728" s="7" t="s">
        <v>303</v>
      </c>
      <c r="G728" s="7" t="s">
        <v>343</v>
      </c>
      <c r="H728" s="15">
        <v>292.58</v>
      </c>
      <c r="I728" s="15">
        <v>149.01</v>
      </c>
      <c r="J728" s="7" t="str">
        <f>IFERROR(_xlfn.XLOOKUP(F728,ccustos!A:A,ccustos!B:B),"Sem termo")</f>
        <v>Sem termo</v>
      </c>
    </row>
    <row r="729" spans="1:10" ht="25.5" customHeight="1" x14ac:dyDescent="0.25">
      <c r="A729" s="16">
        <v>11059</v>
      </c>
      <c r="B729" s="17" t="s">
        <v>236</v>
      </c>
      <c r="C729" s="17" t="s">
        <v>306</v>
      </c>
      <c r="D729" s="17" t="s">
        <v>671</v>
      </c>
      <c r="E729" s="17" t="s">
        <v>239</v>
      </c>
      <c r="F729" s="17" t="s">
        <v>60</v>
      </c>
      <c r="G729" s="17" t="s">
        <v>339</v>
      </c>
      <c r="H729" s="18">
        <v>238.22</v>
      </c>
      <c r="I729" s="18">
        <v>142.58000000000001</v>
      </c>
      <c r="J729" s="7" t="str">
        <f>IFERROR(_xlfn.XLOOKUP(F729,ccustos!A:A,ccustos!B:B),"Sem termo")</f>
        <v>DEGEP</v>
      </c>
    </row>
    <row r="730" spans="1:10" ht="14.25" customHeight="1" x14ac:dyDescent="0.25">
      <c r="A730" s="14">
        <v>11060</v>
      </c>
      <c r="B730" s="7" t="s">
        <v>236</v>
      </c>
      <c r="C730" s="7" t="s">
        <v>306</v>
      </c>
      <c r="D730" s="7" t="s">
        <v>671</v>
      </c>
      <c r="E730" s="7" t="s">
        <v>239</v>
      </c>
      <c r="F730" s="7" t="s">
        <v>60</v>
      </c>
      <c r="G730" s="7" t="s">
        <v>339</v>
      </c>
      <c r="H730" s="15">
        <v>238.22</v>
      </c>
      <c r="I730" s="15">
        <v>127.1</v>
      </c>
      <c r="J730" s="7" t="str">
        <f>IFERROR(_xlfn.XLOOKUP(F730,ccustos!A:A,ccustos!B:B),"Sem termo")</f>
        <v>DEGEP</v>
      </c>
    </row>
    <row r="731" spans="1:10" ht="36.75" customHeight="1" x14ac:dyDescent="0.25">
      <c r="A731" s="16">
        <v>11061</v>
      </c>
      <c r="B731" s="17" t="s">
        <v>236</v>
      </c>
      <c r="C731" s="17" t="s">
        <v>337</v>
      </c>
      <c r="D731" s="17" t="s">
        <v>466</v>
      </c>
      <c r="E731" s="17" t="s">
        <v>239</v>
      </c>
      <c r="F731" s="17" t="s">
        <v>60</v>
      </c>
      <c r="G731" s="17" t="s">
        <v>350</v>
      </c>
      <c r="H731" s="18">
        <v>227.27</v>
      </c>
      <c r="I731" s="18">
        <v>498</v>
      </c>
      <c r="J731" s="7" t="str">
        <f>IFERROR(_xlfn.XLOOKUP(F731,ccustos!A:A,ccustos!B:B),"Sem termo")</f>
        <v>DEGEP</v>
      </c>
    </row>
    <row r="732" spans="1:10" ht="36.75" customHeight="1" x14ac:dyDescent="0.25">
      <c r="A732" s="14">
        <v>11062</v>
      </c>
      <c r="B732" s="7" t="s">
        <v>236</v>
      </c>
      <c r="C732" s="7" t="s">
        <v>241</v>
      </c>
      <c r="D732" s="7" t="s">
        <v>666</v>
      </c>
      <c r="E732" s="7" t="s">
        <v>239</v>
      </c>
      <c r="F732" s="7" t="s">
        <v>26</v>
      </c>
      <c r="G732" s="7" t="s">
        <v>331</v>
      </c>
      <c r="H732" s="15">
        <v>646</v>
      </c>
      <c r="I732" s="15">
        <v>332.24</v>
      </c>
      <c r="J732" s="7" t="str">
        <f>IFERROR(_xlfn.XLOOKUP(F732,ccustos!A:A,ccustos!B:B),"Sem termo")</f>
        <v>COLOG</v>
      </c>
    </row>
    <row r="733" spans="1:10" ht="36.75" customHeight="1" x14ac:dyDescent="0.25">
      <c r="A733" s="16">
        <v>11066</v>
      </c>
      <c r="B733" s="17" t="s">
        <v>236</v>
      </c>
      <c r="C733" s="17" t="s">
        <v>306</v>
      </c>
      <c r="D733" s="17" t="s">
        <v>672</v>
      </c>
      <c r="E733" s="17" t="s">
        <v>239</v>
      </c>
      <c r="F733" s="17" t="s">
        <v>26</v>
      </c>
      <c r="G733" s="17" t="s">
        <v>289</v>
      </c>
      <c r="H733" s="18">
        <v>444.97</v>
      </c>
      <c r="I733" s="18">
        <v>164.93</v>
      </c>
      <c r="J733" s="7" t="str">
        <f>IFERROR(_xlfn.XLOOKUP(F733,ccustos!A:A,ccustos!B:B),"Sem termo")</f>
        <v>COLOG</v>
      </c>
    </row>
    <row r="734" spans="1:10" ht="36.75" customHeight="1" x14ac:dyDescent="0.25">
      <c r="A734" s="14">
        <v>11067</v>
      </c>
      <c r="B734" s="7" t="s">
        <v>236</v>
      </c>
      <c r="C734" s="7" t="s">
        <v>306</v>
      </c>
      <c r="D734" s="7" t="s">
        <v>673</v>
      </c>
      <c r="E734" s="7" t="s">
        <v>239</v>
      </c>
      <c r="F734" s="7" t="s">
        <v>26</v>
      </c>
      <c r="G734" s="7" t="s">
        <v>339</v>
      </c>
      <c r="H734" s="15">
        <v>238.22</v>
      </c>
      <c r="I734" s="15">
        <v>142.58000000000001</v>
      </c>
      <c r="J734" s="7" t="str">
        <f>IFERROR(_xlfn.XLOOKUP(F734,ccustos!A:A,ccustos!B:B),"Sem termo")</f>
        <v>COLOG</v>
      </c>
    </row>
    <row r="735" spans="1:10" ht="36.75" customHeight="1" x14ac:dyDescent="0.25">
      <c r="A735" s="16">
        <v>11068</v>
      </c>
      <c r="B735" s="17" t="s">
        <v>236</v>
      </c>
      <c r="C735" s="17" t="s">
        <v>337</v>
      </c>
      <c r="D735" s="17" t="s">
        <v>674</v>
      </c>
      <c r="E735" s="17" t="s">
        <v>239</v>
      </c>
      <c r="F735" s="17" t="s">
        <v>53</v>
      </c>
      <c r="G735" s="17" t="s">
        <v>339</v>
      </c>
      <c r="H735" s="18">
        <v>237</v>
      </c>
      <c r="I735" s="18">
        <v>213.43</v>
      </c>
      <c r="J735" s="7" t="str">
        <f>IFERROR(_xlfn.XLOOKUP(F735,ccustos!A:A,ccustos!B:B),"Sem termo")</f>
        <v>DELIC</v>
      </c>
    </row>
    <row r="736" spans="1:10" ht="25.5" customHeight="1" x14ac:dyDescent="0.25">
      <c r="A736" s="14">
        <v>11069</v>
      </c>
      <c r="B736" s="7" t="s">
        <v>236</v>
      </c>
      <c r="C736" s="7" t="s">
        <v>241</v>
      </c>
      <c r="D736" s="7" t="s">
        <v>675</v>
      </c>
      <c r="E736" s="7" t="s">
        <v>239</v>
      </c>
      <c r="F736" s="7" t="s">
        <v>27</v>
      </c>
      <c r="G736" s="7" t="s">
        <v>308</v>
      </c>
      <c r="H736" s="15">
        <v>695.75</v>
      </c>
      <c r="I736" s="15">
        <v>177.2</v>
      </c>
      <c r="J736" s="7" t="str">
        <f>IFERROR(_xlfn.XLOOKUP(F736,ccustos!A:A,ccustos!B:B),"Sem termo")</f>
        <v>CCI</v>
      </c>
    </row>
    <row r="737" spans="1:10" ht="25.5" customHeight="1" x14ac:dyDescent="0.25">
      <c r="A737" s="16">
        <v>11071</v>
      </c>
      <c r="B737" s="17" t="s">
        <v>236</v>
      </c>
      <c r="C737" s="17" t="s">
        <v>333</v>
      </c>
      <c r="D737" s="17" t="s">
        <v>461</v>
      </c>
      <c r="E737" s="17" t="s">
        <v>335</v>
      </c>
      <c r="F737" s="17" t="s">
        <v>27</v>
      </c>
      <c r="G737" s="17" t="s">
        <v>366</v>
      </c>
      <c r="H737" s="18">
        <v>618.41999999999996</v>
      </c>
      <c r="I737" s="18">
        <v>125.33</v>
      </c>
      <c r="J737" s="7" t="str">
        <f>IFERROR(_xlfn.XLOOKUP(F737,ccustos!A:A,ccustos!B:B),"Sem termo")</f>
        <v>CCI</v>
      </c>
    </row>
    <row r="738" spans="1:10" ht="36.75" customHeight="1" x14ac:dyDescent="0.25">
      <c r="A738" s="14">
        <v>11074</v>
      </c>
      <c r="B738" s="7" t="s">
        <v>236</v>
      </c>
      <c r="C738" s="7" t="s">
        <v>237</v>
      </c>
      <c r="D738" s="7" t="s">
        <v>676</v>
      </c>
      <c r="E738" s="7" t="s">
        <v>239</v>
      </c>
      <c r="F738" s="7" t="s">
        <v>62</v>
      </c>
      <c r="G738" s="7" t="s">
        <v>278</v>
      </c>
      <c r="H738" s="15">
        <v>122.87</v>
      </c>
      <c r="I738" s="15">
        <v>58.46</v>
      </c>
      <c r="J738" s="7" t="str">
        <f>IFERROR(_xlfn.XLOOKUP(F738,ccustos!A:A,ccustos!B:B),"Sem termo")</f>
        <v>SETRAN</v>
      </c>
    </row>
    <row r="739" spans="1:10" ht="36.75" customHeight="1" x14ac:dyDescent="0.25">
      <c r="A739" s="16">
        <v>11075</v>
      </c>
      <c r="B739" s="17" t="s">
        <v>236</v>
      </c>
      <c r="C739" s="17" t="s">
        <v>612</v>
      </c>
      <c r="D739" s="17" t="s">
        <v>677</v>
      </c>
      <c r="E739" s="17" t="s">
        <v>335</v>
      </c>
      <c r="F739" s="17" t="s">
        <v>26</v>
      </c>
      <c r="G739" s="17" t="s">
        <v>678</v>
      </c>
      <c r="H739" s="18">
        <v>656</v>
      </c>
      <c r="I739" s="18">
        <v>331.71</v>
      </c>
      <c r="J739" s="7" t="str">
        <f>IFERROR(_xlfn.XLOOKUP(F739,ccustos!A:A,ccustos!B:B),"Sem termo")</f>
        <v>COLOG</v>
      </c>
    </row>
    <row r="740" spans="1:10" ht="36.75" customHeight="1" x14ac:dyDescent="0.25">
      <c r="A740" s="14">
        <v>11076</v>
      </c>
      <c r="B740" s="7" t="s">
        <v>236</v>
      </c>
      <c r="C740" s="7" t="s">
        <v>313</v>
      </c>
      <c r="D740" s="7" t="s">
        <v>679</v>
      </c>
      <c r="E740" s="7" t="s">
        <v>250</v>
      </c>
      <c r="F740" s="7" t="s">
        <v>26</v>
      </c>
      <c r="G740" s="7" t="s">
        <v>315</v>
      </c>
      <c r="H740" s="15">
        <v>620</v>
      </c>
      <c r="I740" s="15">
        <v>196.91</v>
      </c>
      <c r="J740" s="7" t="str">
        <f>IFERROR(_xlfn.XLOOKUP(F740,ccustos!A:A,ccustos!B:B),"Sem termo")</f>
        <v>COLOG</v>
      </c>
    </row>
    <row r="741" spans="1:10" ht="25.5" customHeight="1" x14ac:dyDescent="0.25">
      <c r="A741" s="16">
        <v>11077</v>
      </c>
      <c r="B741" s="17" t="s">
        <v>236</v>
      </c>
      <c r="C741" s="17" t="s">
        <v>269</v>
      </c>
      <c r="D741" s="17" t="s">
        <v>680</v>
      </c>
      <c r="E741" s="17" t="s">
        <v>250</v>
      </c>
      <c r="F741" s="17" t="s">
        <v>55</v>
      </c>
      <c r="G741" s="17" t="s">
        <v>257</v>
      </c>
      <c r="H741" s="18">
        <v>390</v>
      </c>
      <c r="I741" s="18">
        <v>250.33</v>
      </c>
      <c r="J741" s="7" t="str">
        <f>IFERROR(_xlfn.XLOOKUP(F741,ccustos!A:A,ccustos!B:B),"Sem termo")</f>
        <v>DEPAD</v>
      </c>
    </row>
    <row r="742" spans="1:10" ht="25.5" customHeight="1" x14ac:dyDescent="0.25">
      <c r="A742" s="14">
        <v>11078</v>
      </c>
      <c r="B742" s="7" t="s">
        <v>236</v>
      </c>
      <c r="C742" s="7" t="s">
        <v>471</v>
      </c>
      <c r="D742" s="7" t="s">
        <v>681</v>
      </c>
      <c r="E742" s="7" t="s">
        <v>335</v>
      </c>
      <c r="F742" s="7" t="s">
        <v>6</v>
      </c>
      <c r="G742" s="7" t="s">
        <v>519</v>
      </c>
      <c r="H742" s="15">
        <v>12375</v>
      </c>
      <c r="I742" s="15">
        <v>1575.29</v>
      </c>
      <c r="J742" s="7" t="str">
        <f>IFERROR(_xlfn.XLOOKUP(F742,ccustos!A:A,ccustos!B:B),"Sem termo")</f>
        <v>SEPAT</v>
      </c>
    </row>
    <row r="743" spans="1:10" ht="25.5" customHeight="1" x14ac:dyDescent="0.25">
      <c r="A743" s="16">
        <v>11080</v>
      </c>
      <c r="B743" s="17" t="s">
        <v>236</v>
      </c>
      <c r="C743" s="17" t="s">
        <v>306</v>
      </c>
      <c r="D743" s="17" t="s">
        <v>559</v>
      </c>
      <c r="E743" s="17" t="s">
        <v>239</v>
      </c>
      <c r="F743" s="17" t="s">
        <v>48</v>
      </c>
      <c r="G743" s="17" t="s">
        <v>463</v>
      </c>
      <c r="H743" s="18">
        <v>2650.37</v>
      </c>
      <c r="I743" s="18">
        <v>164.93</v>
      </c>
      <c r="J743" s="7" t="str">
        <f>IFERROR(_xlfn.XLOOKUP(F743,ccustos!A:A,ccustos!B:B),"Sem termo")</f>
        <v>DEPES</v>
      </c>
    </row>
    <row r="744" spans="1:10" ht="36.75" customHeight="1" x14ac:dyDescent="0.25">
      <c r="A744" s="14">
        <v>11081</v>
      </c>
      <c r="B744" s="7" t="s">
        <v>236</v>
      </c>
      <c r="C744" s="7" t="s">
        <v>306</v>
      </c>
      <c r="D744" s="7" t="s">
        <v>559</v>
      </c>
      <c r="E744" s="7" t="s">
        <v>239</v>
      </c>
      <c r="F744" s="7" t="s">
        <v>48</v>
      </c>
      <c r="G744" s="7" t="s">
        <v>308</v>
      </c>
      <c r="H744" s="15">
        <v>882.51</v>
      </c>
      <c r="I744" s="15">
        <v>154.72999999999999</v>
      </c>
      <c r="J744" s="7" t="str">
        <f>IFERROR(_xlfn.XLOOKUP(F744,ccustos!A:A,ccustos!B:B),"Sem termo")</f>
        <v>DEPES</v>
      </c>
    </row>
    <row r="745" spans="1:10" ht="36.75" customHeight="1" x14ac:dyDescent="0.25">
      <c r="A745" s="16">
        <v>11083</v>
      </c>
      <c r="B745" s="17" t="s">
        <v>236</v>
      </c>
      <c r="C745" s="17" t="s">
        <v>306</v>
      </c>
      <c r="D745" s="17" t="s">
        <v>559</v>
      </c>
      <c r="E745" s="17" t="s">
        <v>239</v>
      </c>
      <c r="F745" s="17" t="s">
        <v>48</v>
      </c>
      <c r="G745" s="17" t="s">
        <v>308</v>
      </c>
      <c r="H745" s="18">
        <v>882.51</v>
      </c>
      <c r="I745" s="18">
        <v>154.72999999999999</v>
      </c>
      <c r="J745" s="7" t="str">
        <f>IFERROR(_xlfn.XLOOKUP(F745,ccustos!A:A,ccustos!B:B),"Sem termo")</f>
        <v>DEPES</v>
      </c>
    </row>
    <row r="746" spans="1:10" ht="25.5" customHeight="1" x14ac:dyDescent="0.25">
      <c r="A746" s="14">
        <v>11084</v>
      </c>
      <c r="B746" s="7" t="s">
        <v>236</v>
      </c>
      <c r="C746" s="7" t="s">
        <v>306</v>
      </c>
      <c r="D746" s="7" t="s">
        <v>307</v>
      </c>
      <c r="E746" s="7" t="s">
        <v>239</v>
      </c>
      <c r="F746" s="7" t="s">
        <v>0</v>
      </c>
      <c r="G746" s="7" t="s">
        <v>289</v>
      </c>
      <c r="H746" s="15">
        <v>287.67</v>
      </c>
      <c r="I746" s="15">
        <v>127.1</v>
      </c>
      <c r="J746" s="7" t="str">
        <f>IFERROR(_xlfn.XLOOKUP(F746,ccustos!A:A,ccustos!B:B),"Sem termo")</f>
        <v>SEPAT</v>
      </c>
    </row>
    <row r="747" spans="1:10" ht="36.75" customHeight="1" x14ac:dyDescent="0.25">
      <c r="A747" s="16">
        <v>11085</v>
      </c>
      <c r="B747" s="17" t="s">
        <v>236</v>
      </c>
      <c r="C747" s="17" t="s">
        <v>241</v>
      </c>
      <c r="D747" s="17" t="s">
        <v>288</v>
      </c>
      <c r="E747" s="17" t="s">
        <v>239</v>
      </c>
      <c r="F747" s="17" t="s">
        <v>256</v>
      </c>
      <c r="G747" s="17" t="s">
        <v>289</v>
      </c>
      <c r="H747" s="18">
        <v>131.78</v>
      </c>
      <c r="I747" s="18">
        <v>141.34</v>
      </c>
      <c r="J747" s="7" t="str">
        <f>IFERROR(_xlfn.XLOOKUP(F747,ccustos!A:A,ccustos!B:B),"Sem termo")</f>
        <v>Sem termo</v>
      </c>
    </row>
    <row r="748" spans="1:10" ht="25.5" customHeight="1" x14ac:dyDescent="0.25">
      <c r="A748" s="14">
        <v>11086</v>
      </c>
      <c r="B748" s="7" t="s">
        <v>236</v>
      </c>
      <c r="C748" s="7" t="s">
        <v>241</v>
      </c>
      <c r="D748" s="7" t="s">
        <v>520</v>
      </c>
      <c r="E748" s="7" t="s">
        <v>239</v>
      </c>
      <c r="F748" s="7" t="s">
        <v>48</v>
      </c>
      <c r="G748" s="7" t="s">
        <v>331</v>
      </c>
      <c r="H748" s="15">
        <v>446</v>
      </c>
      <c r="I748" s="15">
        <v>314.23</v>
      </c>
      <c r="J748" s="7" t="str">
        <f>IFERROR(_xlfn.XLOOKUP(F748,ccustos!A:A,ccustos!B:B),"Sem termo")</f>
        <v>DEPES</v>
      </c>
    </row>
    <row r="749" spans="1:10" ht="25.5" customHeight="1" x14ac:dyDescent="0.25">
      <c r="A749" s="16">
        <v>11087</v>
      </c>
      <c r="B749" s="17" t="s">
        <v>236</v>
      </c>
      <c r="C749" s="17" t="s">
        <v>241</v>
      </c>
      <c r="D749" s="17" t="s">
        <v>362</v>
      </c>
      <c r="E749" s="17" t="s">
        <v>239</v>
      </c>
      <c r="F749" s="17" t="s">
        <v>205</v>
      </c>
      <c r="G749" s="17" t="s">
        <v>331</v>
      </c>
      <c r="H749" s="18">
        <v>232</v>
      </c>
      <c r="I749" s="18">
        <v>73.680000000000007</v>
      </c>
      <c r="J749" s="7" t="str">
        <f>IFERROR(_xlfn.XLOOKUP(F749,ccustos!A:A,ccustos!B:B),"Sem termo")</f>
        <v>CCOM</v>
      </c>
    </row>
    <row r="750" spans="1:10" ht="25.5" customHeight="1" x14ac:dyDescent="0.25">
      <c r="A750" s="14">
        <v>11088</v>
      </c>
      <c r="B750" s="7" t="s">
        <v>236</v>
      </c>
      <c r="C750" s="7" t="s">
        <v>337</v>
      </c>
      <c r="D750" s="7" t="s">
        <v>338</v>
      </c>
      <c r="E750" s="7" t="s">
        <v>239</v>
      </c>
      <c r="F750" s="7" t="s">
        <v>48</v>
      </c>
      <c r="G750" s="7" t="s">
        <v>339</v>
      </c>
      <c r="H750" s="15">
        <v>237</v>
      </c>
      <c r="I750" s="15">
        <v>213.43</v>
      </c>
      <c r="J750" s="7" t="str">
        <f>IFERROR(_xlfn.XLOOKUP(F750,ccustos!A:A,ccustos!B:B),"Sem termo")</f>
        <v>DEPES</v>
      </c>
    </row>
    <row r="751" spans="1:10" ht="25.5" customHeight="1" x14ac:dyDescent="0.25">
      <c r="A751" s="16">
        <v>11089</v>
      </c>
      <c r="B751" s="17" t="s">
        <v>236</v>
      </c>
      <c r="C751" s="17" t="s">
        <v>237</v>
      </c>
      <c r="D751" s="17" t="s">
        <v>277</v>
      </c>
      <c r="E751" s="17" t="s">
        <v>239</v>
      </c>
      <c r="F751" s="17" t="s">
        <v>0</v>
      </c>
      <c r="G751" s="17" t="s">
        <v>278</v>
      </c>
      <c r="H751" s="18">
        <v>201.3</v>
      </c>
      <c r="I751" s="18">
        <v>173.7</v>
      </c>
      <c r="J751" s="7" t="str">
        <f>IFERROR(_xlfn.XLOOKUP(F751,ccustos!A:A,ccustos!B:B),"Sem termo")</f>
        <v>SEPAT</v>
      </c>
    </row>
    <row r="752" spans="1:10" ht="25.5" customHeight="1" x14ac:dyDescent="0.25">
      <c r="A752" s="14">
        <v>11092</v>
      </c>
      <c r="B752" s="7" t="s">
        <v>236</v>
      </c>
      <c r="C752" s="7" t="s">
        <v>333</v>
      </c>
      <c r="D752" s="7" t="s">
        <v>682</v>
      </c>
      <c r="E752" s="7" t="s">
        <v>335</v>
      </c>
      <c r="F752" s="7" t="s">
        <v>68</v>
      </c>
      <c r="G752" s="7" t="s">
        <v>336</v>
      </c>
      <c r="H752" s="15">
        <v>750</v>
      </c>
      <c r="I752" s="15">
        <v>111.58</v>
      </c>
      <c r="J752" s="7" t="str">
        <f>IFERROR(_xlfn.XLOOKUP(F752,ccustos!A:A,ccustos!B:B),"Sem termo")</f>
        <v>DEINFRA</v>
      </c>
    </row>
    <row r="753" spans="1:10" ht="25.5" customHeight="1" x14ac:dyDescent="0.25">
      <c r="A753" s="16">
        <v>11094</v>
      </c>
      <c r="B753" s="17" t="s">
        <v>236</v>
      </c>
      <c r="C753" s="17" t="s">
        <v>241</v>
      </c>
      <c r="D753" s="17" t="s">
        <v>683</v>
      </c>
      <c r="E753" s="17" t="s">
        <v>239</v>
      </c>
      <c r="F753" s="17" t="s">
        <v>0</v>
      </c>
      <c r="G753" s="17" t="s">
        <v>463</v>
      </c>
      <c r="H753" s="18">
        <v>145.38999999999999</v>
      </c>
      <c r="I753" s="18">
        <v>141.34</v>
      </c>
      <c r="J753" s="7" t="str">
        <f>IFERROR(_xlfn.XLOOKUP(F753,ccustos!A:A,ccustos!B:B),"Sem termo")</f>
        <v>SEPAT</v>
      </c>
    </row>
    <row r="754" spans="1:10" ht="25.5" customHeight="1" x14ac:dyDescent="0.25">
      <c r="A754" s="14">
        <v>11096</v>
      </c>
      <c r="B754" s="7" t="s">
        <v>236</v>
      </c>
      <c r="C754" s="7" t="s">
        <v>337</v>
      </c>
      <c r="D754" s="7" t="s">
        <v>338</v>
      </c>
      <c r="E754" s="7" t="s">
        <v>239</v>
      </c>
      <c r="F754" s="7" t="s">
        <v>48</v>
      </c>
      <c r="G754" s="7" t="s">
        <v>339</v>
      </c>
      <c r="H754" s="15">
        <v>237</v>
      </c>
      <c r="I754" s="15">
        <v>213.43</v>
      </c>
      <c r="J754" s="7" t="str">
        <f>IFERROR(_xlfn.XLOOKUP(F754,ccustos!A:A,ccustos!B:B),"Sem termo")</f>
        <v>DEPES</v>
      </c>
    </row>
    <row r="755" spans="1:10" ht="25.5" customHeight="1" x14ac:dyDescent="0.25">
      <c r="A755" s="16">
        <v>11097</v>
      </c>
      <c r="B755" s="17" t="s">
        <v>236</v>
      </c>
      <c r="C755" s="17" t="s">
        <v>241</v>
      </c>
      <c r="D755" s="17" t="s">
        <v>683</v>
      </c>
      <c r="E755" s="17" t="s">
        <v>239</v>
      </c>
      <c r="F755" s="17" t="s">
        <v>67</v>
      </c>
      <c r="G755" s="17" t="s">
        <v>463</v>
      </c>
      <c r="H755" s="18">
        <v>145.38999999999999</v>
      </c>
      <c r="I755" s="18">
        <v>141.34</v>
      </c>
      <c r="J755" s="7" t="str">
        <f>IFERROR(_xlfn.XLOOKUP(F755,ccustos!A:A,ccustos!B:B),"Sem termo")</f>
        <v>CDPROF</v>
      </c>
    </row>
    <row r="756" spans="1:10" ht="36.75" customHeight="1" x14ac:dyDescent="0.25">
      <c r="A756" s="14">
        <v>11098</v>
      </c>
      <c r="B756" s="7" t="s">
        <v>236</v>
      </c>
      <c r="C756" s="7" t="s">
        <v>241</v>
      </c>
      <c r="D756" s="7" t="s">
        <v>520</v>
      </c>
      <c r="E756" s="7" t="s">
        <v>239</v>
      </c>
      <c r="F756" s="7" t="s">
        <v>29</v>
      </c>
      <c r="G756" s="7" t="s">
        <v>331</v>
      </c>
      <c r="H756" s="15">
        <v>446</v>
      </c>
      <c r="I756" s="15">
        <v>238.18</v>
      </c>
      <c r="J756" s="7" t="str">
        <f>IFERROR(_xlfn.XLOOKUP(F756,ccustos!A:A,ccustos!B:B),"Sem termo")</f>
        <v>COAD</v>
      </c>
    </row>
    <row r="757" spans="1:10" ht="36.75" customHeight="1" x14ac:dyDescent="0.25">
      <c r="A757" s="16">
        <v>11099</v>
      </c>
      <c r="B757" s="17" t="s">
        <v>236</v>
      </c>
      <c r="C757" s="17" t="s">
        <v>313</v>
      </c>
      <c r="D757" s="17" t="s">
        <v>684</v>
      </c>
      <c r="E757" s="17" t="s">
        <v>250</v>
      </c>
      <c r="F757" s="17" t="s">
        <v>48</v>
      </c>
      <c r="G757" s="17" t="s">
        <v>529</v>
      </c>
      <c r="H757" s="18">
        <v>585</v>
      </c>
      <c r="I757" s="18">
        <v>268.31</v>
      </c>
      <c r="J757" s="7" t="str">
        <f>IFERROR(_xlfn.XLOOKUP(F757,ccustos!A:A,ccustos!B:B),"Sem termo")</f>
        <v>DEPES</v>
      </c>
    </row>
    <row r="758" spans="1:10" ht="25.5" customHeight="1" x14ac:dyDescent="0.25">
      <c r="A758" s="14">
        <v>11101</v>
      </c>
      <c r="B758" s="7" t="s">
        <v>236</v>
      </c>
      <c r="C758" s="7" t="s">
        <v>294</v>
      </c>
      <c r="D758" s="7" t="s">
        <v>685</v>
      </c>
      <c r="E758" s="7" t="s">
        <v>239</v>
      </c>
      <c r="F758" s="7" t="s">
        <v>83</v>
      </c>
      <c r="G758" s="7" t="s">
        <v>257</v>
      </c>
      <c r="H758" s="15">
        <v>432</v>
      </c>
      <c r="I758" s="15">
        <v>291.89</v>
      </c>
      <c r="J758" s="7" t="str">
        <f>IFERROR(_xlfn.XLOOKUP(F758,ccustos!A:A,ccustos!B:B),"Sem termo")</f>
        <v>GABIN</v>
      </c>
    </row>
    <row r="759" spans="1:10" ht="25.5" customHeight="1" x14ac:dyDescent="0.25">
      <c r="A759" s="16">
        <v>11102</v>
      </c>
      <c r="B759" s="17" t="s">
        <v>236</v>
      </c>
      <c r="C759" s="17" t="s">
        <v>294</v>
      </c>
      <c r="D759" s="17" t="s">
        <v>685</v>
      </c>
      <c r="E759" s="17" t="s">
        <v>239</v>
      </c>
      <c r="F759" s="17" t="s">
        <v>83</v>
      </c>
      <c r="G759" s="17" t="s">
        <v>257</v>
      </c>
      <c r="H759" s="18">
        <v>432</v>
      </c>
      <c r="I759" s="18">
        <v>291.89</v>
      </c>
      <c r="J759" s="7" t="str">
        <f>IFERROR(_xlfn.XLOOKUP(F759,ccustos!A:A,ccustos!B:B),"Sem termo")</f>
        <v>GABIN</v>
      </c>
    </row>
    <row r="760" spans="1:10" ht="25.5" customHeight="1" x14ac:dyDescent="0.25">
      <c r="A760" s="14">
        <v>11103</v>
      </c>
      <c r="B760" s="7" t="s">
        <v>236</v>
      </c>
      <c r="C760" s="7" t="s">
        <v>241</v>
      </c>
      <c r="D760" s="7" t="s">
        <v>686</v>
      </c>
      <c r="E760" s="7" t="s">
        <v>239</v>
      </c>
      <c r="F760" s="7" t="s">
        <v>83</v>
      </c>
      <c r="G760" s="7" t="s">
        <v>687</v>
      </c>
      <c r="H760" s="15">
        <v>4116.21</v>
      </c>
      <c r="I760" s="15">
        <v>1830.23</v>
      </c>
      <c r="J760" s="7" t="str">
        <f>IFERROR(_xlfn.XLOOKUP(F760,ccustos!A:A,ccustos!B:B),"Sem termo")</f>
        <v>GABIN</v>
      </c>
    </row>
    <row r="761" spans="1:10" ht="36.75" customHeight="1" x14ac:dyDescent="0.25">
      <c r="A761" s="16">
        <v>11104</v>
      </c>
      <c r="B761" s="17" t="s">
        <v>236</v>
      </c>
      <c r="C761" s="17" t="s">
        <v>241</v>
      </c>
      <c r="D761" s="17" t="s">
        <v>686</v>
      </c>
      <c r="E761" s="17" t="s">
        <v>239</v>
      </c>
      <c r="F761" s="17" t="s">
        <v>83</v>
      </c>
      <c r="G761" s="17" t="s">
        <v>688</v>
      </c>
      <c r="H761" s="18">
        <v>4116.21</v>
      </c>
      <c r="I761" s="18">
        <v>1830.23</v>
      </c>
      <c r="J761" s="7" t="str">
        <f>IFERROR(_xlfn.XLOOKUP(F761,ccustos!A:A,ccustos!B:B),"Sem termo")</f>
        <v>GABIN</v>
      </c>
    </row>
    <row r="762" spans="1:10" ht="36.75" customHeight="1" x14ac:dyDescent="0.25">
      <c r="A762" s="14">
        <v>11105</v>
      </c>
      <c r="B762" s="7" t="s">
        <v>236</v>
      </c>
      <c r="C762" s="7" t="s">
        <v>294</v>
      </c>
      <c r="D762" s="7" t="s">
        <v>685</v>
      </c>
      <c r="E762" s="7" t="s">
        <v>239</v>
      </c>
      <c r="F762" s="7" t="s">
        <v>83</v>
      </c>
      <c r="G762" s="7" t="s">
        <v>257</v>
      </c>
      <c r="H762" s="15">
        <v>432</v>
      </c>
      <c r="I762" s="15">
        <v>291.89</v>
      </c>
      <c r="J762" s="7" t="str">
        <f>IFERROR(_xlfn.XLOOKUP(F762,ccustos!A:A,ccustos!B:B),"Sem termo")</f>
        <v>GABIN</v>
      </c>
    </row>
    <row r="763" spans="1:10" ht="36.75" customHeight="1" x14ac:dyDescent="0.25">
      <c r="A763" s="16">
        <v>11106</v>
      </c>
      <c r="B763" s="17" t="s">
        <v>236</v>
      </c>
      <c r="C763" s="17" t="s">
        <v>241</v>
      </c>
      <c r="D763" s="17" t="s">
        <v>686</v>
      </c>
      <c r="E763" s="17" t="s">
        <v>239</v>
      </c>
      <c r="F763" s="17" t="s">
        <v>83</v>
      </c>
      <c r="G763" s="17" t="s">
        <v>688</v>
      </c>
      <c r="H763" s="18">
        <v>4116.21</v>
      </c>
      <c r="I763" s="18">
        <v>1830.23</v>
      </c>
      <c r="J763" s="7" t="str">
        <f>IFERROR(_xlfn.XLOOKUP(F763,ccustos!A:A,ccustos!B:B),"Sem termo")</f>
        <v>GABIN</v>
      </c>
    </row>
    <row r="764" spans="1:10" ht="25.5" customHeight="1" x14ac:dyDescent="0.25">
      <c r="A764" s="14">
        <v>11107</v>
      </c>
      <c r="B764" s="7" t="s">
        <v>236</v>
      </c>
      <c r="C764" s="7" t="s">
        <v>241</v>
      </c>
      <c r="D764" s="7" t="s">
        <v>686</v>
      </c>
      <c r="E764" s="7" t="s">
        <v>239</v>
      </c>
      <c r="F764" s="7" t="s">
        <v>83</v>
      </c>
      <c r="G764" s="7" t="s">
        <v>688</v>
      </c>
      <c r="H764" s="15">
        <v>4116.21</v>
      </c>
      <c r="I764" s="15">
        <v>1830.23</v>
      </c>
      <c r="J764" s="7" t="str">
        <f>IFERROR(_xlfn.XLOOKUP(F764,ccustos!A:A,ccustos!B:B),"Sem termo")</f>
        <v>GABIN</v>
      </c>
    </row>
    <row r="765" spans="1:10" ht="25.5" customHeight="1" x14ac:dyDescent="0.25">
      <c r="A765" s="16">
        <v>11108</v>
      </c>
      <c r="B765" s="17" t="s">
        <v>236</v>
      </c>
      <c r="C765" s="17" t="s">
        <v>241</v>
      </c>
      <c r="D765" s="17" t="s">
        <v>686</v>
      </c>
      <c r="E765" s="17" t="s">
        <v>239</v>
      </c>
      <c r="F765" s="17" t="s">
        <v>83</v>
      </c>
      <c r="G765" s="17" t="s">
        <v>688</v>
      </c>
      <c r="H765" s="18">
        <v>5984.53</v>
      </c>
      <c r="I765" s="18">
        <v>2660.95</v>
      </c>
      <c r="J765" s="7" t="str">
        <f>IFERROR(_xlfn.XLOOKUP(F765,ccustos!A:A,ccustos!B:B),"Sem termo")</f>
        <v>GABIN</v>
      </c>
    </row>
    <row r="766" spans="1:10" ht="25.5" customHeight="1" x14ac:dyDescent="0.25">
      <c r="A766" s="14">
        <v>11109</v>
      </c>
      <c r="B766" s="7" t="s">
        <v>236</v>
      </c>
      <c r="C766" s="7" t="s">
        <v>237</v>
      </c>
      <c r="D766" s="7" t="s">
        <v>689</v>
      </c>
      <c r="E766" s="7" t="s">
        <v>239</v>
      </c>
      <c r="F766" s="7" t="s">
        <v>83</v>
      </c>
      <c r="G766" s="7" t="s">
        <v>687</v>
      </c>
      <c r="H766" s="15">
        <v>668.44</v>
      </c>
      <c r="I766" s="15">
        <v>604.09</v>
      </c>
      <c r="J766" s="7" t="str">
        <f>IFERROR(_xlfn.XLOOKUP(F766,ccustos!A:A,ccustos!B:B),"Sem termo")</f>
        <v>GABIN</v>
      </c>
    </row>
    <row r="767" spans="1:10" ht="36.75" customHeight="1" x14ac:dyDescent="0.25">
      <c r="A767" s="16">
        <v>11110</v>
      </c>
      <c r="B767" s="17" t="s">
        <v>236</v>
      </c>
      <c r="C767" s="17" t="s">
        <v>237</v>
      </c>
      <c r="D767" s="17" t="s">
        <v>689</v>
      </c>
      <c r="E767" s="17" t="s">
        <v>239</v>
      </c>
      <c r="F767" s="17" t="s">
        <v>83</v>
      </c>
      <c r="G767" s="17" t="s">
        <v>687</v>
      </c>
      <c r="H767" s="18">
        <v>668.44</v>
      </c>
      <c r="I767" s="18">
        <v>604.09</v>
      </c>
      <c r="J767" s="7" t="str">
        <f>IFERROR(_xlfn.XLOOKUP(F767,ccustos!A:A,ccustos!B:B),"Sem termo")</f>
        <v>GABIN</v>
      </c>
    </row>
    <row r="768" spans="1:10" ht="36.75" customHeight="1" x14ac:dyDescent="0.25">
      <c r="A768" s="14">
        <v>11111</v>
      </c>
      <c r="B768" s="7" t="s">
        <v>236</v>
      </c>
      <c r="C768" s="7" t="s">
        <v>237</v>
      </c>
      <c r="D768" s="7" t="s">
        <v>689</v>
      </c>
      <c r="E768" s="7" t="s">
        <v>239</v>
      </c>
      <c r="F768" s="7" t="s">
        <v>83</v>
      </c>
      <c r="G768" s="7" t="s">
        <v>687</v>
      </c>
      <c r="H768" s="15">
        <v>668.44</v>
      </c>
      <c r="I768" s="15">
        <v>358.08</v>
      </c>
      <c r="J768" s="7" t="str">
        <f>IFERROR(_xlfn.XLOOKUP(F768,ccustos!A:A,ccustos!B:B),"Sem termo")</f>
        <v>GABIN</v>
      </c>
    </row>
    <row r="769" spans="1:10" ht="36.75" customHeight="1" x14ac:dyDescent="0.25">
      <c r="A769" s="16">
        <v>11112</v>
      </c>
      <c r="B769" s="17" t="s">
        <v>236</v>
      </c>
      <c r="C769" s="17" t="s">
        <v>316</v>
      </c>
      <c r="D769" s="17" t="s">
        <v>690</v>
      </c>
      <c r="E769" s="17" t="s">
        <v>318</v>
      </c>
      <c r="F769" s="17" t="s">
        <v>83</v>
      </c>
      <c r="G769" s="17" t="s">
        <v>691</v>
      </c>
      <c r="H769" s="18">
        <v>3990</v>
      </c>
      <c r="I769" s="18">
        <v>752.95</v>
      </c>
      <c r="J769" s="7" t="str">
        <f>IFERROR(_xlfn.XLOOKUP(F769,ccustos!A:A,ccustos!B:B),"Sem termo")</f>
        <v>GABIN</v>
      </c>
    </row>
    <row r="770" spans="1:10" ht="25.5" customHeight="1" x14ac:dyDescent="0.25">
      <c r="A770" s="14">
        <v>11113</v>
      </c>
      <c r="B770" s="7" t="s">
        <v>236</v>
      </c>
      <c r="C770" s="7" t="s">
        <v>306</v>
      </c>
      <c r="D770" s="7" t="s">
        <v>692</v>
      </c>
      <c r="E770" s="7" t="s">
        <v>239</v>
      </c>
      <c r="F770" s="7" t="s">
        <v>83</v>
      </c>
      <c r="G770" s="7" t="s">
        <v>693</v>
      </c>
      <c r="H770" s="15">
        <v>4208</v>
      </c>
      <c r="I770" s="15">
        <v>754.97</v>
      </c>
      <c r="J770" s="7" t="str">
        <f>IFERROR(_xlfn.XLOOKUP(F770,ccustos!A:A,ccustos!B:B),"Sem termo")</f>
        <v>GABIN</v>
      </c>
    </row>
    <row r="771" spans="1:10" ht="36.75" customHeight="1" x14ac:dyDescent="0.25">
      <c r="A771" s="16">
        <v>11114</v>
      </c>
      <c r="B771" s="17" t="s">
        <v>236</v>
      </c>
      <c r="C771" s="17" t="s">
        <v>237</v>
      </c>
      <c r="D771" s="17" t="s">
        <v>694</v>
      </c>
      <c r="E771" s="17" t="s">
        <v>239</v>
      </c>
      <c r="F771" s="17" t="s">
        <v>83</v>
      </c>
      <c r="G771" s="17" t="s">
        <v>246</v>
      </c>
      <c r="H771" s="18">
        <v>49.5</v>
      </c>
      <c r="I771" s="18">
        <v>159.49</v>
      </c>
      <c r="J771" s="7" t="str">
        <f>IFERROR(_xlfn.XLOOKUP(F771,ccustos!A:A,ccustos!B:B),"Sem termo")</f>
        <v>GABIN</v>
      </c>
    </row>
    <row r="772" spans="1:10" ht="25.5" customHeight="1" x14ac:dyDescent="0.25">
      <c r="A772" s="14">
        <v>11115</v>
      </c>
      <c r="B772" s="7" t="s">
        <v>236</v>
      </c>
      <c r="C772" s="7" t="s">
        <v>237</v>
      </c>
      <c r="D772" s="7" t="s">
        <v>689</v>
      </c>
      <c r="E772" s="7" t="s">
        <v>239</v>
      </c>
      <c r="F772" s="7" t="s">
        <v>83</v>
      </c>
      <c r="G772" s="7" t="s">
        <v>443</v>
      </c>
      <c r="H772" s="15">
        <v>563.99</v>
      </c>
      <c r="I772" s="15">
        <v>156.83000000000001</v>
      </c>
      <c r="J772" s="7" t="str">
        <f>IFERROR(_xlfn.XLOOKUP(F772,ccustos!A:A,ccustos!B:B),"Sem termo")</f>
        <v>GABIN</v>
      </c>
    </row>
    <row r="773" spans="1:10" ht="25.5" customHeight="1" x14ac:dyDescent="0.25">
      <c r="A773" s="16">
        <v>11119</v>
      </c>
      <c r="B773" s="17" t="s">
        <v>236</v>
      </c>
      <c r="C773" s="17" t="s">
        <v>237</v>
      </c>
      <c r="D773" s="17" t="s">
        <v>689</v>
      </c>
      <c r="E773" s="17" t="s">
        <v>239</v>
      </c>
      <c r="F773" s="17" t="s">
        <v>83</v>
      </c>
      <c r="G773" s="17" t="s">
        <v>246</v>
      </c>
      <c r="H773" s="18">
        <v>49.5</v>
      </c>
      <c r="I773" s="18">
        <v>159.49</v>
      </c>
      <c r="J773" s="7" t="str">
        <f>IFERROR(_xlfn.XLOOKUP(F773,ccustos!A:A,ccustos!B:B),"Sem termo")</f>
        <v>GABIN</v>
      </c>
    </row>
    <row r="774" spans="1:10" ht="36.75" customHeight="1" x14ac:dyDescent="0.25">
      <c r="A774" s="14">
        <v>11120</v>
      </c>
      <c r="B774" s="7" t="s">
        <v>236</v>
      </c>
      <c r="C774" s="7" t="s">
        <v>237</v>
      </c>
      <c r="D774" s="7" t="s">
        <v>360</v>
      </c>
      <c r="E774" s="7" t="s">
        <v>239</v>
      </c>
      <c r="F774" s="7" t="s">
        <v>205</v>
      </c>
      <c r="G774" s="7" t="s">
        <v>688</v>
      </c>
      <c r="H774" s="15">
        <v>3262.79</v>
      </c>
      <c r="I774" s="15">
        <v>638.17999999999995</v>
      </c>
      <c r="J774" s="7" t="str">
        <f>IFERROR(_xlfn.XLOOKUP(F774,ccustos!A:A,ccustos!B:B),"Sem termo")</f>
        <v>CCOM</v>
      </c>
    </row>
    <row r="775" spans="1:10" ht="25.5" customHeight="1" x14ac:dyDescent="0.25">
      <c r="A775" s="16">
        <v>11121</v>
      </c>
      <c r="B775" s="17" t="s">
        <v>236</v>
      </c>
      <c r="C775" s="17" t="s">
        <v>237</v>
      </c>
      <c r="D775" s="17" t="s">
        <v>360</v>
      </c>
      <c r="E775" s="17" t="s">
        <v>239</v>
      </c>
      <c r="F775" s="17" t="s">
        <v>52</v>
      </c>
      <c r="G775" s="17" t="s">
        <v>688</v>
      </c>
      <c r="H775" s="18">
        <v>3262.79</v>
      </c>
      <c r="I775" s="18">
        <v>638.17999999999995</v>
      </c>
      <c r="J775" s="7" t="str">
        <f>IFERROR(_xlfn.XLOOKUP(F775,ccustos!A:A,ccustos!B:B),"Sem termo")</f>
        <v>COREG</v>
      </c>
    </row>
    <row r="776" spans="1:10" ht="36.75" customHeight="1" x14ac:dyDescent="0.25">
      <c r="A776" s="14">
        <v>11122</v>
      </c>
      <c r="B776" s="7" t="s">
        <v>236</v>
      </c>
      <c r="C776" s="7" t="s">
        <v>237</v>
      </c>
      <c r="D776" s="7" t="s">
        <v>360</v>
      </c>
      <c r="E776" s="7" t="s">
        <v>239</v>
      </c>
      <c r="F776" s="7" t="s">
        <v>34</v>
      </c>
      <c r="G776" s="7" t="s">
        <v>688</v>
      </c>
      <c r="H776" s="15">
        <v>3262.79</v>
      </c>
      <c r="I776" s="15">
        <v>638.17999999999995</v>
      </c>
      <c r="J776" s="7" t="str">
        <f>IFERROR(_xlfn.XLOOKUP(F776,ccustos!A:A,ccustos!B:B),"Sem termo")</f>
        <v>COFIS</v>
      </c>
    </row>
    <row r="777" spans="1:10" ht="25.5" customHeight="1" x14ac:dyDescent="0.25">
      <c r="A777" s="16">
        <v>11123</v>
      </c>
      <c r="B777" s="17" t="s">
        <v>236</v>
      </c>
      <c r="C777" s="17" t="s">
        <v>237</v>
      </c>
      <c r="D777" s="17" t="s">
        <v>360</v>
      </c>
      <c r="E777" s="17" t="s">
        <v>239</v>
      </c>
      <c r="F777" s="17" t="s">
        <v>30</v>
      </c>
      <c r="G777" s="17" t="s">
        <v>688</v>
      </c>
      <c r="H777" s="18">
        <v>3262.79</v>
      </c>
      <c r="I777" s="18">
        <v>638.17999999999995</v>
      </c>
      <c r="J777" s="7" t="str">
        <f>IFERROR(_xlfn.XLOOKUP(F777,ccustos!A:A,ccustos!B:B),"Sem termo")</f>
        <v>COFIS</v>
      </c>
    </row>
    <row r="778" spans="1:10" ht="36.75" customHeight="1" x14ac:dyDescent="0.25">
      <c r="A778" s="14">
        <v>11124</v>
      </c>
      <c r="B778" s="7" t="s">
        <v>236</v>
      </c>
      <c r="C778" s="7" t="s">
        <v>237</v>
      </c>
      <c r="D778" s="7" t="s">
        <v>360</v>
      </c>
      <c r="E778" s="7" t="s">
        <v>239</v>
      </c>
      <c r="F778" s="7" t="s">
        <v>186</v>
      </c>
      <c r="G778" s="7" t="s">
        <v>688</v>
      </c>
      <c r="H778" s="15">
        <v>3262.79</v>
      </c>
      <c r="I778" s="15">
        <v>638.17999999999995</v>
      </c>
      <c r="J778" s="7" t="str">
        <f>IFERROR(_xlfn.XLOOKUP(F778,ccustos!A:A,ccustos!B:B),"Sem termo")</f>
        <v>CGGE</v>
      </c>
    </row>
    <row r="779" spans="1:10" ht="25.5" customHeight="1" x14ac:dyDescent="0.25">
      <c r="A779" s="16">
        <v>11125</v>
      </c>
      <c r="B779" s="17" t="s">
        <v>236</v>
      </c>
      <c r="C779" s="17" t="s">
        <v>313</v>
      </c>
      <c r="D779" s="17" t="s">
        <v>695</v>
      </c>
      <c r="E779" s="17" t="s">
        <v>250</v>
      </c>
      <c r="F779" s="17" t="s">
        <v>83</v>
      </c>
      <c r="G779" s="17" t="s">
        <v>315</v>
      </c>
      <c r="H779" s="18">
        <v>620</v>
      </c>
      <c r="I779" s="18">
        <v>196.91</v>
      </c>
      <c r="J779" s="7" t="str">
        <f>IFERROR(_xlfn.XLOOKUP(F779,ccustos!A:A,ccustos!B:B),"Sem termo")</f>
        <v>GABIN</v>
      </c>
    </row>
    <row r="780" spans="1:10" ht="36.75" customHeight="1" x14ac:dyDescent="0.25">
      <c r="A780" s="14">
        <v>11126</v>
      </c>
      <c r="B780" s="7" t="s">
        <v>236</v>
      </c>
      <c r="C780" s="7" t="s">
        <v>313</v>
      </c>
      <c r="D780" s="7" t="s">
        <v>696</v>
      </c>
      <c r="E780" s="7" t="s">
        <v>250</v>
      </c>
      <c r="F780" s="7" t="s">
        <v>8</v>
      </c>
      <c r="G780" s="7" t="s">
        <v>315</v>
      </c>
      <c r="H780" s="15">
        <v>620</v>
      </c>
      <c r="I780" s="15">
        <v>196.91</v>
      </c>
      <c r="J780" s="7" t="str">
        <f>IFERROR(_xlfn.XLOOKUP(F780,ccustos!A:A,ccustos!B:B),"Sem termo")</f>
        <v>DEINFRA</v>
      </c>
    </row>
    <row r="781" spans="1:10" ht="36.75" customHeight="1" x14ac:dyDescent="0.25">
      <c r="A781" s="16">
        <v>11127</v>
      </c>
      <c r="B781" s="17" t="s">
        <v>236</v>
      </c>
      <c r="C781" s="17" t="s">
        <v>313</v>
      </c>
      <c r="D781" s="17" t="s">
        <v>697</v>
      </c>
      <c r="E781" s="17" t="s">
        <v>250</v>
      </c>
      <c r="F781" s="17" t="s">
        <v>83</v>
      </c>
      <c r="G781" s="17" t="s">
        <v>315</v>
      </c>
      <c r="H781" s="18">
        <v>620</v>
      </c>
      <c r="I781" s="18">
        <v>196.91</v>
      </c>
      <c r="J781" s="7" t="str">
        <f>IFERROR(_xlfn.XLOOKUP(F781,ccustos!A:A,ccustos!B:B),"Sem termo")</f>
        <v>GABIN</v>
      </c>
    </row>
    <row r="782" spans="1:10" ht="36.75" customHeight="1" x14ac:dyDescent="0.25">
      <c r="A782" s="14">
        <v>11128</v>
      </c>
      <c r="B782" s="7" t="s">
        <v>236</v>
      </c>
      <c r="C782" s="7" t="s">
        <v>313</v>
      </c>
      <c r="D782" s="7" t="s">
        <v>698</v>
      </c>
      <c r="E782" s="7" t="s">
        <v>250</v>
      </c>
      <c r="F782" s="7" t="s">
        <v>83</v>
      </c>
      <c r="G782" s="7" t="s">
        <v>315</v>
      </c>
      <c r="H782" s="15">
        <v>620</v>
      </c>
      <c r="I782" s="15">
        <v>196.91</v>
      </c>
      <c r="J782" s="7" t="str">
        <f>IFERROR(_xlfn.XLOOKUP(F782,ccustos!A:A,ccustos!B:B),"Sem termo")</f>
        <v>GABIN</v>
      </c>
    </row>
    <row r="783" spans="1:10" ht="25.5" customHeight="1" x14ac:dyDescent="0.25">
      <c r="A783" s="16">
        <v>11129</v>
      </c>
      <c r="B783" s="17" t="s">
        <v>236</v>
      </c>
      <c r="C783" s="17" t="s">
        <v>313</v>
      </c>
      <c r="D783" s="17" t="s">
        <v>699</v>
      </c>
      <c r="E783" s="17" t="s">
        <v>250</v>
      </c>
      <c r="F783" s="17" t="s">
        <v>83</v>
      </c>
      <c r="G783" s="17" t="s">
        <v>315</v>
      </c>
      <c r="H783" s="18">
        <v>620</v>
      </c>
      <c r="I783" s="18">
        <v>196.91</v>
      </c>
      <c r="J783" s="7" t="str">
        <f>IFERROR(_xlfn.XLOOKUP(F783,ccustos!A:A,ccustos!B:B),"Sem termo")</f>
        <v>GABIN</v>
      </c>
    </row>
    <row r="784" spans="1:10" ht="36.75" customHeight="1" x14ac:dyDescent="0.25">
      <c r="A784" s="14">
        <v>11130</v>
      </c>
      <c r="B784" s="7" t="s">
        <v>236</v>
      </c>
      <c r="C784" s="7" t="s">
        <v>337</v>
      </c>
      <c r="D784" s="7" t="s">
        <v>700</v>
      </c>
      <c r="E784" s="7" t="s">
        <v>239</v>
      </c>
      <c r="F784" s="7" t="s">
        <v>83</v>
      </c>
      <c r="G784" s="7" t="s">
        <v>693</v>
      </c>
      <c r="H784" s="15">
        <v>410</v>
      </c>
      <c r="I784" s="15">
        <v>498</v>
      </c>
      <c r="J784" s="7" t="str">
        <f>IFERROR(_xlfn.XLOOKUP(F784,ccustos!A:A,ccustos!B:B),"Sem termo")</f>
        <v>GABIN</v>
      </c>
    </row>
    <row r="785" spans="1:10" ht="25.5" customHeight="1" x14ac:dyDescent="0.25">
      <c r="A785" s="16">
        <v>11134</v>
      </c>
      <c r="B785" s="17" t="s">
        <v>236</v>
      </c>
      <c r="C785" s="17" t="s">
        <v>294</v>
      </c>
      <c r="D785" s="17" t="s">
        <v>701</v>
      </c>
      <c r="E785" s="17" t="s">
        <v>239</v>
      </c>
      <c r="F785" s="17" t="s">
        <v>83</v>
      </c>
      <c r="G785" s="17" t="s">
        <v>257</v>
      </c>
      <c r="H785" s="18">
        <v>384</v>
      </c>
      <c r="I785" s="18">
        <v>365.87</v>
      </c>
      <c r="J785" s="7" t="str">
        <f>IFERROR(_xlfn.XLOOKUP(F785,ccustos!A:A,ccustos!B:B),"Sem termo")</f>
        <v>GABIN</v>
      </c>
    </row>
    <row r="786" spans="1:10" ht="25.5" customHeight="1" x14ac:dyDescent="0.25">
      <c r="A786" s="14">
        <v>11135</v>
      </c>
      <c r="B786" s="7" t="s">
        <v>236</v>
      </c>
      <c r="C786" s="7" t="s">
        <v>294</v>
      </c>
      <c r="D786" s="7" t="s">
        <v>701</v>
      </c>
      <c r="E786" s="7" t="s">
        <v>239</v>
      </c>
      <c r="F786" s="7" t="s">
        <v>83</v>
      </c>
      <c r="G786" s="7" t="s">
        <v>257</v>
      </c>
      <c r="H786" s="15">
        <v>384</v>
      </c>
      <c r="I786" s="15">
        <v>365.87</v>
      </c>
      <c r="J786" s="7" t="str">
        <f>IFERROR(_xlfn.XLOOKUP(F786,ccustos!A:A,ccustos!B:B),"Sem termo")</f>
        <v>GABIN</v>
      </c>
    </row>
    <row r="787" spans="1:10" ht="25.5" customHeight="1" x14ac:dyDescent="0.25">
      <c r="A787" s="16">
        <v>11136</v>
      </c>
      <c r="B787" s="17" t="s">
        <v>236</v>
      </c>
      <c r="C787" s="17" t="s">
        <v>294</v>
      </c>
      <c r="D787" s="17" t="s">
        <v>701</v>
      </c>
      <c r="E787" s="17" t="s">
        <v>239</v>
      </c>
      <c r="F787" s="17" t="s">
        <v>83</v>
      </c>
      <c r="G787" s="17" t="s">
        <v>257</v>
      </c>
      <c r="H787" s="18">
        <v>384</v>
      </c>
      <c r="I787" s="18">
        <v>365.87</v>
      </c>
      <c r="J787" s="7" t="str">
        <f>IFERROR(_xlfn.XLOOKUP(F787,ccustos!A:A,ccustos!B:B),"Sem termo")</f>
        <v>GABIN</v>
      </c>
    </row>
    <row r="788" spans="1:10" ht="25.5" customHeight="1" x14ac:dyDescent="0.25">
      <c r="A788" s="14">
        <v>11137</v>
      </c>
      <c r="B788" s="7" t="s">
        <v>236</v>
      </c>
      <c r="C788" s="7" t="s">
        <v>306</v>
      </c>
      <c r="D788" s="7" t="s">
        <v>363</v>
      </c>
      <c r="E788" s="7" t="s">
        <v>239</v>
      </c>
      <c r="F788" s="7" t="s">
        <v>83</v>
      </c>
      <c r="G788" s="7" t="s">
        <v>693</v>
      </c>
      <c r="H788" s="15">
        <v>1772.51</v>
      </c>
      <c r="I788" s="15">
        <v>412.62</v>
      </c>
      <c r="J788" s="7" t="str">
        <f>IFERROR(_xlfn.XLOOKUP(F788,ccustos!A:A,ccustos!B:B),"Sem termo")</f>
        <v>GABIN</v>
      </c>
    </row>
    <row r="789" spans="1:10" ht="36.75" customHeight="1" x14ac:dyDescent="0.25">
      <c r="A789" s="16">
        <v>11138</v>
      </c>
      <c r="B789" s="17" t="s">
        <v>236</v>
      </c>
      <c r="C789" s="17" t="s">
        <v>294</v>
      </c>
      <c r="D789" s="17" t="s">
        <v>702</v>
      </c>
      <c r="E789" s="17" t="s">
        <v>239</v>
      </c>
      <c r="F789" s="17" t="s">
        <v>83</v>
      </c>
      <c r="G789" s="17" t="s">
        <v>693</v>
      </c>
      <c r="H789" s="18">
        <v>1772.51</v>
      </c>
      <c r="I789" s="18">
        <v>333.71</v>
      </c>
      <c r="J789" s="7" t="str">
        <f>IFERROR(_xlfn.XLOOKUP(F789,ccustos!A:A,ccustos!B:B),"Sem termo")</f>
        <v>GABIN</v>
      </c>
    </row>
    <row r="790" spans="1:10" ht="36.75" customHeight="1" x14ac:dyDescent="0.25">
      <c r="A790" s="14">
        <v>11139</v>
      </c>
      <c r="B790" s="7" t="s">
        <v>236</v>
      </c>
      <c r="C790" s="7" t="s">
        <v>306</v>
      </c>
      <c r="D790" s="7" t="s">
        <v>702</v>
      </c>
      <c r="E790" s="7" t="s">
        <v>239</v>
      </c>
      <c r="F790" s="7" t="s">
        <v>83</v>
      </c>
      <c r="G790" s="7" t="s">
        <v>693</v>
      </c>
      <c r="H790" s="15">
        <v>1772.51</v>
      </c>
      <c r="I790" s="15">
        <v>323.83</v>
      </c>
      <c r="J790" s="7" t="str">
        <f>IFERROR(_xlfn.XLOOKUP(F790,ccustos!A:A,ccustos!B:B),"Sem termo")</f>
        <v>GABIN</v>
      </c>
    </row>
    <row r="791" spans="1:10" ht="25.5" customHeight="1" x14ac:dyDescent="0.25">
      <c r="A791" s="16">
        <v>11140</v>
      </c>
      <c r="B791" s="17" t="s">
        <v>236</v>
      </c>
      <c r="C791" s="17" t="s">
        <v>306</v>
      </c>
      <c r="D791" s="17" t="s">
        <v>703</v>
      </c>
      <c r="E791" s="17" t="s">
        <v>239</v>
      </c>
      <c r="F791" s="17" t="s">
        <v>83</v>
      </c>
      <c r="G791" s="17" t="s">
        <v>257</v>
      </c>
      <c r="H791" s="18">
        <v>543.20000000000005</v>
      </c>
      <c r="I791" s="18">
        <v>353.34</v>
      </c>
      <c r="J791" s="7" t="str">
        <f>IFERROR(_xlfn.XLOOKUP(F791,ccustos!A:A,ccustos!B:B),"Sem termo")</f>
        <v>GABIN</v>
      </c>
    </row>
    <row r="792" spans="1:10" ht="36.75" customHeight="1" x14ac:dyDescent="0.25">
      <c r="A792" s="14">
        <v>11142</v>
      </c>
      <c r="B792" s="7" t="s">
        <v>236</v>
      </c>
      <c r="C792" s="7" t="s">
        <v>399</v>
      </c>
      <c r="D792" s="7" t="s">
        <v>704</v>
      </c>
      <c r="E792" s="7" t="s">
        <v>239</v>
      </c>
      <c r="F792" s="7" t="s">
        <v>83</v>
      </c>
      <c r="G792" s="7" t="s">
        <v>693</v>
      </c>
      <c r="H792" s="15">
        <v>6312</v>
      </c>
      <c r="I792" s="15">
        <v>2004.69</v>
      </c>
      <c r="J792" s="7" t="str">
        <f>IFERROR(_xlfn.XLOOKUP(F792,ccustos!A:A,ccustos!B:B),"Sem termo")</f>
        <v>GABIN</v>
      </c>
    </row>
    <row r="793" spans="1:10" ht="36.75" customHeight="1" x14ac:dyDescent="0.25">
      <c r="A793" s="16">
        <v>11143</v>
      </c>
      <c r="B793" s="17" t="s">
        <v>236</v>
      </c>
      <c r="C793" s="17" t="s">
        <v>237</v>
      </c>
      <c r="D793" s="17" t="s">
        <v>705</v>
      </c>
      <c r="E793" s="17" t="s">
        <v>239</v>
      </c>
      <c r="F793" s="17" t="s">
        <v>14</v>
      </c>
      <c r="G793" s="17" t="s">
        <v>350</v>
      </c>
      <c r="H793" s="18">
        <v>180</v>
      </c>
      <c r="I793" s="18">
        <v>405.3</v>
      </c>
      <c r="J793" s="7" t="str">
        <f>IFERROR(_xlfn.XLOOKUP(F793,ccustos!A:A,ccustos!B:B),"Sem termo")</f>
        <v>SEPAT</v>
      </c>
    </row>
    <row r="794" spans="1:10" ht="25.5" customHeight="1" x14ac:dyDescent="0.25">
      <c r="A794" s="14">
        <v>11144</v>
      </c>
      <c r="B794" s="7" t="s">
        <v>236</v>
      </c>
      <c r="C794" s="7" t="s">
        <v>325</v>
      </c>
      <c r="D794" s="7" t="s">
        <v>706</v>
      </c>
      <c r="E794" s="7" t="s">
        <v>239</v>
      </c>
      <c r="F794" s="7" t="s">
        <v>83</v>
      </c>
      <c r="G794" s="7" t="s">
        <v>257</v>
      </c>
      <c r="H794" s="15">
        <v>2000</v>
      </c>
      <c r="I794" s="15">
        <v>1019.58</v>
      </c>
      <c r="J794" s="7" t="str">
        <f>IFERROR(_xlfn.XLOOKUP(F794,ccustos!A:A,ccustos!B:B),"Sem termo")</f>
        <v>GABIN</v>
      </c>
    </row>
    <row r="795" spans="1:10" ht="25.5" customHeight="1" x14ac:dyDescent="0.25">
      <c r="A795" s="16">
        <v>11145</v>
      </c>
      <c r="B795" s="17" t="s">
        <v>236</v>
      </c>
      <c r="C795" s="17" t="s">
        <v>325</v>
      </c>
      <c r="D795" s="17" t="s">
        <v>706</v>
      </c>
      <c r="E795" s="17" t="s">
        <v>239</v>
      </c>
      <c r="F795" s="17" t="s">
        <v>83</v>
      </c>
      <c r="G795" s="17" t="s">
        <v>257</v>
      </c>
      <c r="H795" s="18">
        <v>2250</v>
      </c>
      <c r="I795" s="18">
        <v>999.63</v>
      </c>
      <c r="J795" s="7" t="str">
        <f>IFERROR(_xlfn.XLOOKUP(F795,ccustos!A:A,ccustos!B:B),"Sem termo")</f>
        <v>GABIN</v>
      </c>
    </row>
    <row r="796" spans="1:10" ht="25.5" customHeight="1" x14ac:dyDescent="0.25">
      <c r="A796" s="14">
        <v>11146</v>
      </c>
      <c r="B796" s="7" t="s">
        <v>236</v>
      </c>
      <c r="C796" s="7" t="s">
        <v>241</v>
      </c>
      <c r="D796" s="7" t="s">
        <v>707</v>
      </c>
      <c r="E796" s="7" t="s">
        <v>239</v>
      </c>
      <c r="F796" s="7" t="s">
        <v>83</v>
      </c>
      <c r="G796" s="7" t="s">
        <v>693</v>
      </c>
      <c r="H796" s="15">
        <v>4772.5</v>
      </c>
      <c r="I796" s="15">
        <v>1220.44</v>
      </c>
      <c r="J796" s="7" t="str">
        <f>IFERROR(_xlfn.XLOOKUP(F796,ccustos!A:A,ccustos!B:B),"Sem termo")</f>
        <v>GABIN</v>
      </c>
    </row>
    <row r="797" spans="1:10" ht="25.5" customHeight="1" x14ac:dyDescent="0.25">
      <c r="A797" s="16">
        <v>11147</v>
      </c>
      <c r="B797" s="17" t="s">
        <v>236</v>
      </c>
      <c r="C797" s="17" t="s">
        <v>241</v>
      </c>
      <c r="D797" s="17" t="s">
        <v>708</v>
      </c>
      <c r="E797" s="17" t="s">
        <v>239</v>
      </c>
      <c r="F797" s="17" t="s">
        <v>709</v>
      </c>
      <c r="G797" s="17" t="s">
        <v>253</v>
      </c>
      <c r="H797" s="18">
        <v>3980</v>
      </c>
      <c r="I797" s="18">
        <v>298.10000000000002</v>
      </c>
      <c r="J797" s="7" t="str">
        <f>IFERROR(_xlfn.XLOOKUP(F797,ccustos!A:A,ccustos!B:B),"Sem termo")</f>
        <v>Sem termo</v>
      </c>
    </row>
    <row r="798" spans="1:10" ht="36.75" customHeight="1" x14ac:dyDescent="0.25">
      <c r="A798" s="14">
        <v>11148</v>
      </c>
      <c r="B798" s="7" t="s">
        <v>236</v>
      </c>
      <c r="C798" s="7" t="s">
        <v>306</v>
      </c>
      <c r="D798" s="7" t="s">
        <v>710</v>
      </c>
      <c r="E798" s="7" t="s">
        <v>239</v>
      </c>
      <c r="F798" s="7" t="s">
        <v>711</v>
      </c>
      <c r="G798" s="7" t="s">
        <v>443</v>
      </c>
      <c r="H798" s="15">
        <v>269.86</v>
      </c>
      <c r="I798" s="15">
        <v>168.54</v>
      </c>
      <c r="J798" s="7" t="str">
        <f>IFERROR(_xlfn.XLOOKUP(F798,ccustos!A:A,ccustos!B:B),"Sem termo")</f>
        <v>Sem termo</v>
      </c>
    </row>
    <row r="799" spans="1:10" ht="25.5" customHeight="1" x14ac:dyDescent="0.25">
      <c r="A799" s="16">
        <v>11152</v>
      </c>
      <c r="B799" s="17" t="s">
        <v>236</v>
      </c>
      <c r="C799" s="17" t="s">
        <v>237</v>
      </c>
      <c r="D799" s="17" t="s">
        <v>712</v>
      </c>
      <c r="E799" s="17" t="s">
        <v>239</v>
      </c>
      <c r="F799" s="17" t="s">
        <v>37</v>
      </c>
      <c r="G799" s="17" t="s">
        <v>253</v>
      </c>
      <c r="H799" s="18">
        <v>187</v>
      </c>
      <c r="I799" s="18">
        <v>149.01</v>
      </c>
      <c r="J799" s="7" t="str">
        <f>IFERROR(_xlfn.XLOOKUP(F799,ccustos!A:A,ccustos!B:B),"Sem termo")</f>
        <v>PROJUR</v>
      </c>
    </row>
    <row r="800" spans="1:10" ht="25.5" customHeight="1" x14ac:dyDescent="0.25">
      <c r="A800" s="14">
        <v>11155</v>
      </c>
      <c r="B800" s="7" t="s">
        <v>236</v>
      </c>
      <c r="C800" s="7" t="s">
        <v>241</v>
      </c>
      <c r="D800" s="7" t="s">
        <v>713</v>
      </c>
      <c r="E800" s="7" t="s">
        <v>239</v>
      </c>
      <c r="F800" s="7" t="s">
        <v>16</v>
      </c>
      <c r="G800" s="7" t="s">
        <v>291</v>
      </c>
      <c r="H800" s="15">
        <v>95.58</v>
      </c>
      <c r="I800" s="15">
        <v>141.34</v>
      </c>
      <c r="J800" s="7" t="str">
        <f>IFERROR(_xlfn.XLOOKUP(F800,ccustos!A:A,ccustos!B:B),"Sem termo")</f>
        <v>SEPAT</v>
      </c>
    </row>
    <row r="801" spans="1:10" ht="25.5" customHeight="1" x14ac:dyDescent="0.25">
      <c r="A801" s="16">
        <v>11156</v>
      </c>
      <c r="B801" s="17" t="s">
        <v>236</v>
      </c>
      <c r="C801" s="17" t="s">
        <v>237</v>
      </c>
      <c r="D801" s="17" t="s">
        <v>714</v>
      </c>
      <c r="E801" s="17" t="s">
        <v>239</v>
      </c>
      <c r="F801" s="17" t="s">
        <v>213</v>
      </c>
      <c r="G801" s="17" t="s">
        <v>715</v>
      </c>
      <c r="H801" s="18">
        <v>4857.83</v>
      </c>
      <c r="I801" s="18">
        <v>1378.33</v>
      </c>
      <c r="J801" s="7" t="str">
        <f>IFERROR(_xlfn.XLOOKUP(F801,ccustos!A:A,ccustos!B:B),"Sem termo")</f>
        <v>DIEPG</v>
      </c>
    </row>
    <row r="802" spans="1:10" ht="36.75" customHeight="1" x14ac:dyDescent="0.25">
      <c r="A802" s="14">
        <v>11160</v>
      </c>
      <c r="B802" s="7" t="s">
        <v>236</v>
      </c>
      <c r="C802" s="7" t="s">
        <v>237</v>
      </c>
      <c r="D802" s="7" t="s">
        <v>341</v>
      </c>
      <c r="E802" s="7" t="s">
        <v>239</v>
      </c>
      <c r="F802" s="7" t="s">
        <v>0</v>
      </c>
      <c r="G802" s="7" t="s">
        <v>343</v>
      </c>
      <c r="H802" s="15">
        <v>530.16999999999996</v>
      </c>
      <c r="I802" s="15">
        <v>179.62</v>
      </c>
      <c r="J802" s="7" t="str">
        <f>IFERROR(_xlfn.XLOOKUP(F802,ccustos!A:A,ccustos!B:B),"Sem termo")</f>
        <v>SEPAT</v>
      </c>
    </row>
    <row r="803" spans="1:10" ht="25.5" customHeight="1" x14ac:dyDescent="0.25">
      <c r="A803" s="16">
        <v>11166</v>
      </c>
      <c r="B803" s="17" t="s">
        <v>236</v>
      </c>
      <c r="C803" s="17" t="s">
        <v>306</v>
      </c>
      <c r="D803" s="17" t="s">
        <v>716</v>
      </c>
      <c r="E803" s="17" t="s">
        <v>239</v>
      </c>
      <c r="F803" s="17" t="s">
        <v>0</v>
      </c>
      <c r="G803" s="17" t="s">
        <v>717</v>
      </c>
      <c r="H803" s="18">
        <v>180</v>
      </c>
      <c r="I803" s="18">
        <v>164.93</v>
      </c>
      <c r="J803" s="7" t="str">
        <f>IFERROR(_xlfn.XLOOKUP(F803,ccustos!A:A,ccustos!B:B),"Sem termo")</f>
        <v>SEPAT</v>
      </c>
    </row>
    <row r="804" spans="1:10" ht="25.5" customHeight="1" x14ac:dyDescent="0.25">
      <c r="A804" s="14">
        <v>11167</v>
      </c>
      <c r="B804" s="7" t="s">
        <v>236</v>
      </c>
      <c r="C804" s="7" t="s">
        <v>241</v>
      </c>
      <c r="D804" s="7" t="s">
        <v>718</v>
      </c>
      <c r="E804" s="7" t="s">
        <v>239</v>
      </c>
      <c r="F804" s="7" t="s">
        <v>709</v>
      </c>
      <c r="G804" s="7" t="s">
        <v>719</v>
      </c>
      <c r="H804" s="15">
        <v>5850</v>
      </c>
      <c r="I804" s="15">
        <v>792.38</v>
      </c>
      <c r="J804" s="7" t="str">
        <f>IFERROR(_xlfn.XLOOKUP(F804,ccustos!A:A,ccustos!B:B),"Sem termo")</f>
        <v>Sem termo</v>
      </c>
    </row>
    <row r="805" spans="1:10" ht="25.5" customHeight="1" x14ac:dyDescent="0.25">
      <c r="A805" s="16">
        <v>11168</v>
      </c>
      <c r="B805" s="17" t="s">
        <v>236</v>
      </c>
      <c r="C805" s="17" t="s">
        <v>364</v>
      </c>
      <c r="D805" s="17" t="s">
        <v>720</v>
      </c>
      <c r="E805" s="17" t="s">
        <v>250</v>
      </c>
      <c r="F805" s="17" t="s">
        <v>192</v>
      </c>
      <c r="G805" s="17" t="s">
        <v>721</v>
      </c>
      <c r="H805" s="18">
        <v>2409.12</v>
      </c>
      <c r="I805" s="18">
        <v>596.03</v>
      </c>
      <c r="J805" s="7" t="str">
        <f>IFERROR(_xlfn.XLOOKUP(F805,ccustos!A:A,ccustos!B:B),"Sem termo")</f>
        <v>SEPAT</v>
      </c>
    </row>
    <row r="806" spans="1:10" ht="25.5" customHeight="1" x14ac:dyDescent="0.25">
      <c r="A806" s="14">
        <v>11170</v>
      </c>
      <c r="B806" s="7" t="s">
        <v>236</v>
      </c>
      <c r="C806" s="7" t="s">
        <v>306</v>
      </c>
      <c r="D806" s="7" t="s">
        <v>369</v>
      </c>
      <c r="E806" s="7" t="s">
        <v>239</v>
      </c>
      <c r="F806" s="7" t="s">
        <v>0</v>
      </c>
      <c r="G806" s="7" t="s">
        <v>289</v>
      </c>
      <c r="H806" s="15">
        <v>444.97</v>
      </c>
      <c r="I806" s="15">
        <v>195.89</v>
      </c>
      <c r="J806" s="7" t="str">
        <f>IFERROR(_xlfn.XLOOKUP(F806,ccustos!A:A,ccustos!B:B),"Sem termo")</f>
        <v>SEPAT</v>
      </c>
    </row>
    <row r="807" spans="1:10" ht="25.5" customHeight="1" x14ac:dyDescent="0.25">
      <c r="A807" s="16">
        <v>11172</v>
      </c>
      <c r="B807" s="17" t="s">
        <v>236</v>
      </c>
      <c r="C807" s="17" t="s">
        <v>306</v>
      </c>
      <c r="D807" s="17" t="s">
        <v>369</v>
      </c>
      <c r="E807" s="17" t="s">
        <v>239</v>
      </c>
      <c r="F807" s="17" t="s">
        <v>205</v>
      </c>
      <c r="G807" s="17" t="s">
        <v>289</v>
      </c>
      <c r="H807" s="18">
        <v>890.53</v>
      </c>
      <c r="I807" s="18">
        <v>195.89</v>
      </c>
      <c r="J807" s="7" t="str">
        <f>IFERROR(_xlfn.XLOOKUP(F807,ccustos!A:A,ccustos!B:B),"Sem termo")</f>
        <v>CCOM</v>
      </c>
    </row>
    <row r="808" spans="1:10" ht="25.5" customHeight="1" x14ac:dyDescent="0.25">
      <c r="A808" s="14">
        <v>11173</v>
      </c>
      <c r="B808" s="7" t="s">
        <v>236</v>
      </c>
      <c r="C808" s="7" t="s">
        <v>722</v>
      </c>
      <c r="D808" s="7" t="s">
        <v>723</v>
      </c>
      <c r="E808" s="7" t="s">
        <v>239</v>
      </c>
      <c r="F808" s="7" t="s">
        <v>37</v>
      </c>
      <c r="G808" s="7" t="s">
        <v>717</v>
      </c>
      <c r="H808" s="15">
        <v>262</v>
      </c>
      <c r="I808" s="15">
        <v>220.42</v>
      </c>
      <c r="J808" s="7" t="str">
        <f>IFERROR(_xlfn.XLOOKUP(F808,ccustos!A:A,ccustos!B:B),"Sem termo")</f>
        <v>PROJUR</v>
      </c>
    </row>
    <row r="809" spans="1:10" ht="36.75" customHeight="1" x14ac:dyDescent="0.25">
      <c r="A809" s="16">
        <v>11174</v>
      </c>
      <c r="B809" s="17" t="s">
        <v>236</v>
      </c>
      <c r="C809" s="17" t="s">
        <v>241</v>
      </c>
      <c r="D809" s="17" t="s">
        <v>547</v>
      </c>
      <c r="E809" s="17" t="s">
        <v>239</v>
      </c>
      <c r="F809" s="17" t="s">
        <v>37</v>
      </c>
      <c r="G809" s="17" t="s">
        <v>308</v>
      </c>
      <c r="H809" s="18">
        <v>820.23</v>
      </c>
      <c r="I809" s="18">
        <v>297.37</v>
      </c>
      <c r="J809" s="7" t="str">
        <f>IFERROR(_xlfn.XLOOKUP(F809,ccustos!A:A,ccustos!B:B),"Sem termo")</f>
        <v>PROJUR</v>
      </c>
    </row>
    <row r="810" spans="1:10" ht="36.75" customHeight="1" x14ac:dyDescent="0.25">
      <c r="A810" s="14">
        <v>11175</v>
      </c>
      <c r="B810" s="7" t="s">
        <v>236</v>
      </c>
      <c r="C810" s="7" t="s">
        <v>337</v>
      </c>
      <c r="D810" s="7" t="s">
        <v>376</v>
      </c>
      <c r="E810" s="7" t="s">
        <v>239</v>
      </c>
      <c r="F810" s="7" t="s">
        <v>47</v>
      </c>
      <c r="G810" s="7" t="s">
        <v>544</v>
      </c>
      <c r="H810" s="15">
        <v>0.05</v>
      </c>
      <c r="I810" s="15">
        <v>498</v>
      </c>
      <c r="J810" s="7" t="str">
        <f>IFERROR(_xlfn.XLOOKUP(F810,ccustos!A:A,ccustos!B:B),"Sem termo")</f>
        <v>CDPROF</v>
      </c>
    </row>
    <row r="811" spans="1:10" ht="36.75" customHeight="1" x14ac:dyDescent="0.25">
      <c r="A811" s="16">
        <v>11176</v>
      </c>
      <c r="B811" s="17" t="s">
        <v>236</v>
      </c>
      <c r="C811" s="17" t="s">
        <v>306</v>
      </c>
      <c r="D811" s="17" t="s">
        <v>462</v>
      </c>
      <c r="E811" s="17" t="s">
        <v>239</v>
      </c>
      <c r="F811" s="17" t="s">
        <v>205</v>
      </c>
      <c r="G811" s="17" t="s">
        <v>463</v>
      </c>
      <c r="H811" s="18">
        <v>322.56</v>
      </c>
      <c r="I811" s="18">
        <v>165.21</v>
      </c>
      <c r="J811" s="7" t="str">
        <f>IFERROR(_xlfn.XLOOKUP(F811,ccustos!A:A,ccustos!B:B),"Sem termo")</f>
        <v>CCOM</v>
      </c>
    </row>
    <row r="812" spans="1:10" ht="36.75" customHeight="1" x14ac:dyDescent="0.25">
      <c r="A812" s="14">
        <v>11179</v>
      </c>
      <c r="B812" s="7" t="s">
        <v>236</v>
      </c>
      <c r="C812" s="7" t="s">
        <v>237</v>
      </c>
      <c r="D812" s="7" t="s">
        <v>724</v>
      </c>
      <c r="E812" s="7" t="s">
        <v>239</v>
      </c>
      <c r="F812" s="7" t="s">
        <v>0</v>
      </c>
      <c r="G812" s="7" t="s">
        <v>725</v>
      </c>
      <c r="H812" s="15">
        <v>65</v>
      </c>
      <c r="I812" s="15">
        <v>149.01</v>
      </c>
      <c r="J812" s="7" t="str">
        <f>IFERROR(_xlfn.XLOOKUP(F812,ccustos!A:A,ccustos!B:B),"Sem termo")</f>
        <v>SEPAT</v>
      </c>
    </row>
    <row r="813" spans="1:10" ht="25.5" customHeight="1" x14ac:dyDescent="0.25">
      <c r="A813" s="16">
        <v>11181</v>
      </c>
      <c r="B813" s="17" t="s">
        <v>236</v>
      </c>
      <c r="C813" s="17" t="s">
        <v>333</v>
      </c>
      <c r="D813" s="17" t="s">
        <v>726</v>
      </c>
      <c r="E813" s="17" t="s">
        <v>335</v>
      </c>
      <c r="F813" s="17" t="s">
        <v>39</v>
      </c>
      <c r="G813" s="17" t="s">
        <v>348</v>
      </c>
      <c r="H813" s="18">
        <v>618.41999999999996</v>
      </c>
      <c r="I813" s="18">
        <v>58.27</v>
      </c>
      <c r="J813" s="7" t="str">
        <f>IFERROR(_xlfn.XLOOKUP(F813,ccustos!A:A,ccustos!B:B),"Sem termo")</f>
        <v>COREG</v>
      </c>
    </row>
    <row r="814" spans="1:10" ht="36.75" customHeight="1" x14ac:dyDescent="0.25">
      <c r="A814" s="14">
        <v>11183</v>
      </c>
      <c r="B814" s="7" t="s">
        <v>236</v>
      </c>
      <c r="C814" s="7" t="s">
        <v>337</v>
      </c>
      <c r="D814" s="7" t="s">
        <v>376</v>
      </c>
      <c r="E814" s="7" t="s">
        <v>239</v>
      </c>
      <c r="F814" s="7" t="s">
        <v>6</v>
      </c>
      <c r="G814" s="7" t="s">
        <v>339</v>
      </c>
      <c r="H814" s="15">
        <v>237</v>
      </c>
      <c r="I814" s="15">
        <v>213.43</v>
      </c>
      <c r="J814" s="7" t="str">
        <f>IFERROR(_xlfn.XLOOKUP(F814,ccustos!A:A,ccustos!B:B),"Sem termo")</f>
        <v>SEPAT</v>
      </c>
    </row>
    <row r="815" spans="1:10" ht="25.5" customHeight="1" x14ac:dyDescent="0.25">
      <c r="A815" s="16">
        <v>11184</v>
      </c>
      <c r="B815" s="17" t="s">
        <v>236</v>
      </c>
      <c r="C815" s="17" t="s">
        <v>237</v>
      </c>
      <c r="D815" s="17" t="s">
        <v>277</v>
      </c>
      <c r="E815" s="17" t="s">
        <v>239</v>
      </c>
      <c r="F815" s="17" t="s">
        <v>0</v>
      </c>
      <c r="G815" s="17" t="s">
        <v>278</v>
      </c>
      <c r="H815" s="18">
        <v>201.3</v>
      </c>
      <c r="I815" s="18">
        <v>173.7</v>
      </c>
      <c r="J815" s="7" t="str">
        <f>IFERROR(_xlfn.XLOOKUP(F815,ccustos!A:A,ccustos!B:B),"Sem termo")</f>
        <v>SEPAT</v>
      </c>
    </row>
    <row r="816" spans="1:10" ht="25.5" customHeight="1" x14ac:dyDescent="0.25">
      <c r="A816" s="14">
        <v>11186</v>
      </c>
      <c r="B816" s="7" t="s">
        <v>236</v>
      </c>
      <c r="C816" s="7" t="s">
        <v>333</v>
      </c>
      <c r="D816" s="7" t="s">
        <v>727</v>
      </c>
      <c r="E816" s="7" t="s">
        <v>335</v>
      </c>
      <c r="F816" s="7" t="s">
        <v>9</v>
      </c>
      <c r="G816" s="7" t="s">
        <v>348</v>
      </c>
      <c r="H816" s="15">
        <v>618.41999999999996</v>
      </c>
      <c r="I816" s="15">
        <v>138.76</v>
      </c>
      <c r="J816" s="7" t="str">
        <f>IFERROR(_xlfn.XLOOKUP(F816,ccustos!A:A,ccustos!B:B),"Sem termo")</f>
        <v>DEINFRA</v>
      </c>
    </row>
    <row r="817" spans="1:10" ht="25.5" customHeight="1" x14ac:dyDescent="0.25">
      <c r="A817" s="16">
        <v>11187</v>
      </c>
      <c r="B817" s="17" t="s">
        <v>236</v>
      </c>
      <c r="C817" s="17" t="s">
        <v>241</v>
      </c>
      <c r="D817" s="17" t="s">
        <v>728</v>
      </c>
      <c r="E817" s="17" t="s">
        <v>239</v>
      </c>
      <c r="F817" s="17" t="s">
        <v>54</v>
      </c>
      <c r="G817" s="17" t="s">
        <v>289</v>
      </c>
      <c r="H817" s="18">
        <v>695.75</v>
      </c>
      <c r="I817" s="18">
        <v>297.37</v>
      </c>
      <c r="J817" s="7" t="str">
        <f>IFERROR(_xlfn.XLOOKUP(F817,ccustos!A:A,ccustos!B:B),"Sem termo")</f>
        <v>DEFIN</v>
      </c>
    </row>
    <row r="818" spans="1:10" ht="25.5" customHeight="1" x14ac:dyDescent="0.25">
      <c r="A818" s="14">
        <v>11192</v>
      </c>
      <c r="B818" s="7" t="s">
        <v>236</v>
      </c>
      <c r="C818" s="7" t="s">
        <v>337</v>
      </c>
      <c r="D818" s="7" t="s">
        <v>338</v>
      </c>
      <c r="E818" s="7" t="s">
        <v>239</v>
      </c>
      <c r="F818" s="7" t="s">
        <v>205</v>
      </c>
      <c r="G818" s="7" t="s">
        <v>339</v>
      </c>
      <c r="H818" s="15">
        <v>237</v>
      </c>
      <c r="I818" s="15">
        <v>226.77</v>
      </c>
      <c r="J818" s="7" t="str">
        <f>IFERROR(_xlfn.XLOOKUP(F818,ccustos!A:A,ccustos!B:B),"Sem termo")</f>
        <v>CCOM</v>
      </c>
    </row>
    <row r="819" spans="1:10" ht="36.75" customHeight="1" x14ac:dyDescent="0.25">
      <c r="A819" s="16">
        <v>11193</v>
      </c>
      <c r="B819" s="17" t="s">
        <v>236</v>
      </c>
      <c r="C819" s="17" t="s">
        <v>306</v>
      </c>
      <c r="D819" s="17" t="s">
        <v>512</v>
      </c>
      <c r="E819" s="17" t="s">
        <v>239</v>
      </c>
      <c r="F819" s="17" t="s">
        <v>205</v>
      </c>
      <c r="G819" s="17" t="s">
        <v>339</v>
      </c>
      <c r="H819" s="18">
        <v>238.22</v>
      </c>
      <c r="I819" s="18">
        <v>185.02</v>
      </c>
      <c r="J819" s="7" t="str">
        <f>IFERROR(_xlfn.XLOOKUP(F819,ccustos!A:A,ccustos!B:B),"Sem termo")</f>
        <v>CCOM</v>
      </c>
    </row>
    <row r="820" spans="1:10" ht="25.5" customHeight="1" x14ac:dyDescent="0.25">
      <c r="A820" s="14">
        <v>11195</v>
      </c>
      <c r="B820" s="7" t="s">
        <v>236</v>
      </c>
      <c r="C820" s="7" t="s">
        <v>313</v>
      </c>
      <c r="D820" s="7" t="s">
        <v>729</v>
      </c>
      <c r="E820" s="7" t="s">
        <v>250</v>
      </c>
      <c r="F820" s="7" t="s">
        <v>205</v>
      </c>
      <c r="G820" s="7" t="s">
        <v>315</v>
      </c>
      <c r="H820" s="15">
        <v>620</v>
      </c>
      <c r="I820" s="15">
        <v>196.91</v>
      </c>
      <c r="J820" s="7" t="str">
        <f>IFERROR(_xlfn.XLOOKUP(F820,ccustos!A:A,ccustos!B:B),"Sem termo")</f>
        <v>CCOM</v>
      </c>
    </row>
    <row r="821" spans="1:10" ht="36.75" customHeight="1" x14ac:dyDescent="0.25">
      <c r="A821" s="16">
        <v>11197</v>
      </c>
      <c r="B821" s="17" t="s">
        <v>236</v>
      </c>
      <c r="C821" s="17" t="s">
        <v>237</v>
      </c>
      <c r="D821" s="17" t="s">
        <v>533</v>
      </c>
      <c r="E821" s="17" t="s">
        <v>239</v>
      </c>
      <c r="F821" s="17" t="s">
        <v>205</v>
      </c>
      <c r="G821" s="17" t="s">
        <v>343</v>
      </c>
      <c r="H821" s="18">
        <v>292.58</v>
      </c>
      <c r="I821" s="18">
        <v>156.83000000000001</v>
      </c>
      <c r="J821" s="7" t="str">
        <f>IFERROR(_xlfn.XLOOKUP(F821,ccustos!A:A,ccustos!B:B),"Sem termo")</f>
        <v>CCOM</v>
      </c>
    </row>
    <row r="822" spans="1:10" ht="25.5" customHeight="1" x14ac:dyDescent="0.25">
      <c r="A822" s="14">
        <v>11198</v>
      </c>
      <c r="B822" s="7" t="s">
        <v>236</v>
      </c>
      <c r="C822" s="7" t="s">
        <v>237</v>
      </c>
      <c r="D822" s="7" t="s">
        <v>302</v>
      </c>
      <c r="E822" s="7" t="s">
        <v>239</v>
      </c>
      <c r="F822" s="7" t="s">
        <v>185</v>
      </c>
      <c r="G822" s="7" t="s">
        <v>280</v>
      </c>
      <c r="H822" s="15">
        <v>310.77</v>
      </c>
      <c r="I822" s="15">
        <v>156.83000000000001</v>
      </c>
      <c r="J822" s="7" t="str">
        <f>IFERROR(_xlfn.XLOOKUP(F822,ccustos!A:A,ccustos!B:B),"Sem termo")</f>
        <v>CGGE</v>
      </c>
    </row>
    <row r="823" spans="1:10" ht="25.5" customHeight="1" x14ac:dyDescent="0.25">
      <c r="A823" s="16">
        <v>11199</v>
      </c>
      <c r="B823" s="17" t="s">
        <v>236</v>
      </c>
      <c r="C823" s="17" t="s">
        <v>237</v>
      </c>
      <c r="D823" s="17" t="s">
        <v>302</v>
      </c>
      <c r="E823" s="17" t="s">
        <v>239</v>
      </c>
      <c r="F823" s="17" t="s">
        <v>0</v>
      </c>
      <c r="G823" s="17" t="s">
        <v>343</v>
      </c>
      <c r="H823" s="18">
        <v>292.58</v>
      </c>
      <c r="I823" s="18">
        <v>156.83000000000001</v>
      </c>
      <c r="J823" s="7" t="str">
        <f>IFERROR(_xlfn.XLOOKUP(F823,ccustos!A:A,ccustos!B:B),"Sem termo")</f>
        <v>SEPAT</v>
      </c>
    </row>
    <row r="824" spans="1:10" ht="25.5" customHeight="1" x14ac:dyDescent="0.25">
      <c r="A824" s="14">
        <v>11203</v>
      </c>
      <c r="B824" s="7" t="s">
        <v>236</v>
      </c>
      <c r="C824" s="7" t="s">
        <v>237</v>
      </c>
      <c r="D824" s="7" t="s">
        <v>302</v>
      </c>
      <c r="E824" s="7" t="s">
        <v>239</v>
      </c>
      <c r="F824" s="7" t="s">
        <v>37</v>
      </c>
      <c r="G824" s="7" t="s">
        <v>343</v>
      </c>
      <c r="H824" s="15">
        <v>292.58</v>
      </c>
      <c r="I824" s="15">
        <v>149.01</v>
      </c>
      <c r="J824" s="7" t="str">
        <f>IFERROR(_xlfn.XLOOKUP(F824,ccustos!A:A,ccustos!B:B),"Sem termo")</f>
        <v>PROJUR</v>
      </c>
    </row>
    <row r="825" spans="1:10" ht="25.5" customHeight="1" x14ac:dyDescent="0.25">
      <c r="A825" s="16">
        <v>11204</v>
      </c>
      <c r="B825" s="17" t="s">
        <v>236</v>
      </c>
      <c r="C825" s="17" t="s">
        <v>237</v>
      </c>
      <c r="D825" s="17" t="s">
        <v>304</v>
      </c>
      <c r="E825" s="17" t="s">
        <v>239</v>
      </c>
      <c r="F825" s="17" t="s">
        <v>48</v>
      </c>
      <c r="G825" s="17" t="s">
        <v>305</v>
      </c>
      <c r="H825" s="18">
        <v>373.77</v>
      </c>
      <c r="I825" s="18">
        <v>149.01</v>
      </c>
      <c r="J825" s="7" t="str">
        <f>IFERROR(_xlfn.XLOOKUP(F825,ccustos!A:A,ccustos!B:B),"Sem termo")</f>
        <v>DEPES</v>
      </c>
    </row>
    <row r="826" spans="1:10" ht="25.5" customHeight="1" x14ac:dyDescent="0.25">
      <c r="A826" s="14">
        <v>11205</v>
      </c>
      <c r="B826" s="7" t="s">
        <v>236</v>
      </c>
      <c r="C826" s="7" t="s">
        <v>237</v>
      </c>
      <c r="D826" s="7" t="s">
        <v>730</v>
      </c>
      <c r="E826" s="7" t="s">
        <v>239</v>
      </c>
      <c r="F826" s="7" t="s">
        <v>70</v>
      </c>
      <c r="G826" s="7" t="s">
        <v>311</v>
      </c>
      <c r="H826" s="15">
        <v>1392.46</v>
      </c>
      <c r="I826" s="15">
        <v>407.16</v>
      </c>
      <c r="J826" s="7" t="str">
        <f>IFERROR(_xlfn.XLOOKUP(F826,ccustos!A:A,ccustos!B:B),"Sem termo")</f>
        <v>SEBIB</v>
      </c>
    </row>
    <row r="827" spans="1:10" ht="25.5" customHeight="1" x14ac:dyDescent="0.25">
      <c r="A827" s="16">
        <v>11208</v>
      </c>
      <c r="B827" s="17" t="s">
        <v>236</v>
      </c>
      <c r="C827" s="17" t="s">
        <v>241</v>
      </c>
      <c r="D827" s="17" t="s">
        <v>731</v>
      </c>
      <c r="E827" s="17" t="s">
        <v>239</v>
      </c>
      <c r="F827" s="17" t="s">
        <v>26</v>
      </c>
      <c r="G827" s="17" t="s">
        <v>331</v>
      </c>
      <c r="H827" s="18">
        <v>5357</v>
      </c>
      <c r="I827" s="18">
        <v>227.66</v>
      </c>
      <c r="J827" s="7" t="str">
        <f>IFERROR(_xlfn.XLOOKUP(F827,ccustos!A:A,ccustos!B:B),"Sem termo")</f>
        <v>COLOG</v>
      </c>
    </row>
    <row r="828" spans="1:10" ht="25.5" customHeight="1" x14ac:dyDescent="0.25">
      <c r="A828" s="14">
        <v>11212</v>
      </c>
      <c r="B828" s="7" t="s">
        <v>236</v>
      </c>
      <c r="C828" s="7" t="s">
        <v>241</v>
      </c>
      <c r="D828" s="7" t="s">
        <v>731</v>
      </c>
      <c r="E828" s="7" t="s">
        <v>239</v>
      </c>
      <c r="F828" s="7" t="s">
        <v>19</v>
      </c>
      <c r="G828" s="7" t="s">
        <v>458</v>
      </c>
      <c r="H828" s="15">
        <v>5775</v>
      </c>
      <c r="I828" s="15">
        <v>227.66</v>
      </c>
      <c r="J828" s="7" t="str">
        <f>IFERROR(_xlfn.XLOOKUP(F828,ccustos!A:A,ccustos!B:B),"Sem termo")</f>
        <v>SEGED</v>
      </c>
    </row>
    <row r="829" spans="1:10" ht="25.5" customHeight="1" x14ac:dyDescent="0.25">
      <c r="A829" s="16">
        <v>11213</v>
      </c>
      <c r="B829" s="17" t="s">
        <v>236</v>
      </c>
      <c r="C829" s="17" t="s">
        <v>732</v>
      </c>
      <c r="D829" s="17" t="s">
        <v>733</v>
      </c>
      <c r="E829" s="17" t="s">
        <v>734</v>
      </c>
      <c r="F829" s="17" t="s">
        <v>83</v>
      </c>
      <c r="G829" s="17" t="s">
        <v>735</v>
      </c>
      <c r="H829" s="18">
        <v>4233.93</v>
      </c>
      <c r="I829" s="18">
        <v>37960</v>
      </c>
      <c r="J829" s="7" t="str">
        <f>IFERROR(_xlfn.XLOOKUP(F829,ccustos!A:A,ccustos!B:B),"Sem termo")</f>
        <v>GABIN</v>
      </c>
    </row>
    <row r="830" spans="1:10" ht="25.5" customHeight="1" x14ac:dyDescent="0.25">
      <c r="A830" s="14">
        <v>11214</v>
      </c>
      <c r="B830" s="7" t="s">
        <v>236</v>
      </c>
      <c r="C830" s="7" t="s">
        <v>306</v>
      </c>
      <c r="D830" s="7" t="s">
        <v>673</v>
      </c>
      <c r="E830" s="7" t="s">
        <v>239</v>
      </c>
      <c r="F830" s="7" t="s">
        <v>26</v>
      </c>
      <c r="G830" s="7" t="s">
        <v>339</v>
      </c>
      <c r="H830" s="15">
        <v>238.22</v>
      </c>
      <c r="I830" s="15">
        <v>127.1</v>
      </c>
      <c r="J830" s="7" t="str">
        <f>IFERROR(_xlfn.XLOOKUP(F830,ccustos!A:A,ccustos!B:B),"Sem termo")</f>
        <v>COLOG</v>
      </c>
    </row>
    <row r="831" spans="1:10" ht="25.5" customHeight="1" x14ac:dyDescent="0.25">
      <c r="A831" s="16">
        <v>11217</v>
      </c>
      <c r="B831" s="17" t="s">
        <v>236</v>
      </c>
      <c r="C831" s="17" t="s">
        <v>237</v>
      </c>
      <c r="D831" s="17" t="s">
        <v>736</v>
      </c>
      <c r="E831" s="17" t="s">
        <v>239</v>
      </c>
      <c r="F831" s="17" t="s">
        <v>205</v>
      </c>
      <c r="G831" s="17" t="s">
        <v>243</v>
      </c>
      <c r="H831" s="18">
        <v>0.1</v>
      </c>
      <c r="I831" s="18">
        <v>521.1</v>
      </c>
      <c r="J831" s="7" t="str">
        <f>IFERROR(_xlfn.XLOOKUP(F831,ccustos!A:A,ccustos!B:B),"Sem termo")</f>
        <v>CCOM</v>
      </c>
    </row>
    <row r="832" spans="1:10" ht="25.5" customHeight="1" x14ac:dyDescent="0.25">
      <c r="A832" s="14">
        <v>11220</v>
      </c>
      <c r="B832" s="7" t="s">
        <v>236</v>
      </c>
      <c r="C832" s="7" t="s">
        <v>313</v>
      </c>
      <c r="D832" s="7" t="s">
        <v>737</v>
      </c>
      <c r="E832" s="7" t="s">
        <v>250</v>
      </c>
      <c r="F832" s="7" t="s">
        <v>70</v>
      </c>
      <c r="G832" s="7" t="s">
        <v>529</v>
      </c>
      <c r="H832" s="15">
        <v>585</v>
      </c>
      <c r="I832" s="15">
        <v>268.31</v>
      </c>
      <c r="J832" s="7" t="str">
        <f>IFERROR(_xlfn.XLOOKUP(F832,ccustos!A:A,ccustos!B:B),"Sem termo")</f>
        <v>SEBIB</v>
      </c>
    </row>
    <row r="833" spans="1:10" ht="25.5" customHeight="1" x14ac:dyDescent="0.25">
      <c r="A833" s="16">
        <v>11221</v>
      </c>
      <c r="B833" s="17" t="s">
        <v>236</v>
      </c>
      <c r="C833" s="17" t="s">
        <v>306</v>
      </c>
      <c r="D833" s="17" t="s">
        <v>307</v>
      </c>
      <c r="E833" s="17" t="s">
        <v>239</v>
      </c>
      <c r="F833" s="17" t="s">
        <v>48</v>
      </c>
      <c r="G833" s="17" t="s">
        <v>289</v>
      </c>
      <c r="H833" s="18">
        <v>287.67</v>
      </c>
      <c r="I833" s="18">
        <v>127.1</v>
      </c>
      <c r="J833" s="7" t="str">
        <f>IFERROR(_xlfn.XLOOKUP(F833,ccustos!A:A,ccustos!B:B),"Sem termo")</f>
        <v>DEPES</v>
      </c>
    </row>
    <row r="834" spans="1:10" ht="36.75" customHeight="1" x14ac:dyDescent="0.25">
      <c r="A834" s="14">
        <v>11222</v>
      </c>
      <c r="B834" s="7" t="s">
        <v>236</v>
      </c>
      <c r="C834" s="7" t="s">
        <v>306</v>
      </c>
      <c r="D834" s="7" t="s">
        <v>307</v>
      </c>
      <c r="E834" s="7" t="s">
        <v>239</v>
      </c>
      <c r="F834" s="7" t="s">
        <v>9</v>
      </c>
      <c r="G834" s="7" t="s">
        <v>289</v>
      </c>
      <c r="H834" s="15">
        <v>287.67</v>
      </c>
      <c r="I834" s="15">
        <v>127.1</v>
      </c>
      <c r="J834" s="7" t="str">
        <f>IFERROR(_xlfn.XLOOKUP(F834,ccustos!A:A,ccustos!B:B),"Sem termo")</f>
        <v>DEINFRA</v>
      </c>
    </row>
    <row r="835" spans="1:10" ht="36.75" customHeight="1" x14ac:dyDescent="0.25">
      <c r="A835" s="16">
        <v>11223</v>
      </c>
      <c r="B835" s="17" t="s">
        <v>236</v>
      </c>
      <c r="C835" s="17" t="s">
        <v>241</v>
      </c>
      <c r="D835" s="17" t="s">
        <v>596</v>
      </c>
      <c r="E835" s="17" t="s">
        <v>239</v>
      </c>
      <c r="F835" s="17" t="s">
        <v>60</v>
      </c>
      <c r="G835" s="17" t="s">
        <v>289</v>
      </c>
      <c r="H835" s="18">
        <v>695.75</v>
      </c>
      <c r="I835" s="18">
        <v>238.81</v>
      </c>
      <c r="J835" s="7" t="str">
        <f>IFERROR(_xlfn.XLOOKUP(F835,ccustos!A:A,ccustos!B:B),"Sem termo")</f>
        <v>DEGEP</v>
      </c>
    </row>
    <row r="836" spans="1:10" ht="36.75" customHeight="1" x14ac:dyDescent="0.25">
      <c r="A836" s="14">
        <v>11225</v>
      </c>
      <c r="B836" s="7" t="s">
        <v>236</v>
      </c>
      <c r="C836" s="7" t="s">
        <v>237</v>
      </c>
      <c r="D836" s="7" t="s">
        <v>738</v>
      </c>
      <c r="E836" s="7" t="s">
        <v>239</v>
      </c>
      <c r="F836" s="7" t="s">
        <v>74</v>
      </c>
      <c r="G836" s="7" t="s">
        <v>246</v>
      </c>
      <c r="H836" s="15">
        <v>49.5</v>
      </c>
      <c r="I836" s="15">
        <v>149.01</v>
      </c>
      <c r="J836" s="7" t="str">
        <f>IFERROR(_xlfn.XLOOKUP(F836,ccustos!A:A,ccustos!B:B),"Sem termo")</f>
        <v>DEINFRA</v>
      </c>
    </row>
    <row r="837" spans="1:10" ht="25.5" customHeight="1" x14ac:dyDescent="0.25">
      <c r="A837" s="16">
        <v>11226</v>
      </c>
      <c r="B837" s="17" t="s">
        <v>236</v>
      </c>
      <c r="C837" s="17" t="s">
        <v>306</v>
      </c>
      <c r="D837" s="17" t="s">
        <v>462</v>
      </c>
      <c r="E837" s="17" t="s">
        <v>239</v>
      </c>
      <c r="F837" s="17" t="s">
        <v>55</v>
      </c>
      <c r="G837" s="17" t="s">
        <v>463</v>
      </c>
      <c r="H837" s="18">
        <v>322.56</v>
      </c>
      <c r="I837" s="18">
        <v>127.1</v>
      </c>
      <c r="J837" s="7" t="str">
        <f>IFERROR(_xlfn.XLOOKUP(F837,ccustos!A:A,ccustos!B:B),"Sem termo")</f>
        <v>DEPAD</v>
      </c>
    </row>
    <row r="838" spans="1:10" ht="25.5" customHeight="1" x14ac:dyDescent="0.25">
      <c r="A838" s="14">
        <v>11227</v>
      </c>
      <c r="B838" s="7" t="s">
        <v>236</v>
      </c>
      <c r="C838" s="7" t="s">
        <v>306</v>
      </c>
      <c r="D838" s="7" t="s">
        <v>462</v>
      </c>
      <c r="E838" s="7" t="s">
        <v>239</v>
      </c>
      <c r="F838" s="7" t="s">
        <v>28</v>
      </c>
      <c r="G838" s="7" t="s">
        <v>331</v>
      </c>
      <c r="H838" s="15">
        <v>339</v>
      </c>
      <c r="I838" s="15">
        <v>142.58000000000001</v>
      </c>
      <c r="J838" s="7" t="str">
        <f>IFERROR(_xlfn.XLOOKUP(F838,ccustos!A:A,ccustos!B:B),"Sem termo")</f>
        <v>COPI</v>
      </c>
    </row>
    <row r="839" spans="1:10" ht="25.5" customHeight="1" x14ac:dyDescent="0.25">
      <c r="A839" s="16">
        <v>11228</v>
      </c>
      <c r="B839" s="17" t="s">
        <v>236</v>
      </c>
      <c r="C839" s="17" t="s">
        <v>306</v>
      </c>
      <c r="D839" s="17" t="s">
        <v>307</v>
      </c>
      <c r="E839" s="17" t="s">
        <v>239</v>
      </c>
      <c r="F839" s="17" t="s">
        <v>55</v>
      </c>
      <c r="G839" s="17" t="s">
        <v>289</v>
      </c>
      <c r="H839" s="18">
        <v>287.67</v>
      </c>
      <c r="I839" s="18">
        <v>127.1</v>
      </c>
      <c r="J839" s="7" t="str">
        <f>IFERROR(_xlfn.XLOOKUP(F839,ccustos!A:A,ccustos!B:B),"Sem termo")</f>
        <v>DEPAD</v>
      </c>
    </row>
    <row r="840" spans="1:10" ht="36.75" customHeight="1" x14ac:dyDescent="0.25">
      <c r="A840" s="14">
        <v>11232</v>
      </c>
      <c r="B840" s="7" t="s">
        <v>236</v>
      </c>
      <c r="C840" s="7" t="s">
        <v>306</v>
      </c>
      <c r="D840" s="7" t="s">
        <v>739</v>
      </c>
      <c r="E840" s="7" t="s">
        <v>239</v>
      </c>
      <c r="F840" s="7" t="s">
        <v>70</v>
      </c>
      <c r="G840" s="7" t="s">
        <v>324</v>
      </c>
      <c r="H840" s="15">
        <v>2892.36</v>
      </c>
      <c r="I840" s="15">
        <v>1401.07</v>
      </c>
      <c r="J840" s="7" t="str">
        <f>IFERROR(_xlfn.XLOOKUP(F840,ccustos!A:A,ccustos!B:B),"Sem termo")</f>
        <v>SEBIB</v>
      </c>
    </row>
    <row r="841" spans="1:10" ht="36.75" customHeight="1" x14ac:dyDescent="0.25">
      <c r="A841" s="16">
        <v>11233</v>
      </c>
      <c r="B841" s="17" t="s">
        <v>236</v>
      </c>
      <c r="C841" s="17" t="s">
        <v>337</v>
      </c>
      <c r="D841" s="17" t="s">
        <v>740</v>
      </c>
      <c r="E841" s="17" t="s">
        <v>239</v>
      </c>
      <c r="F841" s="17" t="s">
        <v>70</v>
      </c>
      <c r="G841" s="17" t="s">
        <v>324</v>
      </c>
      <c r="H841" s="18">
        <v>1945.95</v>
      </c>
      <c r="I841" s="18">
        <v>569.14</v>
      </c>
      <c r="J841" s="7" t="str">
        <f>IFERROR(_xlfn.XLOOKUP(F841,ccustos!A:A,ccustos!B:B),"Sem termo")</f>
        <v>SEBIB</v>
      </c>
    </row>
    <row r="842" spans="1:10" ht="36.75" customHeight="1" x14ac:dyDescent="0.25">
      <c r="A842" s="14">
        <v>11234</v>
      </c>
      <c r="B842" s="7" t="s">
        <v>236</v>
      </c>
      <c r="C842" s="7" t="s">
        <v>337</v>
      </c>
      <c r="D842" s="7" t="s">
        <v>740</v>
      </c>
      <c r="E842" s="7" t="s">
        <v>239</v>
      </c>
      <c r="F842" s="7" t="s">
        <v>70</v>
      </c>
      <c r="G842" s="7" t="s">
        <v>741</v>
      </c>
      <c r="H842" s="15">
        <v>1945.95</v>
      </c>
      <c r="I842" s="15">
        <v>569.14</v>
      </c>
      <c r="J842" s="7" t="str">
        <f>IFERROR(_xlfn.XLOOKUP(F842,ccustos!A:A,ccustos!B:B),"Sem termo")</f>
        <v>SEBIB</v>
      </c>
    </row>
    <row r="843" spans="1:10" ht="25.5" customHeight="1" x14ac:dyDescent="0.25">
      <c r="A843" s="16">
        <v>11235</v>
      </c>
      <c r="B843" s="17" t="s">
        <v>236</v>
      </c>
      <c r="C843" s="17" t="s">
        <v>337</v>
      </c>
      <c r="D843" s="17" t="s">
        <v>740</v>
      </c>
      <c r="E843" s="17" t="s">
        <v>239</v>
      </c>
      <c r="F843" s="17" t="s">
        <v>70</v>
      </c>
      <c r="G843" s="17" t="s">
        <v>741</v>
      </c>
      <c r="H843" s="18">
        <v>1945.95</v>
      </c>
      <c r="I843" s="18">
        <v>569.14</v>
      </c>
      <c r="J843" s="7" t="str">
        <f>IFERROR(_xlfn.XLOOKUP(F843,ccustos!A:A,ccustos!B:B),"Sem termo")</f>
        <v>SEBIB</v>
      </c>
    </row>
    <row r="844" spans="1:10" ht="36.75" customHeight="1" x14ac:dyDescent="0.25">
      <c r="A844" s="14">
        <v>11236</v>
      </c>
      <c r="B844" s="7" t="s">
        <v>236</v>
      </c>
      <c r="C844" s="7" t="s">
        <v>337</v>
      </c>
      <c r="D844" s="7" t="s">
        <v>740</v>
      </c>
      <c r="E844" s="7" t="s">
        <v>239</v>
      </c>
      <c r="F844" s="7" t="s">
        <v>70</v>
      </c>
      <c r="G844" s="7" t="s">
        <v>409</v>
      </c>
      <c r="H844" s="15">
        <v>333</v>
      </c>
      <c r="I844" s="15">
        <v>498</v>
      </c>
      <c r="J844" s="7" t="str">
        <f>IFERROR(_xlfn.XLOOKUP(F844,ccustos!A:A,ccustos!B:B),"Sem termo")</f>
        <v>SEBIB</v>
      </c>
    </row>
    <row r="845" spans="1:10" ht="36.75" customHeight="1" x14ac:dyDescent="0.25">
      <c r="A845" s="16">
        <v>11237</v>
      </c>
      <c r="B845" s="17" t="s">
        <v>236</v>
      </c>
      <c r="C845" s="17" t="s">
        <v>337</v>
      </c>
      <c r="D845" s="17" t="s">
        <v>740</v>
      </c>
      <c r="E845" s="17" t="s">
        <v>239</v>
      </c>
      <c r="F845" s="17" t="s">
        <v>70</v>
      </c>
      <c r="G845" s="17" t="s">
        <v>324</v>
      </c>
      <c r="H845" s="18">
        <v>1945.95</v>
      </c>
      <c r="I845" s="18">
        <v>569.14</v>
      </c>
      <c r="J845" s="7" t="str">
        <f>IFERROR(_xlfn.XLOOKUP(F845,ccustos!A:A,ccustos!B:B),"Sem termo")</f>
        <v>SEBIB</v>
      </c>
    </row>
    <row r="846" spans="1:10" ht="36.75" customHeight="1" x14ac:dyDescent="0.25">
      <c r="A846" s="14">
        <v>11242</v>
      </c>
      <c r="B846" s="7" t="s">
        <v>236</v>
      </c>
      <c r="C846" s="7" t="s">
        <v>320</v>
      </c>
      <c r="D846" s="7" t="s">
        <v>742</v>
      </c>
      <c r="E846" s="7" t="s">
        <v>250</v>
      </c>
      <c r="F846" s="7" t="s">
        <v>8</v>
      </c>
      <c r="G846" s="7" t="s">
        <v>409</v>
      </c>
      <c r="H846" s="15">
        <v>1050</v>
      </c>
      <c r="I846" s="15">
        <v>634.94000000000005</v>
      </c>
      <c r="J846" s="7" t="str">
        <f>IFERROR(_xlfn.XLOOKUP(F846,ccustos!A:A,ccustos!B:B),"Sem termo")</f>
        <v>DEINFRA</v>
      </c>
    </row>
    <row r="847" spans="1:10" ht="36.75" customHeight="1" x14ac:dyDescent="0.25">
      <c r="A847" s="16">
        <v>11244</v>
      </c>
      <c r="B847" s="17" t="s">
        <v>236</v>
      </c>
      <c r="C847" s="17" t="s">
        <v>320</v>
      </c>
      <c r="D847" s="17" t="s">
        <v>743</v>
      </c>
      <c r="E847" s="17" t="s">
        <v>250</v>
      </c>
      <c r="F847" s="17" t="s">
        <v>62</v>
      </c>
      <c r="G847" s="17" t="s">
        <v>409</v>
      </c>
      <c r="H847" s="18">
        <v>1050</v>
      </c>
      <c r="I847" s="18">
        <v>634.94000000000005</v>
      </c>
      <c r="J847" s="7" t="str">
        <f>IFERROR(_xlfn.XLOOKUP(F847,ccustos!A:A,ccustos!B:B),"Sem termo")</f>
        <v>SETRAN</v>
      </c>
    </row>
    <row r="848" spans="1:10" ht="36.75" customHeight="1" x14ac:dyDescent="0.25">
      <c r="A848" s="14">
        <v>11245</v>
      </c>
      <c r="B848" s="7" t="s">
        <v>236</v>
      </c>
      <c r="C848" s="7" t="s">
        <v>237</v>
      </c>
      <c r="D848" s="7" t="s">
        <v>730</v>
      </c>
      <c r="E848" s="7" t="s">
        <v>239</v>
      </c>
      <c r="F848" s="7" t="s">
        <v>70</v>
      </c>
      <c r="G848" s="7" t="s">
        <v>311</v>
      </c>
      <c r="H848" s="15">
        <v>1392.46</v>
      </c>
      <c r="I848" s="15">
        <v>407.16</v>
      </c>
      <c r="J848" s="7" t="str">
        <f>IFERROR(_xlfn.XLOOKUP(F848,ccustos!A:A,ccustos!B:B),"Sem termo")</f>
        <v>SEBIB</v>
      </c>
    </row>
    <row r="849" spans="1:10" ht="36.75" customHeight="1" x14ac:dyDescent="0.25">
      <c r="A849" s="16">
        <v>11246</v>
      </c>
      <c r="B849" s="17" t="s">
        <v>236</v>
      </c>
      <c r="C849" s="17" t="s">
        <v>237</v>
      </c>
      <c r="D849" s="17" t="s">
        <v>730</v>
      </c>
      <c r="E849" s="17" t="s">
        <v>239</v>
      </c>
      <c r="F849" s="17" t="s">
        <v>70</v>
      </c>
      <c r="G849" s="17" t="s">
        <v>311</v>
      </c>
      <c r="H849" s="18">
        <v>1392.46</v>
      </c>
      <c r="I849" s="18">
        <v>407.16</v>
      </c>
      <c r="J849" s="7" t="str">
        <f>IFERROR(_xlfn.XLOOKUP(F849,ccustos!A:A,ccustos!B:B),"Sem termo")</f>
        <v>SEBIB</v>
      </c>
    </row>
    <row r="850" spans="1:10" ht="25.5" customHeight="1" x14ac:dyDescent="0.25">
      <c r="A850" s="14">
        <v>11247</v>
      </c>
      <c r="B850" s="7" t="s">
        <v>236</v>
      </c>
      <c r="C850" s="7" t="s">
        <v>237</v>
      </c>
      <c r="D850" s="7" t="s">
        <v>730</v>
      </c>
      <c r="E850" s="7" t="s">
        <v>239</v>
      </c>
      <c r="F850" s="7" t="s">
        <v>70</v>
      </c>
      <c r="G850" s="7" t="s">
        <v>311</v>
      </c>
      <c r="H850" s="15">
        <v>1392.46</v>
      </c>
      <c r="I850" s="15">
        <v>407.16</v>
      </c>
      <c r="J850" s="7" t="str">
        <f>IFERROR(_xlfn.XLOOKUP(F850,ccustos!A:A,ccustos!B:B),"Sem termo")</f>
        <v>SEBIB</v>
      </c>
    </row>
    <row r="851" spans="1:10" ht="25.5" customHeight="1" x14ac:dyDescent="0.25">
      <c r="A851" s="16">
        <v>11250</v>
      </c>
      <c r="B851" s="17" t="s">
        <v>236</v>
      </c>
      <c r="C851" s="17" t="s">
        <v>237</v>
      </c>
      <c r="D851" s="17" t="s">
        <v>730</v>
      </c>
      <c r="E851" s="17" t="s">
        <v>239</v>
      </c>
      <c r="F851" s="17" t="s">
        <v>70</v>
      </c>
      <c r="G851" s="17" t="s">
        <v>311</v>
      </c>
      <c r="H851" s="18">
        <v>1392.46</v>
      </c>
      <c r="I851" s="18">
        <v>660.15</v>
      </c>
      <c r="J851" s="7" t="str">
        <f>IFERROR(_xlfn.XLOOKUP(F851,ccustos!A:A,ccustos!B:B),"Sem termo")</f>
        <v>SEBIB</v>
      </c>
    </row>
    <row r="852" spans="1:10" ht="36.75" customHeight="1" x14ac:dyDescent="0.25">
      <c r="A852" s="14">
        <v>11251</v>
      </c>
      <c r="B852" s="7" t="s">
        <v>236</v>
      </c>
      <c r="C852" s="7" t="s">
        <v>237</v>
      </c>
      <c r="D852" s="7" t="s">
        <v>730</v>
      </c>
      <c r="E852" s="7" t="s">
        <v>239</v>
      </c>
      <c r="F852" s="7" t="s">
        <v>70</v>
      </c>
      <c r="G852" s="7" t="s">
        <v>311</v>
      </c>
      <c r="H852" s="15">
        <v>1392.46</v>
      </c>
      <c r="I852" s="15">
        <v>407.16</v>
      </c>
      <c r="J852" s="7" t="str">
        <f>IFERROR(_xlfn.XLOOKUP(F852,ccustos!A:A,ccustos!B:B),"Sem termo")</f>
        <v>SEBIB</v>
      </c>
    </row>
    <row r="853" spans="1:10" ht="25.5" customHeight="1" x14ac:dyDescent="0.25">
      <c r="A853" s="16">
        <v>11252</v>
      </c>
      <c r="B853" s="17" t="s">
        <v>236</v>
      </c>
      <c r="C853" s="17" t="s">
        <v>237</v>
      </c>
      <c r="D853" s="17" t="s">
        <v>730</v>
      </c>
      <c r="E853" s="17" t="s">
        <v>239</v>
      </c>
      <c r="F853" s="17" t="s">
        <v>70</v>
      </c>
      <c r="G853" s="17" t="s">
        <v>311</v>
      </c>
      <c r="H853" s="18">
        <v>1392.46</v>
      </c>
      <c r="I853" s="18">
        <v>407.16</v>
      </c>
      <c r="J853" s="7" t="str">
        <f>IFERROR(_xlfn.XLOOKUP(F853,ccustos!A:A,ccustos!B:B),"Sem termo")</f>
        <v>SEBIB</v>
      </c>
    </row>
    <row r="854" spans="1:10" ht="36.75" customHeight="1" x14ac:dyDescent="0.25">
      <c r="A854" s="14">
        <v>11253</v>
      </c>
      <c r="B854" s="7" t="s">
        <v>236</v>
      </c>
      <c r="C854" s="7" t="s">
        <v>237</v>
      </c>
      <c r="D854" s="7" t="s">
        <v>730</v>
      </c>
      <c r="E854" s="7" t="s">
        <v>239</v>
      </c>
      <c r="F854" s="7" t="s">
        <v>70</v>
      </c>
      <c r="G854" s="7" t="s">
        <v>311</v>
      </c>
      <c r="H854" s="15">
        <v>1392.46</v>
      </c>
      <c r="I854" s="15">
        <v>407.16</v>
      </c>
      <c r="J854" s="7" t="str">
        <f>IFERROR(_xlfn.XLOOKUP(F854,ccustos!A:A,ccustos!B:B),"Sem termo")</f>
        <v>SEBIB</v>
      </c>
    </row>
    <row r="855" spans="1:10" ht="25.5" customHeight="1" x14ac:dyDescent="0.25">
      <c r="A855" s="16">
        <v>11254</v>
      </c>
      <c r="B855" s="17" t="s">
        <v>236</v>
      </c>
      <c r="C855" s="17" t="s">
        <v>237</v>
      </c>
      <c r="D855" s="17" t="s">
        <v>730</v>
      </c>
      <c r="E855" s="17" t="s">
        <v>239</v>
      </c>
      <c r="F855" s="17" t="s">
        <v>70</v>
      </c>
      <c r="G855" s="17" t="s">
        <v>311</v>
      </c>
      <c r="H855" s="18">
        <v>1392.46</v>
      </c>
      <c r="I855" s="18">
        <v>724.91</v>
      </c>
      <c r="J855" s="7" t="str">
        <f>IFERROR(_xlfn.XLOOKUP(F855,ccustos!A:A,ccustos!B:B),"Sem termo")</f>
        <v>SEBIB</v>
      </c>
    </row>
    <row r="856" spans="1:10" ht="25.5" customHeight="1" x14ac:dyDescent="0.25">
      <c r="A856" s="14">
        <v>11255</v>
      </c>
      <c r="B856" s="7" t="s">
        <v>236</v>
      </c>
      <c r="C856" s="7" t="s">
        <v>237</v>
      </c>
      <c r="D856" s="7" t="s">
        <v>730</v>
      </c>
      <c r="E856" s="7" t="s">
        <v>239</v>
      </c>
      <c r="F856" s="7" t="s">
        <v>70</v>
      </c>
      <c r="G856" s="7" t="s">
        <v>311</v>
      </c>
      <c r="H856" s="15">
        <v>1392.46</v>
      </c>
      <c r="I856" s="15">
        <v>407.16</v>
      </c>
      <c r="J856" s="7" t="str">
        <f>IFERROR(_xlfn.XLOOKUP(F856,ccustos!A:A,ccustos!B:B),"Sem termo")</f>
        <v>SEBIB</v>
      </c>
    </row>
    <row r="857" spans="1:10" ht="25.5" customHeight="1" x14ac:dyDescent="0.25">
      <c r="A857" s="16">
        <v>11256</v>
      </c>
      <c r="B857" s="17" t="s">
        <v>236</v>
      </c>
      <c r="C857" s="17" t="s">
        <v>237</v>
      </c>
      <c r="D857" s="17" t="s">
        <v>730</v>
      </c>
      <c r="E857" s="17" t="s">
        <v>239</v>
      </c>
      <c r="F857" s="17" t="s">
        <v>70</v>
      </c>
      <c r="G857" s="17" t="s">
        <v>311</v>
      </c>
      <c r="H857" s="18">
        <v>1392.46</v>
      </c>
      <c r="I857" s="18">
        <v>407.16</v>
      </c>
      <c r="J857" s="7" t="str">
        <f>IFERROR(_xlfn.XLOOKUP(F857,ccustos!A:A,ccustos!B:B),"Sem termo")</f>
        <v>SEBIB</v>
      </c>
    </row>
    <row r="858" spans="1:10" ht="25.5" customHeight="1" x14ac:dyDescent="0.25">
      <c r="A858" s="14">
        <v>11257</v>
      </c>
      <c r="B858" s="7" t="s">
        <v>236</v>
      </c>
      <c r="C858" s="7" t="s">
        <v>237</v>
      </c>
      <c r="D858" s="7" t="s">
        <v>730</v>
      </c>
      <c r="E858" s="7" t="s">
        <v>239</v>
      </c>
      <c r="F858" s="7" t="s">
        <v>70</v>
      </c>
      <c r="G858" s="7" t="s">
        <v>311</v>
      </c>
      <c r="H858" s="15">
        <v>1392.46</v>
      </c>
      <c r="I858" s="15">
        <v>407.16</v>
      </c>
      <c r="J858" s="7" t="str">
        <f>IFERROR(_xlfn.XLOOKUP(F858,ccustos!A:A,ccustos!B:B),"Sem termo")</f>
        <v>SEBIB</v>
      </c>
    </row>
    <row r="859" spans="1:10" ht="25.5" customHeight="1" x14ac:dyDescent="0.25">
      <c r="A859" s="16">
        <v>11258</v>
      </c>
      <c r="B859" s="17" t="s">
        <v>236</v>
      </c>
      <c r="C859" s="17" t="s">
        <v>237</v>
      </c>
      <c r="D859" s="17" t="s">
        <v>730</v>
      </c>
      <c r="E859" s="17" t="s">
        <v>239</v>
      </c>
      <c r="F859" s="17" t="s">
        <v>70</v>
      </c>
      <c r="G859" s="17" t="s">
        <v>311</v>
      </c>
      <c r="H859" s="18">
        <v>1392.46</v>
      </c>
      <c r="I859" s="18">
        <v>407.16</v>
      </c>
      <c r="J859" s="7" t="str">
        <f>IFERROR(_xlfn.XLOOKUP(F859,ccustos!A:A,ccustos!B:B),"Sem termo")</f>
        <v>SEBIB</v>
      </c>
    </row>
    <row r="860" spans="1:10" ht="25.5" customHeight="1" x14ac:dyDescent="0.25">
      <c r="A860" s="14">
        <v>11259</v>
      </c>
      <c r="B860" s="7" t="s">
        <v>236</v>
      </c>
      <c r="C860" s="7" t="s">
        <v>237</v>
      </c>
      <c r="D860" s="7" t="s">
        <v>730</v>
      </c>
      <c r="E860" s="7" t="s">
        <v>239</v>
      </c>
      <c r="F860" s="7" t="s">
        <v>70</v>
      </c>
      <c r="G860" s="7" t="s">
        <v>311</v>
      </c>
      <c r="H860" s="15">
        <v>1392.46</v>
      </c>
      <c r="I860" s="15">
        <v>407.16</v>
      </c>
      <c r="J860" s="7" t="str">
        <f>IFERROR(_xlfn.XLOOKUP(F860,ccustos!A:A,ccustos!B:B),"Sem termo")</f>
        <v>SEBIB</v>
      </c>
    </row>
    <row r="861" spans="1:10" ht="36.75" customHeight="1" x14ac:dyDescent="0.25">
      <c r="A861" s="16">
        <v>11260</v>
      </c>
      <c r="B861" s="17" t="s">
        <v>236</v>
      </c>
      <c r="C861" s="17" t="s">
        <v>237</v>
      </c>
      <c r="D861" s="17" t="s">
        <v>730</v>
      </c>
      <c r="E861" s="17" t="s">
        <v>239</v>
      </c>
      <c r="F861" s="17" t="s">
        <v>70</v>
      </c>
      <c r="G861" s="17" t="s">
        <v>311</v>
      </c>
      <c r="H861" s="18">
        <v>1392.46</v>
      </c>
      <c r="I861" s="18">
        <v>407.16</v>
      </c>
      <c r="J861" s="7" t="str">
        <f>IFERROR(_xlfn.XLOOKUP(F861,ccustos!A:A,ccustos!B:B),"Sem termo")</f>
        <v>SEBIB</v>
      </c>
    </row>
    <row r="862" spans="1:10" ht="25.5" customHeight="1" x14ac:dyDescent="0.25">
      <c r="A862" s="14">
        <v>11261</v>
      </c>
      <c r="B862" s="7" t="s">
        <v>236</v>
      </c>
      <c r="C862" s="7" t="s">
        <v>237</v>
      </c>
      <c r="D862" s="7" t="s">
        <v>730</v>
      </c>
      <c r="E862" s="7" t="s">
        <v>239</v>
      </c>
      <c r="F862" s="7" t="s">
        <v>70</v>
      </c>
      <c r="G862" s="7" t="s">
        <v>311</v>
      </c>
      <c r="H862" s="15">
        <v>1392.46</v>
      </c>
      <c r="I862" s="15">
        <v>407.16</v>
      </c>
      <c r="J862" s="7" t="str">
        <f>IFERROR(_xlfn.XLOOKUP(F862,ccustos!A:A,ccustos!B:B),"Sem termo")</f>
        <v>SEBIB</v>
      </c>
    </row>
    <row r="863" spans="1:10" ht="25.5" customHeight="1" x14ac:dyDescent="0.25">
      <c r="A863" s="16">
        <v>11262</v>
      </c>
      <c r="B863" s="17" t="s">
        <v>236</v>
      </c>
      <c r="C863" s="17" t="s">
        <v>237</v>
      </c>
      <c r="D863" s="17" t="s">
        <v>730</v>
      </c>
      <c r="E863" s="17" t="s">
        <v>239</v>
      </c>
      <c r="F863" s="17" t="s">
        <v>70</v>
      </c>
      <c r="G863" s="17" t="s">
        <v>311</v>
      </c>
      <c r="H863" s="18">
        <v>1392.46</v>
      </c>
      <c r="I863" s="18">
        <v>407.16</v>
      </c>
      <c r="J863" s="7" t="str">
        <f>IFERROR(_xlfn.XLOOKUP(F863,ccustos!A:A,ccustos!B:B),"Sem termo")</f>
        <v>SEBIB</v>
      </c>
    </row>
    <row r="864" spans="1:10" ht="25.5" customHeight="1" x14ac:dyDescent="0.25">
      <c r="A864" s="14">
        <v>11263</v>
      </c>
      <c r="B864" s="7" t="s">
        <v>236</v>
      </c>
      <c r="C864" s="7" t="s">
        <v>237</v>
      </c>
      <c r="D864" s="7" t="s">
        <v>730</v>
      </c>
      <c r="E864" s="7" t="s">
        <v>239</v>
      </c>
      <c r="F864" s="7" t="s">
        <v>70</v>
      </c>
      <c r="G864" s="7" t="s">
        <v>311</v>
      </c>
      <c r="H864" s="15">
        <v>1392.46</v>
      </c>
      <c r="I864" s="15">
        <v>407.16</v>
      </c>
      <c r="J864" s="7" t="str">
        <f>IFERROR(_xlfn.XLOOKUP(F864,ccustos!A:A,ccustos!B:B),"Sem termo")</f>
        <v>SEBIB</v>
      </c>
    </row>
    <row r="865" spans="1:10" ht="25.5" customHeight="1" x14ac:dyDescent="0.25">
      <c r="A865" s="16">
        <v>11264</v>
      </c>
      <c r="B865" s="17" t="s">
        <v>236</v>
      </c>
      <c r="C865" s="17" t="s">
        <v>237</v>
      </c>
      <c r="D865" s="17" t="s">
        <v>730</v>
      </c>
      <c r="E865" s="17" t="s">
        <v>239</v>
      </c>
      <c r="F865" s="17" t="s">
        <v>70</v>
      </c>
      <c r="G865" s="17" t="s">
        <v>311</v>
      </c>
      <c r="H865" s="18">
        <v>1392.46</v>
      </c>
      <c r="I865" s="18">
        <v>407.16</v>
      </c>
      <c r="J865" s="7" t="str">
        <f>IFERROR(_xlfn.XLOOKUP(F865,ccustos!A:A,ccustos!B:B),"Sem termo")</f>
        <v>SEBIB</v>
      </c>
    </row>
    <row r="866" spans="1:10" ht="36.75" customHeight="1" x14ac:dyDescent="0.25">
      <c r="A866" s="14">
        <v>11265</v>
      </c>
      <c r="B866" s="7" t="s">
        <v>236</v>
      </c>
      <c r="C866" s="7" t="s">
        <v>237</v>
      </c>
      <c r="D866" s="7" t="s">
        <v>730</v>
      </c>
      <c r="E866" s="7" t="s">
        <v>239</v>
      </c>
      <c r="F866" s="7" t="s">
        <v>70</v>
      </c>
      <c r="G866" s="7" t="s">
        <v>311</v>
      </c>
      <c r="H866" s="15">
        <v>1392.46</v>
      </c>
      <c r="I866" s="15">
        <v>407.16</v>
      </c>
      <c r="J866" s="7" t="str">
        <f>IFERROR(_xlfn.XLOOKUP(F866,ccustos!A:A,ccustos!B:B),"Sem termo")</f>
        <v>SEBIB</v>
      </c>
    </row>
    <row r="867" spans="1:10" ht="36.75" customHeight="1" x14ac:dyDescent="0.25">
      <c r="A867" s="16">
        <v>11266</v>
      </c>
      <c r="B867" s="17" t="s">
        <v>236</v>
      </c>
      <c r="C867" s="17" t="s">
        <v>237</v>
      </c>
      <c r="D867" s="17" t="s">
        <v>730</v>
      </c>
      <c r="E867" s="17" t="s">
        <v>239</v>
      </c>
      <c r="F867" s="17" t="s">
        <v>70</v>
      </c>
      <c r="G867" s="17" t="s">
        <v>311</v>
      </c>
      <c r="H867" s="18">
        <v>1392.46</v>
      </c>
      <c r="I867" s="18">
        <v>407.16</v>
      </c>
      <c r="J867" s="7" t="str">
        <f>IFERROR(_xlfn.XLOOKUP(F867,ccustos!A:A,ccustos!B:B),"Sem termo")</f>
        <v>SEBIB</v>
      </c>
    </row>
    <row r="868" spans="1:10" ht="36.75" customHeight="1" x14ac:dyDescent="0.25">
      <c r="A868" s="14">
        <v>11267</v>
      </c>
      <c r="B868" s="7" t="s">
        <v>236</v>
      </c>
      <c r="C868" s="7" t="s">
        <v>237</v>
      </c>
      <c r="D868" s="7" t="s">
        <v>730</v>
      </c>
      <c r="E868" s="7" t="s">
        <v>239</v>
      </c>
      <c r="F868" s="7" t="s">
        <v>70</v>
      </c>
      <c r="G868" s="7" t="s">
        <v>311</v>
      </c>
      <c r="H868" s="15">
        <v>1392.46</v>
      </c>
      <c r="I868" s="15">
        <v>407.16</v>
      </c>
      <c r="J868" s="7" t="str">
        <f>IFERROR(_xlfn.XLOOKUP(F868,ccustos!A:A,ccustos!B:B),"Sem termo")</f>
        <v>SEBIB</v>
      </c>
    </row>
    <row r="869" spans="1:10" ht="25.5" customHeight="1" x14ac:dyDescent="0.25">
      <c r="A869" s="16">
        <v>11268</v>
      </c>
      <c r="B869" s="17" t="s">
        <v>236</v>
      </c>
      <c r="C869" s="17" t="s">
        <v>237</v>
      </c>
      <c r="D869" s="17" t="s">
        <v>730</v>
      </c>
      <c r="E869" s="17" t="s">
        <v>239</v>
      </c>
      <c r="F869" s="17" t="s">
        <v>70</v>
      </c>
      <c r="G869" s="17" t="s">
        <v>311</v>
      </c>
      <c r="H869" s="18">
        <v>1392.46</v>
      </c>
      <c r="I869" s="18">
        <v>407.16</v>
      </c>
      <c r="J869" s="7" t="str">
        <f>IFERROR(_xlfn.XLOOKUP(F869,ccustos!A:A,ccustos!B:B),"Sem termo")</f>
        <v>SEBIB</v>
      </c>
    </row>
    <row r="870" spans="1:10" ht="36.75" customHeight="1" x14ac:dyDescent="0.25">
      <c r="A870" s="14">
        <v>11269</v>
      </c>
      <c r="B870" s="7" t="s">
        <v>236</v>
      </c>
      <c r="C870" s="7" t="s">
        <v>237</v>
      </c>
      <c r="D870" s="7" t="s">
        <v>730</v>
      </c>
      <c r="E870" s="7" t="s">
        <v>239</v>
      </c>
      <c r="F870" s="7" t="s">
        <v>70</v>
      </c>
      <c r="G870" s="7" t="s">
        <v>311</v>
      </c>
      <c r="H870" s="15">
        <v>1392.46</v>
      </c>
      <c r="I870" s="15">
        <v>407.16</v>
      </c>
      <c r="J870" s="7" t="str">
        <f>IFERROR(_xlfn.XLOOKUP(F870,ccustos!A:A,ccustos!B:B),"Sem termo")</f>
        <v>SEBIB</v>
      </c>
    </row>
    <row r="871" spans="1:10" ht="25.5" customHeight="1" x14ac:dyDescent="0.25">
      <c r="A871" s="16">
        <v>11270</v>
      </c>
      <c r="B871" s="17" t="s">
        <v>236</v>
      </c>
      <c r="C871" s="17" t="s">
        <v>237</v>
      </c>
      <c r="D871" s="17" t="s">
        <v>730</v>
      </c>
      <c r="E871" s="17" t="s">
        <v>239</v>
      </c>
      <c r="F871" s="17" t="s">
        <v>70</v>
      </c>
      <c r="G871" s="17" t="s">
        <v>311</v>
      </c>
      <c r="H871" s="18">
        <v>1392.46</v>
      </c>
      <c r="I871" s="18">
        <v>407.16</v>
      </c>
      <c r="J871" s="7" t="str">
        <f>IFERROR(_xlfn.XLOOKUP(F871,ccustos!A:A,ccustos!B:B),"Sem termo")</f>
        <v>SEBIB</v>
      </c>
    </row>
    <row r="872" spans="1:10" ht="36.75" customHeight="1" x14ac:dyDescent="0.25">
      <c r="A872" s="14">
        <v>11271</v>
      </c>
      <c r="B872" s="7" t="s">
        <v>236</v>
      </c>
      <c r="C872" s="7" t="s">
        <v>237</v>
      </c>
      <c r="D872" s="7" t="s">
        <v>730</v>
      </c>
      <c r="E872" s="7" t="s">
        <v>239</v>
      </c>
      <c r="F872" s="7" t="s">
        <v>70</v>
      </c>
      <c r="G872" s="7" t="s">
        <v>311</v>
      </c>
      <c r="H872" s="15">
        <v>1392.46</v>
      </c>
      <c r="I872" s="15">
        <v>407.16</v>
      </c>
      <c r="J872" s="7" t="str">
        <f>IFERROR(_xlfn.XLOOKUP(F872,ccustos!A:A,ccustos!B:B),"Sem termo")</f>
        <v>SEBIB</v>
      </c>
    </row>
    <row r="873" spans="1:10" ht="36.75" customHeight="1" x14ac:dyDescent="0.25">
      <c r="A873" s="16">
        <v>11272</v>
      </c>
      <c r="B873" s="17" t="s">
        <v>236</v>
      </c>
      <c r="C873" s="17" t="s">
        <v>237</v>
      </c>
      <c r="D873" s="17" t="s">
        <v>730</v>
      </c>
      <c r="E873" s="17" t="s">
        <v>239</v>
      </c>
      <c r="F873" s="17" t="s">
        <v>70</v>
      </c>
      <c r="G873" s="17" t="s">
        <v>311</v>
      </c>
      <c r="H873" s="18">
        <v>1392.46</v>
      </c>
      <c r="I873" s="18">
        <v>407.16</v>
      </c>
      <c r="J873" s="7" t="str">
        <f>IFERROR(_xlfn.XLOOKUP(F873,ccustos!A:A,ccustos!B:B),"Sem termo")</f>
        <v>SEBIB</v>
      </c>
    </row>
    <row r="874" spans="1:10" ht="36.75" customHeight="1" x14ac:dyDescent="0.25">
      <c r="A874" s="14">
        <v>11273</v>
      </c>
      <c r="B874" s="7" t="s">
        <v>236</v>
      </c>
      <c r="C874" s="7" t="s">
        <v>237</v>
      </c>
      <c r="D874" s="7" t="s">
        <v>730</v>
      </c>
      <c r="E874" s="7" t="s">
        <v>239</v>
      </c>
      <c r="F874" s="7" t="s">
        <v>70</v>
      </c>
      <c r="G874" s="7" t="s">
        <v>311</v>
      </c>
      <c r="H874" s="15">
        <v>1392.46</v>
      </c>
      <c r="I874" s="15">
        <v>407.16</v>
      </c>
      <c r="J874" s="7" t="str">
        <f>IFERROR(_xlfn.XLOOKUP(F874,ccustos!A:A,ccustos!B:B),"Sem termo")</f>
        <v>SEBIB</v>
      </c>
    </row>
    <row r="875" spans="1:10" ht="36.75" customHeight="1" x14ac:dyDescent="0.25">
      <c r="A875" s="16">
        <v>11274</v>
      </c>
      <c r="B875" s="17" t="s">
        <v>236</v>
      </c>
      <c r="C875" s="17" t="s">
        <v>241</v>
      </c>
      <c r="D875" s="17" t="s">
        <v>744</v>
      </c>
      <c r="E875" s="17" t="s">
        <v>239</v>
      </c>
      <c r="F875" s="17" t="s">
        <v>70</v>
      </c>
      <c r="G875" s="17" t="s">
        <v>324</v>
      </c>
      <c r="H875" s="18">
        <v>1300.32</v>
      </c>
      <c r="I875" s="18">
        <v>578.16999999999996</v>
      </c>
      <c r="J875" s="7" t="str">
        <f>IFERROR(_xlfn.XLOOKUP(F875,ccustos!A:A,ccustos!B:B),"Sem termo")</f>
        <v>SEBIB</v>
      </c>
    </row>
    <row r="876" spans="1:10" ht="36.75" customHeight="1" x14ac:dyDescent="0.25">
      <c r="A876" s="14">
        <v>11275</v>
      </c>
      <c r="B876" s="7" t="s">
        <v>236</v>
      </c>
      <c r="C876" s="7" t="s">
        <v>241</v>
      </c>
      <c r="D876" s="7" t="s">
        <v>744</v>
      </c>
      <c r="E876" s="7" t="s">
        <v>239</v>
      </c>
      <c r="F876" s="7" t="s">
        <v>70</v>
      </c>
      <c r="G876" s="7" t="s">
        <v>324</v>
      </c>
      <c r="H876" s="15">
        <v>1300.32</v>
      </c>
      <c r="I876" s="15">
        <v>578.16999999999996</v>
      </c>
      <c r="J876" s="7" t="str">
        <f>IFERROR(_xlfn.XLOOKUP(F876,ccustos!A:A,ccustos!B:B),"Sem termo")</f>
        <v>SEBIB</v>
      </c>
    </row>
    <row r="877" spans="1:10" ht="36.75" customHeight="1" x14ac:dyDescent="0.25">
      <c r="A877" s="16">
        <v>11276</v>
      </c>
      <c r="B877" s="17" t="s">
        <v>236</v>
      </c>
      <c r="C877" s="17" t="s">
        <v>241</v>
      </c>
      <c r="D877" s="17" t="s">
        <v>744</v>
      </c>
      <c r="E877" s="17" t="s">
        <v>239</v>
      </c>
      <c r="F877" s="17" t="s">
        <v>70</v>
      </c>
      <c r="G877" s="17" t="s">
        <v>324</v>
      </c>
      <c r="H877" s="18">
        <v>1300.32</v>
      </c>
      <c r="I877" s="18">
        <v>578.16999999999996</v>
      </c>
      <c r="J877" s="7" t="str">
        <f>IFERROR(_xlfn.XLOOKUP(F877,ccustos!A:A,ccustos!B:B),"Sem termo")</f>
        <v>SEBIB</v>
      </c>
    </row>
    <row r="878" spans="1:10" ht="36.75" customHeight="1" x14ac:dyDescent="0.25">
      <c r="A878" s="14">
        <v>11277</v>
      </c>
      <c r="B878" s="7" t="s">
        <v>236</v>
      </c>
      <c r="C878" s="7" t="s">
        <v>241</v>
      </c>
      <c r="D878" s="7" t="s">
        <v>744</v>
      </c>
      <c r="E878" s="7" t="s">
        <v>239</v>
      </c>
      <c r="F878" s="7" t="s">
        <v>70</v>
      </c>
      <c r="G878" s="7" t="s">
        <v>324</v>
      </c>
      <c r="H878" s="15">
        <v>1300.32</v>
      </c>
      <c r="I878" s="15">
        <v>578.16999999999996</v>
      </c>
      <c r="J878" s="7" t="str">
        <f>IFERROR(_xlfn.XLOOKUP(F878,ccustos!A:A,ccustos!B:B),"Sem termo")</f>
        <v>SEBIB</v>
      </c>
    </row>
    <row r="879" spans="1:10" ht="36.75" customHeight="1" x14ac:dyDescent="0.25">
      <c r="A879" s="16">
        <v>11278</v>
      </c>
      <c r="B879" s="17" t="s">
        <v>236</v>
      </c>
      <c r="C879" s="17" t="s">
        <v>241</v>
      </c>
      <c r="D879" s="17" t="s">
        <v>744</v>
      </c>
      <c r="E879" s="17" t="s">
        <v>239</v>
      </c>
      <c r="F879" s="17" t="s">
        <v>70</v>
      </c>
      <c r="G879" s="17" t="s">
        <v>324</v>
      </c>
      <c r="H879" s="18">
        <v>1300.32</v>
      </c>
      <c r="I879" s="18">
        <v>578.16999999999996</v>
      </c>
      <c r="J879" s="7" t="str">
        <f>IFERROR(_xlfn.XLOOKUP(F879,ccustos!A:A,ccustos!B:B),"Sem termo")</f>
        <v>SEBIB</v>
      </c>
    </row>
    <row r="880" spans="1:10" ht="36.75" customHeight="1" x14ac:dyDescent="0.25">
      <c r="A880" s="14">
        <v>11279</v>
      </c>
      <c r="B880" s="7" t="s">
        <v>236</v>
      </c>
      <c r="C880" s="7" t="s">
        <v>241</v>
      </c>
      <c r="D880" s="7" t="s">
        <v>744</v>
      </c>
      <c r="E880" s="7" t="s">
        <v>239</v>
      </c>
      <c r="F880" s="7" t="s">
        <v>70</v>
      </c>
      <c r="G880" s="7" t="s">
        <v>324</v>
      </c>
      <c r="H880" s="15">
        <v>1300.32</v>
      </c>
      <c r="I880" s="15">
        <v>578.16999999999996</v>
      </c>
      <c r="J880" s="7" t="str">
        <f>IFERROR(_xlfn.XLOOKUP(F880,ccustos!A:A,ccustos!B:B),"Sem termo")</f>
        <v>SEBIB</v>
      </c>
    </row>
    <row r="881" spans="1:10" ht="36.75" customHeight="1" x14ac:dyDescent="0.25">
      <c r="A881" s="16">
        <v>11280</v>
      </c>
      <c r="B881" s="17" t="s">
        <v>236</v>
      </c>
      <c r="C881" s="17" t="s">
        <v>241</v>
      </c>
      <c r="D881" s="17" t="s">
        <v>744</v>
      </c>
      <c r="E881" s="17" t="s">
        <v>239</v>
      </c>
      <c r="F881" s="17" t="s">
        <v>70</v>
      </c>
      <c r="G881" s="17" t="s">
        <v>324</v>
      </c>
      <c r="H881" s="18">
        <v>1300.32</v>
      </c>
      <c r="I881" s="18">
        <v>578.16999999999996</v>
      </c>
      <c r="J881" s="7" t="str">
        <f>IFERROR(_xlfn.XLOOKUP(F881,ccustos!A:A,ccustos!B:B),"Sem termo")</f>
        <v>SEBIB</v>
      </c>
    </row>
    <row r="882" spans="1:10" ht="36.75" customHeight="1" x14ac:dyDescent="0.25">
      <c r="A882" s="14">
        <v>11281</v>
      </c>
      <c r="B882" s="7" t="s">
        <v>236</v>
      </c>
      <c r="C882" s="7" t="s">
        <v>241</v>
      </c>
      <c r="D882" s="7" t="s">
        <v>744</v>
      </c>
      <c r="E882" s="7" t="s">
        <v>239</v>
      </c>
      <c r="F882" s="7" t="s">
        <v>70</v>
      </c>
      <c r="G882" s="7" t="s">
        <v>324</v>
      </c>
      <c r="H882" s="15">
        <v>1300.32</v>
      </c>
      <c r="I882" s="15">
        <v>578.16999999999996</v>
      </c>
      <c r="J882" s="7" t="str">
        <f>IFERROR(_xlfn.XLOOKUP(F882,ccustos!A:A,ccustos!B:B),"Sem termo")</f>
        <v>SEBIB</v>
      </c>
    </row>
    <row r="883" spans="1:10" ht="36.75" customHeight="1" x14ac:dyDescent="0.25">
      <c r="A883" s="16">
        <v>11282</v>
      </c>
      <c r="B883" s="17" t="s">
        <v>236</v>
      </c>
      <c r="C883" s="17" t="s">
        <v>241</v>
      </c>
      <c r="D883" s="17" t="s">
        <v>745</v>
      </c>
      <c r="E883" s="17" t="s">
        <v>239</v>
      </c>
      <c r="F883" s="17" t="s">
        <v>70</v>
      </c>
      <c r="G883" s="17" t="s">
        <v>324</v>
      </c>
      <c r="H883" s="18">
        <v>4133.8100000000004</v>
      </c>
      <c r="I883" s="18">
        <v>1461.57</v>
      </c>
      <c r="J883" s="7" t="str">
        <f>IFERROR(_xlfn.XLOOKUP(F883,ccustos!A:A,ccustos!B:B),"Sem termo")</f>
        <v>SEBIB</v>
      </c>
    </row>
    <row r="884" spans="1:10" ht="36.75" customHeight="1" x14ac:dyDescent="0.25">
      <c r="A884" s="14">
        <v>11283</v>
      </c>
      <c r="B884" s="7" t="s">
        <v>236</v>
      </c>
      <c r="C884" s="7" t="s">
        <v>241</v>
      </c>
      <c r="D884" s="7" t="s">
        <v>745</v>
      </c>
      <c r="E884" s="7" t="s">
        <v>239</v>
      </c>
      <c r="F884" s="7" t="s">
        <v>70</v>
      </c>
      <c r="G884" s="7" t="s">
        <v>324</v>
      </c>
      <c r="H884" s="15">
        <v>4133.8100000000004</v>
      </c>
      <c r="I884" s="15">
        <v>1461.57</v>
      </c>
      <c r="J884" s="7" t="str">
        <f>IFERROR(_xlfn.XLOOKUP(F884,ccustos!A:A,ccustos!B:B),"Sem termo")</f>
        <v>SEBIB</v>
      </c>
    </row>
    <row r="885" spans="1:10" ht="25.5" customHeight="1" x14ac:dyDescent="0.25">
      <c r="A885" s="16">
        <v>11284</v>
      </c>
      <c r="B885" s="17" t="s">
        <v>236</v>
      </c>
      <c r="C885" s="17" t="s">
        <v>722</v>
      </c>
      <c r="D885" s="17" t="s">
        <v>746</v>
      </c>
      <c r="E885" s="17" t="s">
        <v>239</v>
      </c>
      <c r="F885" s="17" t="s">
        <v>70</v>
      </c>
      <c r="G885" s="17" t="s">
        <v>619</v>
      </c>
      <c r="H885" s="18">
        <v>62244</v>
      </c>
      <c r="I885" s="18">
        <v>5956.8</v>
      </c>
      <c r="J885" s="7" t="str">
        <f>IFERROR(_xlfn.XLOOKUP(F885,ccustos!A:A,ccustos!B:B),"Sem termo")</f>
        <v>SEBIB</v>
      </c>
    </row>
    <row r="886" spans="1:10" ht="36.75" customHeight="1" x14ac:dyDescent="0.25">
      <c r="A886" s="14">
        <v>11286</v>
      </c>
      <c r="B886" s="7" t="s">
        <v>236</v>
      </c>
      <c r="C886" s="7" t="s">
        <v>399</v>
      </c>
      <c r="D886" s="7" t="s">
        <v>747</v>
      </c>
      <c r="E886" s="7" t="s">
        <v>239</v>
      </c>
      <c r="F886" s="7" t="s">
        <v>70</v>
      </c>
      <c r="G886" s="7" t="s">
        <v>748</v>
      </c>
      <c r="H886" s="15">
        <v>258</v>
      </c>
      <c r="I886" s="15">
        <v>170.56</v>
      </c>
      <c r="J886" s="7" t="str">
        <f>IFERROR(_xlfn.XLOOKUP(F886,ccustos!A:A,ccustos!B:B),"Sem termo")</f>
        <v>SEBIB</v>
      </c>
    </row>
    <row r="887" spans="1:10" ht="36.75" customHeight="1" x14ac:dyDescent="0.25">
      <c r="A887" s="16">
        <v>11287</v>
      </c>
      <c r="B887" s="17" t="s">
        <v>236</v>
      </c>
      <c r="C887" s="17" t="s">
        <v>399</v>
      </c>
      <c r="D887" s="17" t="s">
        <v>747</v>
      </c>
      <c r="E887" s="17" t="s">
        <v>239</v>
      </c>
      <c r="F887" s="17" t="s">
        <v>70</v>
      </c>
      <c r="G887" s="17" t="s">
        <v>748</v>
      </c>
      <c r="H887" s="18">
        <v>258</v>
      </c>
      <c r="I887" s="18">
        <v>170.56</v>
      </c>
      <c r="J887" s="7" t="str">
        <f>IFERROR(_xlfn.XLOOKUP(F887,ccustos!A:A,ccustos!B:B),"Sem termo")</f>
        <v>SEBIB</v>
      </c>
    </row>
    <row r="888" spans="1:10" ht="25.5" customHeight="1" x14ac:dyDescent="0.25">
      <c r="A888" s="14">
        <v>11288</v>
      </c>
      <c r="B888" s="7" t="s">
        <v>236</v>
      </c>
      <c r="C888" s="7" t="s">
        <v>399</v>
      </c>
      <c r="D888" s="7" t="s">
        <v>747</v>
      </c>
      <c r="E888" s="7" t="s">
        <v>239</v>
      </c>
      <c r="F888" s="7" t="s">
        <v>70</v>
      </c>
      <c r="G888" s="7" t="s">
        <v>748</v>
      </c>
      <c r="H888" s="15">
        <v>258</v>
      </c>
      <c r="I888" s="15">
        <v>170.56</v>
      </c>
      <c r="J888" s="7" t="str">
        <f>IFERROR(_xlfn.XLOOKUP(F888,ccustos!A:A,ccustos!B:B),"Sem termo")</f>
        <v>SEBIB</v>
      </c>
    </row>
    <row r="889" spans="1:10" ht="36.75" customHeight="1" x14ac:dyDescent="0.25">
      <c r="A889" s="16">
        <v>11289</v>
      </c>
      <c r="B889" s="17" t="s">
        <v>236</v>
      </c>
      <c r="C889" s="17" t="s">
        <v>399</v>
      </c>
      <c r="D889" s="17" t="s">
        <v>747</v>
      </c>
      <c r="E889" s="17" t="s">
        <v>239</v>
      </c>
      <c r="F889" s="17" t="s">
        <v>70</v>
      </c>
      <c r="G889" s="17" t="s">
        <v>748</v>
      </c>
      <c r="H889" s="18">
        <v>258</v>
      </c>
      <c r="I889" s="18">
        <v>170.56</v>
      </c>
      <c r="J889" s="7" t="str">
        <f>IFERROR(_xlfn.XLOOKUP(F889,ccustos!A:A,ccustos!B:B),"Sem termo")</f>
        <v>SEBIB</v>
      </c>
    </row>
    <row r="890" spans="1:10" ht="36.75" customHeight="1" x14ac:dyDescent="0.25">
      <c r="A890" s="14">
        <v>11290</v>
      </c>
      <c r="B890" s="7" t="s">
        <v>236</v>
      </c>
      <c r="C890" s="7" t="s">
        <v>399</v>
      </c>
      <c r="D890" s="7" t="s">
        <v>747</v>
      </c>
      <c r="E890" s="7" t="s">
        <v>239</v>
      </c>
      <c r="F890" s="7" t="s">
        <v>70</v>
      </c>
      <c r="G890" s="7" t="s">
        <v>748</v>
      </c>
      <c r="H890" s="15">
        <v>258</v>
      </c>
      <c r="I890" s="15">
        <v>170.56</v>
      </c>
      <c r="J890" s="7" t="str">
        <f>IFERROR(_xlfn.XLOOKUP(F890,ccustos!A:A,ccustos!B:B),"Sem termo")</f>
        <v>SEBIB</v>
      </c>
    </row>
    <row r="891" spans="1:10" ht="36.75" customHeight="1" x14ac:dyDescent="0.25">
      <c r="A891" s="16">
        <v>11291</v>
      </c>
      <c r="B891" s="17" t="s">
        <v>236</v>
      </c>
      <c r="C891" s="17" t="s">
        <v>399</v>
      </c>
      <c r="D891" s="17" t="s">
        <v>747</v>
      </c>
      <c r="E891" s="17" t="s">
        <v>239</v>
      </c>
      <c r="F891" s="17" t="s">
        <v>70</v>
      </c>
      <c r="G891" s="17" t="s">
        <v>748</v>
      </c>
      <c r="H891" s="18">
        <v>258</v>
      </c>
      <c r="I891" s="18">
        <v>170.56</v>
      </c>
      <c r="J891" s="7" t="str">
        <f>IFERROR(_xlfn.XLOOKUP(F891,ccustos!A:A,ccustos!B:B),"Sem termo")</f>
        <v>SEBIB</v>
      </c>
    </row>
    <row r="892" spans="1:10" ht="36.75" customHeight="1" x14ac:dyDescent="0.25">
      <c r="A892" s="14">
        <v>11292</v>
      </c>
      <c r="B892" s="7" t="s">
        <v>236</v>
      </c>
      <c r="C892" s="7" t="s">
        <v>399</v>
      </c>
      <c r="D892" s="7" t="s">
        <v>747</v>
      </c>
      <c r="E892" s="7" t="s">
        <v>239</v>
      </c>
      <c r="F892" s="7" t="s">
        <v>70</v>
      </c>
      <c r="G892" s="7" t="s">
        <v>748</v>
      </c>
      <c r="H892" s="15">
        <v>258</v>
      </c>
      <c r="I892" s="15">
        <v>170.56</v>
      </c>
      <c r="J892" s="7" t="str">
        <f>IFERROR(_xlfn.XLOOKUP(F892,ccustos!A:A,ccustos!B:B),"Sem termo")</f>
        <v>SEBIB</v>
      </c>
    </row>
    <row r="893" spans="1:10" ht="36.75" customHeight="1" x14ac:dyDescent="0.25">
      <c r="A893" s="16">
        <v>11293</v>
      </c>
      <c r="B893" s="17" t="s">
        <v>236</v>
      </c>
      <c r="C893" s="17" t="s">
        <v>269</v>
      </c>
      <c r="D893" s="17" t="s">
        <v>749</v>
      </c>
      <c r="E893" s="17" t="s">
        <v>239</v>
      </c>
      <c r="F893" s="17" t="s">
        <v>70</v>
      </c>
      <c r="G893" s="17" t="s">
        <v>470</v>
      </c>
      <c r="H893" s="18">
        <v>420</v>
      </c>
      <c r="I893" s="18">
        <v>248.45</v>
      </c>
      <c r="J893" s="7" t="str">
        <f>IFERROR(_xlfn.XLOOKUP(F893,ccustos!A:A,ccustos!B:B),"Sem termo")</f>
        <v>SEBIB</v>
      </c>
    </row>
    <row r="894" spans="1:10" ht="36.75" customHeight="1" x14ac:dyDescent="0.25">
      <c r="A894" s="14">
        <v>11295</v>
      </c>
      <c r="B894" s="7" t="s">
        <v>236</v>
      </c>
      <c r="C894" s="7" t="s">
        <v>471</v>
      </c>
      <c r="D894" s="7" t="s">
        <v>472</v>
      </c>
      <c r="E894" s="7" t="s">
        <v>335</v>
      </c>
      <c r="F894" s="7" t="s">
        <v>6</v>
      </c>
      <c r="G894" s="7" t="s">
        <v>473</v>
      </c>
      <c r="H894" s="15">
        <v>1650</v>
      </c>
      <c r="I894" s="15">
        <v>327.56</v>
      </c>
      <c r="J894" s="7" t="str">
        <f>IFERROR(_xlfn.XLOOKUP(F894,ccustos!A:A,ccustos!B:B),"Sem termo")</f>
        <v>SEPAT</v>
      </c>
    </row>
    <row r="895" spans="1:10" ht="36.75" customHeight="1" x14ac:dyDescent="0.25">
      <c r="A895" s="16">
        <v>11296</v>
      </c>
      <c r="B895" s="17" t="s">
        <v>236</v>
      </c>
      <c r="C895" s="17" t="s">
        <v>237</v>
      </c>
      <c r="D895" s="17" t="s">
        <v>750</v>
      </c>
      <c r="E895" s="17" t="s">
        <v>239</v>
      </c>
      <c r="F895" s="17" t="s">
        <v>70</v>
      </c>
      <c r="G895" s="17" t="s">
        <v>324</v>
      </c>
      <c r="H895" s="18">
        <v>2375.15</v>
      </c>
      <c r="I895" s="18">
        <v>693.38</v>
      </c>
      <c r="J895" s="7" t="str">
        <f>IFERROR(_xlfn.XLOOKUP(F895,ccustos!A:A,ccustos!B:B),"Sem termo")</f>
        <v>SEBIB</v>
      </c>
    </row>
    <row r="896" spans="1:10" ht="36.75" customHeight="1" x14ac:dyDescent="0.25">
      <c r="A896" s="14">
        <v>11297</v>
      </c>
      <c r="B896" s="7" t="s">
        <v>236</v>
      </c>
      <c r="C896" s="7" t="s">
        <v>387</v>
      </c>
      <c r="D896" s="7" t="s">
        <v>751</v>
      </c>
      <c r="E896" s="7" t="s">
        <v>250</v>
      </c>
      <c r="F896" s="7" t="s">
        <v>71</v>
      </c>
      <c r="G896" s="7" t="s">
        <v>389</v>
      </c>
      <c r="H896" s="15">
        <v>720</v>
      </c>
      <c r="I896" s="15">
        <v>320.14</v>
      </c>
      <c r="J896" s="7" t="str">
        <f>IFERROR(_xlfn.XLOOKUP(F896,ccustos!A:A,ccustos!B:B),"Sem termo")</f>
        <v>SEPAT</v>
      </c>
    </row>
    <row r="897" spans="1:10" ht="36.75" customHeight="1" x14ac:dyDescent="0.25">
      <c r="A897" s="16">
        <v>11304</v>
      </c>
      <c r="B897" s="17" t="s">
        <v>236</v>
      </c>
      <c r="C897" s="17" t="s">
        <v>327</v>
      </c>
      <c r="D897" s="17" t="s">
        <v>328</v>
      </c>
      <c r="E897" s="17" t="s">
        <v>239</v>
      </c>
      <c r="F897" s="17" t="s">
        <v>20</v>
      </c>
      <c r="G897" s="17" t="s">
        <v>409</v>
      </c>
      <c r="H897" s="18">
        <v>1750</v>
      </c>
      <c r="I897" s="18">
        <v>1600.7</v>
      </c>
      <c r="J897" s="7" t="str">
        <f>IFERROR(_xlfn.XLOOKUP(F897,ccustos!A:A,ccustos!B:B),"Sem termo")</f>
        <v>CGTI</v>
      </c>
    </row>
    <row r="898" spans="1:10" ht="36.75" customHeight="1" x14ac:dyDescent="0.25">
      <c r="A898" s="14">
        <v>11307</v>
      </c>
      <c r="B898" s="7" t="s">
        <v>236</v>
      </c>
      <c r="C898" s="7" t="s">
        <v>752</v>
      </c>
      <c r="D898" s="7" t="s">
        <v>753</v>
      </c>
      <c r="E898" s="7" t="s">
        <v>335</v>
      </c>
      <c r="F898" s="7" t="s">
        <v>70</v>
      </c>
      <c r="G898" s="7" t="s">
        <v>519</v>
      </c>
      <c r="H898" s="15">
        <v>297</v>
      </c>
      <c r="I898" s="15">
        <v>94.33</v>
      </c>
      <c r="J898" s="7" t="str">
        <f>IFERROR(_xlfn.XLOOKUP(F898,ccustos!A:A,ccustos!B:B),"Sem termo")</f>
        <v>SEBIB</v>
      </c>
    </row>
    <row r="899" spans="1:10" ht="36.75" customHeight="1" x14ac:dyDescent="0.25">
      <c r="A899" s="16">
        <v>11309</v>
      </c>
      <c r="B899" s="17" t="s">
        <v>236</v>
      </c>
      <c r="C899" s="17" t="s">
        <v>337</v>
      </c>
      <c r="D899" s="17" t="s">
        <v>454</v>
      </c>
      <c r="E899" s="17" t="s">
        <v>239</v>
      </c>
      <c r="F899" s="17" t="s">
        <v>6</v>
      </c>
      <c r="G899" s="17" t="s">
        <v>289</v>
      </c>
      <c r="H899" s="18">
        <v>227.17</v>
      </c>
      <c r="I899" s="18">
        <v>213.43</v>
      </c>
      <c r="J899" s="7" t="str">
        <f>IFERROR(_xlfn.XLOOKUP(F899,ccustos!A:A,ccustos!B:B),"Sem termo")</f>
        <v>SEPAT</v>
      </c>
    </row>
    <row r="900" spans="1:10" ht="36.75" customHeight="1" x14ac:dyDescent="0.25">
      <c r="A900" s="14">
        <v>11310</v>
      </c>
      <c r="B900" s="7" t="s">
        <v>236</v>
      </c>
      <c r="C900" s="7" t="s">
        <v>237</v>
      </c>
      <c r="D900" s="7" t="s">
        <v>754</v>
      </c>
      <c r="E900" s="7" t="s">
        <v>239</v>
      </c>
      <c r="F900" s="7" t="s">
        <v>63</v>
      </c>
      <c r="G900" s="7" t="s">
        <v>305</v>
      </c>
      <c r="H900" s="15">
        <v>284.27999999999997</v>
      </c>
      <c r="I900" s="15">
        <v>173.7</v>
      </c>
      <c r="J900" s="7" t="str">
        <f>IFERROR(_xlfn.XLOOKUP(F900,ccustos!A:A,ccustos!B:B),"Sem termo")</f>
        <v>SEPAT</v>
      </c>
    </row>
    <row r="901" spans="1:10" ht="36.75" customHeight="1" x14ac:dyDescent="0.25">
      <c r="A901" s="16">
        <v>11311</v>
      </c>
      <c r="B901" s="17" t="s">
        <v>236</v>
      </c>
      <c r="C901" s="17" t="s">
        <v>306</v>
      </c>
      <c r="D901" s="17" t="s">
        <v>369</v>
      </c>
      <c r="E901" s="17" t="s">
        <v>239</v>
      </c>
      <c r="F901" s="17" t="s">
        <v>0</v>
      </c>
      <c r="G901" s="17" t="s">
        <v>289</v>
      </c>
      <c r="H901" s="18">
        <v>444.97</v>
      </c>
      <c r="I901" s="18">
        <v>154.72999999999999</v>
      </c>
      <c r="J901" s="7" t="str">
        <f>IFERROR(_xlfn.XLOOKUP(F901,ccustos!A:A,ccustos!B:B),"Sem termo")</f>
        <v>SEPAT</v>
      </c>
    </row>
    <row r="902" spans="1:10" ht="36.75" customHeight="1" x14ac:dyDescent="0.25">
      <c r="A902" s="14">
        <v>11312</v>
      </c>
      <c r="B902" s="7" t="s">
        <v>236</v>
      </c>
      <c r="C902" s="7" t="s">
        <v>237</v>
      </c>
      <c r="D902" s="7" t="s">
        <v>277</v>
      </c>
      <c r="E902" s="7" t="s">
        <v>239</v>
      </c>
      <c r="F902" s="7" t="s">
        <v>37</v>
      </c>
      <c r="G902" s="7" t="s">
        <v>278</v>
      </c>
      <c r="H902" s="15">
        <v>201.3</v>
      </c>
      <c r="I902" s="15">
        <v>173.7</v>
      </c>
      <c r="J902" s="7" t="str">
        <f>IFERROR(_xlfn.XLOOKUP(F902,ccustos!A:A,ccustos!B:B),"Sem termo")</f>
        <v>PROJUR</v>
      </c>
    </row>
    <row r="903" spans="1:10" ht="25.5" customHeight="1" x14ac:dyDescent="0.25">
      <c r="A903" s="16">
        <v>11316</v>
      </c>
      <c r="B903" s="17" t="s">
        <v>236</v>
      </c>
      <c r="C903" s="17" t="s">
        <v>471</v>
      </c>
      <c r="D903" s="17" t="s">
        <v>472</v>
      </c>
      <c r="E903" s="17" t="s">
        <v>335</v>
      </c>
      <c r="F903" s="17" t="s">
        <v>20</v>
      </c>
      <c r="G903" s="17" t="s">
        <v>473</v>
      </c>
      <c r="H903" s="18">
        <v>1650</v>
      </c>
      <c r="I903" s="18">
        <v>327.56</v>
      </c>
      <c r="J903" s="7" t="str">
        <f>IFERROR(_xlfn.XLOOKUP(F903,ccustos!A:A,ccustos!B:B),"Sem termo")</f>
        <v>CGTI</v>
      </c>
    </row>
    <row r="904" spans="1:10" ht="48" customHeight="1" x14ac:dyDescent="0.25">
      <c r="A904" s="14">
        <v>11317</v>
      </c>
      <c r="B904" s="7" t="s">
        <v>236</v>
      </c>
      <c r="C904" s="7" t="s">
        <v>471</v>
      </c>
      <c r="D904" s="7" t="s">
        <v>755</v>
      </c>
      <c r="E904" s="7" t="s">
        <v>335</v>
      </c>
      <c r="F904" s="7" t="s">
        <v>20</v>
      </c>
      <c r="G904" s="7" t="s">
        <v>756</v>
      </c>
      <c r="H904" s="15">
        <v>15490</v>
      </c>
      <c r="I904" s="15">
        <v>288.72000000000003</v>
      </c>
      <c r="J904" s="7" t="str">
        <f>IFERROR(_xlfn.XLOOKUP(F904,ccustos!A:A,ccustos!B:B),"Sem termo")</f>
        <v>CGTI</v>
      </c>
    </row>
    <row r="905" spans="1:10" ht="48" customHeight="1" x14ac:dyDescent="0.25">
      <c r="A905" s="16">
        <v>11325</v>
      </c>
      <c r="B905" s="17" t="s">
        <v>236</v>
      </c>
      <c r="C905" s="17" t="s">
        <v>237</v>
      </c>
      <c r="D905" s="17" t="s">
        <v>302</v>
      </c>
      <c r="E905" s="17" t="s">
        <v>239</v>
      </c>
      <c r="F905" s="17" t="s">
        <v>0</v>
      </c>
      <c r="G905" s="17" t="s">
        <v>280</v>
      </c>
      <c r="H905" s="18">
        <v>310.76</v>
      </c>
      <c r="I905" s="18">
        <v>149.01</v>
      </c>
      <c r="J905" s="7" t="str">
        <f>IFERROR(_xlfn.XLOOKUP(F905,ccustos!A:A,ccustos!B:B),"Sem termo")</f>
        <v>SEPAT</v>
      </c>
    </row>
    <row r="906" spans="1:10" ht="48" customHeight="1" x14ac:dyDescent="0.25">
      <c r="A906" s="14">
        <v>11326</v>
      </c>
      <c r="B906" s="7" t="s">
        <v>236</v>
      </c>
      <c r="C906" s="7" t="s">
        <v>241</v>
      </c>
      <c r="D906" s="7" t="s">
        <v>596</v>
      </c>
      <c r="E906" s="7" t="s">
        <v>239</v>
      </c>
      <c r="F906" s="7" t="s">
        <v>47</v>
      </c>
      <c r="G906" s="7" t="s">
        <v>308</v>
      </c>
      <c r="H906" s="15">
        <v>695.75</v>
      </c>
      <c r="I906" s="15">
        <v>206.4</v>
      </c>
      <c r="J906" s="7" t="str">
        <f>IFERROR(_xlfn.XLOOKUP(F906,ccustos!A:A,ccustos!B:B),"Sem termo")</f>
        <v>CDPROF</v>
      </c>
    </row>
    <row r="907" spans="1:10" ht="25.5" customHeight="1" x14ac:dyDescent="0.25">
      <c r="A907" s="16">
        <v>11327</v>
      </c>
      <c r="B907" s="17" t="s">
        <v>236</v>
      </c>
      <c r="C907" s="17" t="s">
        <v>337</v>
      </c>
      <c r="D907" s="17" t="s">
        <v>346</v>
      </c>
      <c r="E907" s="17" t="s">
        <v>239</v>
      </c>
      <c r="F907" s="17" t="s">
        <v>26</v>
      </c>
      <c r="G907" s="17" t="s">
        <v>331</v>
      </c>
      <c r="H907" s="18">
        <v>298</v>
      </c>
      <c r="I907" s="18">
        <v>213.43</v>
      </c>
      <c r="J907" s="7" t="str">
        <f>IFERROR(_xlfn.XLOOKUP(F907,ccustos!A:A,ccustos!B:B),"Sem termo")</f>
        <v>COLOG</v>
      </c>
    </row>
    <row r="908" spans="1:10" ht="36.75" customHeight="1" x14ac:dyDescent="0.25">
      <c r="A908" s="14">
        <v>11331</v>
      </c>
      <c r="B908" s="7" t="s">
        <v>236</v>
      </c>
      <c r="C908" s="7" t="s">
        <v>241</v>
      </c>
      <c r="D908" s="7" t="s">
        <v>354</v>
      </c>
      <c r="E908" s="7" t="s">
        <v>239</v>
      </c>
      <c r="F908" s="7" t="s">
        <v>6</v>
      </c>
      <c r="G908" s="7" t="s">
        <v>339</v>
      </c>
      <c r="H908" s="15">
        <v>238</v>
      </c>
      <c r="I908" s="15">
        <v>141.34</v>
      </c>
      <c r="J908" s="7" t="str">
        <f>IFERROR(_xlfn.XLOOKUP(F908,ccustos!A:A,ccustos!B:B),"Sem termo")</f>
        <v>SEPAT</v>
      </c>
    </row>
    <row r="909" spans="1:10" ht="36.75" customHeight="1" x14ac:dyDescent="0.25">
      <c r="A909" s="16">
        <v>11332</v>
      </c>
      <c r="B909" s="17" t="s">
        <v>236</v>
      </c>
      <c r="C909" s="17" t="s">
        <v>612</v>
      </c>
      <c r="D909" s="17" t="s">
        <v>757</v>
      </c>
      <c r="E909" s="17" t="s">
        <v>335</v>
      </c>
      <c r="F909" s="17" t="s">
        <v>8</v>
      </c>
      <c r="G909" s="17" t="s">
        <v>678</v>
      </c>
      <c r="H909" s="18">
        <v>656</v>
      </c>
      <c r="I909" s="18">
        <v>238.08</v>
      </c>
      <c r="J909" s="7" t="str">
        <f>IFERROR(_xlfn.XLOOKUP(F909,ccustos!A:A,ccustos!B:B),"Sem termo")</f>
        <v>DEINFRA</v>
      </c>
    </row>
    <row r="910" spans="1:10" ht="36.75" customHeight="1" x14ac:dyDescent="0.25">
      <c r="A910" s="14">
        <v>11333</v>
      </c>
      <c r="B910" s="7" t="s">
        <v>236</v>
      </c>
      <c r="C910" s="7" t="s">
        <v>471</v>
      </c>
      <c r="D910" s="7" t="s">
        <v>758</v>
      </c>
      <c r="E910" s="7" t="s">
        <v>335</v>
      </c>
      <c r="F910" s="7" t="s">
        <v>6</v>
      </c>
      <c r="G910" s="7" t="s">
        <v>759</v>
      </c>
      <c r="H910" s="15">
        <v>4980</v>
      </c>
      <c r="I910" s="15">
        <v>632.66</v>
      </c>
      <c r="J910" s="7" t="str">
        <f>IFERROR(_xlfn.XLOOKUP(F910,ccustos!A:A,ccustos!B:B),"Sem termo")</f>
        <v>SEPAT</v>
      </c>
    </row>
    <row r="911" spans="1:10" ht="36.75" customHeight="1" x14ac:dyDescent="0.25">
      <c r="A911" s="16">
        <v>11335</v>
      </c>
      <c r="B911" s="17" t="s">
        <v>236</v>
      </c>
      <c r="C911" s="17" t="s">
        <v>241</v>
      </c>
      <c r="D911" s="17" t="s">
        <v>354</v>
      </c>
      <c r="E911" s="17" t="s">
        <v>239</v>
      </c>
      <c r="F911" s="17" t="s">
        <v>20</v>
      </c>
      <c r="G911" s="17" t="s">
        <v>339</v>
      </c>
      <c r="H911" s="18">
        <v>238</v>
      </c>
      <c r="I911" s="18">
        <v>141.34</v>
      </c>
      <c r="J911" s="7" t="str">
        <f>IFERROR(_xlfn.XLOOKUP(F911,ccustos!A:A,ccustos!B:B),"Sem termo")</f>
        <v>CGTI</v>
      </c>
    </row>
    <row r="912" spans="1:10" ht="36.75" customHeight="1" x14ac:dyDescent="0.25">
      <c r="A912" s="14">
        <v>11337</v>
      </c>
      <c r="B912" s="7" t="s">
        <v>236</v>
      </c>
      <c r="C912" s="7" t="s">
        <v>333</v>
      </c>
      <c r="D912" s="7" t="s">
        <v>461</v>
      </c>
      <c r="E912" s="7" t="s">
        <v>335</v>
      </c>
      <c r="F912" s="7" t="s">
        <v>53</v>
      </c>
      <c r="G912" s="7" t="s">
        <v>366</v>
      </c>
      <c r="H912" s="15">
        <v>618.41999999999996</v>
      </c>
      <c r="I912" s="15">
        <v>0</v>
      </c>
      <c r="J912" s="7" t="str">
        <f>IFERROR(_xlfn.XLOOKUP(F912,ccustos!A:A,ccustos!B:B),"Sem termo")</f>
        <v>DELIC</v>
      </c>
    </row>
    <row r="913" spans="1:10" ht="36.75" customHeight="1" x14ac:dyDescent="0.25">
      <c r="A913" s="16">
        <v>11338</v>
      </c>
      <c r="B913" s="17" t="s">
        <v>236</v>
      </c>
      <c r="C913" s="17" t="s">
        <v>337</v>
      </c>
      <c r="D913" s="17" t="s">
        <v>338</v>
      </c>
      <c r="E913" s="17" t="s">
        <v>239</v>
      </c>
      <c r="F913" s="17" t="s">
        <v>6</v>
      </c>
      <c r="G913" s="17" t="s">
        <v>339</v>
      </c>
      <c r="H913" s="18">
        <v>237</v>
      </c>
      <c r="I913" s="18">
        <v>213.43</v>
      </c>
      <c r="J913" s="7" t="str">
        <f>IFERROR(_xlfn.XLOOKUP(F913,ccustos!A:A,ccustos!B:B),"Sem termo")</f>
        <v>SEPAT</v>
      </c>
    </row>
    <row r="914" spans="1:10" ht="36.75" customHeight="1" x14ac:dyDescent="0.25">
      <c r="A914" s="14">
        <v>11340</v>
      </c>
      <c r="B914" s="7" t="s">
        <v>236</v>
      </c>
      <c r="C914" s="7" t="s">
        <v>337</v>
      </c>
      <c r="D914" s="7" t="s">
        <v>346</v>
      </c>
      <c r="E914" s="7" t="s">
        <v>239</v>
      </c>
      <c r="F914" s="7" t="s">
        <v>26</v>
      </c>
      <c r="G914" s="7" t="s">
        <v>331</v>
      </c>
      <c r="H914" s="15">
        <v>298</v>
      </c>
      <c r="I914" s="15">
        <v>213.43</v>
      </c>
      <c r="J914" s="7" t="str">
        <f>IFERROR(_xlfn.XLOOKUP(F914,ccustos!A:A,ccustos!B:B),"Sem termo")</f>
        <v>COLOG</v>
      </c>
    </row>
    <row r="915" spans="1:10" ht="36.75" customHeight="1" x14ac:dyDescent="0.25">
      <c r="A915" s="16">
        <v>11347</v>
      </c>
      <c r="B915" s="17" t="s">
        <v>236</v>
      </c>
      <c r="C915" s="17" t="s">
        <v>337</v>
      </c>
      <c r="D915" s="17" t="s">
        <v>346</v>
      </c>
      <c r="E915" s="17" t="s">
        <v>239</v>
      </c>
      <c r="F915" s="17" t="s">
        <v>6</v>
      </c>
      <c r="G915" s="17" t="s">
        <v>331</v>
      </c>
      <c r="H915" s="18">
        <v>298</v>
      </c>
      <c r="I915" s="18">
        <v>213.43</v>
      </c>
      <c r="J915" s="7" t="str">
        <f>IFERROR(_xlfn.XLOOKUP(F915,ccustos!A:A,ccustos!B:B),"Sem termo")</f>
        <v>SEPAT</v>
      </c>
    </row>
    <row r="916" spans="1:10" ht="36.75" customHeight="1" x14ac:dyDescent="0.25">
      <c r="A916" s="14">
        <v>11349</v>
      </c>
      <c r="B916" s="7" t="s">
        <v>236</v>
      </c>
      <c r="C916" s="7" t="s">
        <v>306</v>
      </c>
      <c r="D916" s="7" t="s">
        <v>559</v>
      </c>
      <c r="E916" s="7" t="s">
        <v>239</v>
      </c>
      <c r="F916" s="7" t="s">
        <v>20</v>
      </c>
      <c r="G916" s="7" t="s">
        <v>463</v>
      </c>
      <c r="H916" s="15">
        <v>521.69000000000005</v>
      </c>
      <c r="I916" s="15">
        <v>154.72999999999999</v>
      </c>
      <c r="J916" s="7" t="str">
        <f>IFERROR(_xlfn.XLOOKUP(F916,ccustos!A:A,ccustos!B:B),"Sem termo")</f>
        <v>CGTI</v>
      </c>
    </row>
    <row r="917" spans="1:10" ht="25.5" customHeight="1" x14ac:dyDescent="0.25">
      <c r="A917" s="16">
        <v>11350</v>
      </c>
      <c r="B917" s="17" t="s">
        <v>236</v>
      </c>
      <c r="C917" s="17" t="s">
        <v>306</v>
      </c>
      <c r="D917" s="17" t="s">
        <v>559</v>
      </c>
      <c r="E917" s="17" t="s">
        <v>239</v>
      </c>
      <c r="F917" s="17" t="s">
        <v>0</v>
      </c>
      <c r="G917" s="17" t="s">
        <v>463</v>
      </c>
      <c r="H917" s="18">
        <v>1106.01</v>
      </c>
      <c r="I917" s="18">
        <v>154.72999999999999</v>
      </c>
      <c r="J917" s="7" t="str">
        <f>IFERROR(_xlfn.XLOOKUP(F917,ccustos!A:A,ccustos!B:B),"Sem termo")</f>
        <v>SEPAT</v>
      </c>
    </row>
    <row r="918" spans="1:10" ht="25.5" customHeight="1" x14ac:dyDescent="0.25">
      <c r="A918" s="14">
        <v>11351</v>
      </c>
      <c r="B918" s="7" t="s">
        <v>236</v>
      </c>
      <c r="C918" s="7" t="s">
        <v>306</v>
      </c>
      <c r="D918" s="7" t="s">
        <v>369</v>
      </c>
      <c r="E918" s="7" t="s">
        <v>239</v>
      </c>
      <c r="F918" s="7" t="s">
        <v>0</v>
      </c>
      <c r="G918" s="7" t="s">
        <v>289</v>
      </c>
      <c r="H918" s="15">
        <v>444.97</v>
      </c>
      <c r="I918" s="15">
        <v>154.72999999999999</v>
      </c>
      <c r="J918" s="7" t="str">
        <f>IFERROR(_xlfn.XLOOKUP(F918,ccustos!A:A,ccustos!B:B),"Sem termo")</f>
        <v>SEPAT</v>
      </c>
    </row>
    <row r="919" spans="1:10" ht="25.5" customHeight="1" x14ac:dyDescent="0.25">
      <c r="A919" s="16">
        <v>11352</v>
      </c>
      <c r="B919" s="17" t="s">
        <v>236</v>
      </c>
      <c r="C919" s="17" t="s">
        <v>306</v>
      </c>
      <c r="D919" s="17" t="s">
        <v>369</v>
      </c>
      <c r="E919" s="17" t="s">
        <v>239</v>
      </c>
      <c r="F919" s="17" t="s">
        <v>24</v>
      </c>
      <c r="G919" s="17" t="s">
        <v>289</v>
      </c>
      <c r="H919" s="18">
        <v>444.97</v>
      </c>
      <c r="I919" s="18">
        <v>154.72999999999999</v>
      </c>
      <c r="J919" s="7" t="str">
        <f>IFERROR(_xlfn.XLOOKUP(F919,ccustos!A:A,ccustos!B:B),"Sem termo")</f>
        <v>DEINFRA</v>
      </c>
    </row>
    <row r="920" spans="1:10" ht="36.75" customHeight="1" x14ac:dyDescent="0.25">
      <c r="A920" s="14">
        <v>11353</v>
      </c>
      <c r="B920" s="7" t="s">
        <v>236</v>
      </c>
      <c r="C920" s="7" t="s">
        <v>333</v>
      </c>
      <c r="D920" s="7" t="s">
        <v>760</v>
      </c>
      <c r="E920" s="7" t="s">
        <v>250</v>
      </c>
      <c r="F920" s="7" t="s">
        <v>26</v>
      </c>
      <c r="G920" s="7" t="s">
        <v>409</v>
      </c>
      <c r="H920" s="15">
        <v>648</v>
      </c>
      <c r="I920" s="15">
        <v>320.77999999999997</v>
      </c>
      <c r="J920" s="7" t="str">
        <f>IFERROR(_xlfn.XLOOKUP(F920,ccustos!A:A,ccustos!B:B),"Sem termo")</f>
        <v>COLOG</v>
      </c>
    </row>
    <row r="921" spans="1:10" ht="25.5" customHeight="1" x14ac:dyDescent="0.25">
      <c r="A921" s="16">
        <v>11354</v>
      </c>
      <c r="B921" s="17" t="s">
        <v>236</v>
      </c>
      <c r="C921" s="17" t="s">
        <v>333</v>
      </c>
      <c r="D921" s="17" t="s">
        <v>761</v>
      </c>
      <c r="E921" s="17" t="s">
        <v>250</v>
      </c>
      <c r="F921" s="17" t="s">
        <v>22</v>
      </c>
      <c r="G921" s="17" t="s">
        <v>409</v>
      </c>
      <c r="H921" s="18">
        <v>648</v>
      </c>
      <c r="I921" s="18">
        <v>320.77999999999997</v>
      </c>
      <c r="J921" s="7" t="str">
        <f>IFERROR(_xlfn.XLOOKUP(F921,ccustos!A:A,ccustos!B:B),"Sem termo")</f>
        <v>COTEC</v>
      </c>
    </row>
    <row r="922" spans="1:10" ht="25.5" customHeight="1" x14ac:dyDescent="0.25">
      <c r="A922" s="14">
        <v>11355</v>
      </c>
      <c r="B922" s="7" t="s">
        <v>236</v>
      </c>
      <c r="C922" s="7" t="s">
        <v>762</v>
      </c>
      <c r="D922" s="7" t="s">
        <v>763</v>
      </c>
      <c r="E922" s="7" t="s">
        <v>250</v>
      </c>
      <c r="F922" s="7" t="s">
        <v>6</v>
      </c>
      <c r="G922" s="7" t="s">
        <v>764</v>
      </c>
      <c r="H922" s="15">
        <v>42980</v>
      </c>
      <c r="I922" s="15">
        <v>1678.35</v>
      </c>
      <c r="J922" s="7" t="str">
        <f>IFERROR(_xlfn.XLOOKUP(F922,ccustos!A:A,ccustos!B:B),"Sem termo")</f>
        <v>SEPAT</v>
      </c>
    </row>
    <row r="923" spans="1:10" ht="36.75" customHeight="1" x14ac:dyDescent="0.25">
      <c r="A923" s="16">
        <v>11356</v>
      </c>
      <c r="B923" s="17" t="s">
        <v>236</v>
      </c>
      <c r="C923" s="17" t="s">
        <v>762</v>
      </c>
      <c r="D923" s="17" t="s">
        <v>765</v>
      </c>
      <c r="E923" s="17" t="s">
        <v>250</v>
      </c>
      <c r="F923" s="17" t="s">
        <v>6</v>
      </c>
      <c r="G923" s="17" t="s">
        <v>766</v>
      </c>
      <c r="H923" s="18">
        <v>37990</v>
      </c>
      <c r="I923" s="18">
        <v>1678.35</v>
      </c>
      <c r="J923" s="7" t="str">
        <f>IFERROR(_xlfn.XLOOKUP(F923,ccustos!A:A,ccustos!B:B),"Sem termo")</f>
        <v>SEPAT</v>
      </c>
    </row>
    <row r="924" spans="1:10" ht="25.5" customHeight="1" x14ac:dyDescent="0.25">
      <c r="A924" s="14">
        <v>11357</v>
      </c>
      <c r="B924" s="7" t="s">
        <v>236</v>
      </c>
      <c r="C924" s="7" t="s">
        <v>320</v>
      </c>
      <c r="D924" s="7" t="s">
        <v>767</v>
      </c>
      <c r="E924" s="7" t="s">
        <v>250</v>
      </c>
      <c r="F924" s="7" t="s">
        <v>20</v>
      </c>
      <c r="G924" s="7" t="s">
        <v>768</v>
      </c>
      <c r="H924" s="15">
        <v>4950</v>
      </c>
      <c r="I924" s="15">
        <v>881.72</v>
      </c>
      <c r="J924" s="7" t="str">
        <f>IFERROR(_xlfn.XLOOKUP(F924,ccustos!A:A,ccustos!B:B),"Sem termo")</f>
        <v>CGTI</v>
      </c>
    </row>
    <row r="925" spans="1:10" ht="25.5" customHeight="1" x14ac:dyDescent="0.25">
      <c r="A925" s="16">
        <v>11358</v>
      </c>
      <c r="B925" s="17" t="s">
        <v>236</v>
      </c>
      <c r="C925" s="17" t="s">
        <v>320</v>
      </c>
      <c r="D925" s="17" t="s">
        <v>769</v>
      </c>
      <c r="E925" s="17" t="s">
        <v>250</v>
      </c>
      <c r="F925" s="17" t="s">
        <v>213</v>
      </c>
      <c r="G925" s="17" t="s">
        <v>768</v>
      </c>
      <c r="H925" s="18">
        <v>4950</v>
      </c>
      <c r="I925" s="18">
        <v>881.72</v>
      </c>
      <c r="J925" s="7" t="str">
        <f>IFERROR(_xlfn.XLOOKUP(F925,ccustos!A:A,ccustos!B:B),"Sem termo")</f>
        <v>DIEPG</v>
      </c>
    </row>
    <row r="926" spans="1:10" ht="25.5" customHeight="1" x14ac:dyDescent="0.25">
      <c r="A926" s="14">
        <v>11359</v>
      </c>
      <c r="B926" s="7" t="s">
        <v>236</v>
      </c>
      <c r="C926" s="7" t="s">
        <v>237</v>
      </c>
      <c r="D926" s="7" t="s">
        <v>277</v>
      </c>
      <c r="E926" s="7" t="s">
        <v>239</v>
      </c>
      <c r="F926" s="7" t="s">
        <v>205</v>
      </c>
      <c r="G926" s="7" t="s">
        <v>278</v>
      </c>
      <c r="H926" s="15">
        <v>201.3</v>
      </c>
      <c r="I926" s="15">
        <v>173.7</v>
      </c>
      <c r="J926" s="7" t="str">
        <f>IFERROR(_xlfn.XLOOKUP(F926,ccustos!A:A,ccustos!B:B),"Sem termo")</f>
        <v>CCOM</v>
      </c>
    </row>
    <row r="927" spans="1:10" ht="36.75" customHeight="1" x14ac:dyDescent="0.25">
      <c r="A927" s="16">
        <v>11361</v>
      </c>
      <c r="B927" s="17" t="s">
        <v>236</v>
      </c>
      <c r="C927" s="17" t="s">
        <v>241</v>
      </c>
      <c r="D927" s="17" t="s">
        <v>770</v>
      </c>
      <c r="E927" s="17" t="s">
        <v>239</v>
      </c>
      <c r="F927" s="17" t="s">
        <v>205</v>
      </c>
      <c r="G927" s="17" t="s">
        <v>331</v>
      </c>
      <c r="H927" s="18">
        <v>369</v>
      </c>
      <c r="I927" s="18">
        <v>141.34</v>
      </c>
      <c r="J927" s="7" t="str">
        <f>IFERROR(_xlfn.XLOOKUP(F927,ccustos!A:A,ccustos!B:B),"Sem termo")</f>
        <v>CCOM</v>
      </c>
    </row>
    <row r="928" spans="1:10" ht="25.5" customHeight="1" x14ac:dyDescent="0.25">
      <c r="A928" s="14">
        <v>11362</v>
      </c>
      <c r="B928" s="7" t="s">
        <v>236</v>
      </c>
      <c r="C928" s="7" t="s">
        <v>237</v>
      </c>
      <c r="D928" s="7" t="s">
        <v>277</v>
      </c>
      <c r="E928" s="7" t="s">
        <v>239</v>
      </c>
      <c r="F928" s="7" t="s">
        <v>0</v>
      </c>
      <c r="G928" s="7" t="s">
        <v>278</v>
      </c>
      <c r="H928" s="15">
        <v>201.3</v>
      </c>
      <c r="I928" s="15">
        <v>173.7</v>
      </c>
      <c r="J928" s="7" t="str">
        <f>IFERROR(_xlfn.XLOOKUP(F928,ccustos!A:A,ccustos!B:B),"Sem termo")</f>
        <v>SEPAT</v>
      </c>
    </row>
    <row r="929" spans="1:10" ht="25.5" customHeight="1" x14ac:dyDescent="0.25">
      <c r="A929" s="16">
        <v>11366</v>
      </c>
      <c r="B929" s="17" t="s">
        <v>236</v>
      </c>
      <c r="C929" s="17" t="s">
        <v>333</v>
      </c>
      <c r="D929" s="17" t="s">
        <v>771</v>
      </c>
      <c r="E929" s="17" t="s">
        <v>335</v>
      </c>
      <c r="F929" s="17" t="s">
        <v>20</v>
      </c>
      <c r="G929" s="17" t="s">
        <v>348</v>
      </c>
      <c r="H929" s="18">
        <v>618.41999999999996</v>
      </c>
      <c r="I929" s="18">
        <v>49.32</v>
      </c>
      <c r="J929" s="7" t="str">
        <f>IFERROR(_xlfn.XLOOKUP(F929,ccustos!A:A,ccustos!B:B),"Sem termo")</f>
        <v>CGTI</v>
      </c>
    </row>
    <row r="930" spans="1:10" ht="25.5" customHeight="1" x14ac:dyDescent="0.25">
      <c r="A930" s="14">
        <v>11367</v>
      </c>
      <c r="B930" s="7" t="s">
        <v>236</v>
      </c>
      <c r="C930" s="7" t="s">
        <v>237</v>
      </c>
      <c r="D930" s="7" t="s">
        <v>277</v>
      </c>
      <c r="E930" s="7" t="s">
        <v>239</v>
      </c>
      <c r="F930" s="7" t="s">
        <v>63</v>
      </c>
      <c r="G930" s="7" t="s">
        <v>278</v>
      </c>
      <c r="H930" s="15">
        <v>201.3</v>
      </c>
      <c r="I930" s="15">
        <v>173.7</v>
      </c>
      <c r="J930" s="7" t="str">
        <f>IFERROR(_xlfn.XLOOKUP(F930,ccustos!A:A,ccustos!B:B),"Sem termo")</f>
        <v>SEPAT</v>
      </c>
    </row>
    <row r="931" spans="1:10" ht="36.75" customHeight="1" x14ac:dyDescent="0.25">
      <c r="A931" s="16">
        <v>11381</v>
      </c>
      <c r="B931" s="17" t="s">
        <v>236</v>
      </c>
      <c r="C931" s="17" t="s">
        <v>237</v>
      </c>
      <c r="D931" s="17" t="s">
        <v>277</v>
      </c>
      <c r="E931" s="17" t="s">
        <v>239</v>
      </c>
      <c r="F931" s="17" t="s">
        <v>0</v>
      </c>
      <c r="G931" s="17" t="s">
        <v>278</v>
      </c>
      <c r="H931" s="18">
        <v>201.3</v>
      </c>
      <c r="I931" s="18">
        <v>173.7</v>
      </c>
      <c r="J931" s="7" t="str">
        <f>IFERROR(_xlfn.XLOOKUP(F931,ccustos!A:A,ccustos!B:B),"Sem termo")</f>
        <v>SEPAT</v>
      </c>
    </row>
    <row r="932" spans="1:10" ht="25.5" customHeight="1" x14ac:dyDescent="0.25">
      <c r="A932" s="14">
        <v>11382</v>
      </c>
      <c r="B932" s="7" t="s">
        <v>236</v>
      </c>
      <c r="C932" s="7" t="s">
        <v>306</v>
      </c>
      <c r="D932" s="7" t="s">
        <v>307</v>
      </c>
      <c r="E932" s="7" t="s">
        <v>239</v>
      </c>
      <c r="F932" s="7" t="s">
        <v>20</v>
      </c>
      <c r="G932" s="7" t="s">
        <v>308</v>
      </c>
      <c r="H932" s="15">
        <v>310.75</v>
      </c>
      <c r="I932" s="15">
        <v>127.1</v>
      </c>
      <c r="J932" s="7" t="str">
        <f>IFERROR(_xlfn.XLOOKUP(F932,ccustos!A:A,ccustos!B:B),"Sem termo")</f>
        <v>CGTI</v>
      </c>
    </row>
    <row r="933" spans="1:10" ht="25.5" customHeight="1" x14ac:dyDescent="0.25">
      <c r="A933" s="16">
        <v>11383</v>
      </c>
      <c r="B933" s="17" t="s">
        <v>236</v>
      </c>
      <c r="C933" s="17" t="s">
        <v>306</v>
      </c>
      <c r="D933" s="17" t="s">
        <v>307</v>
      </c>
      <c r="E933" s="17" t="s">
        <v>239</v>
      </c>
      <c r="F933" s="17" t="s">
        <v>20</v>
      </c>
      <c r="G933" s="17" t="s">
        <v>308</v>
      </c>
      <c r="H933" s="18">
        <v>310.75</v>
      </c>
      <c r="I933" s="18">
        <v>127.1</v>
      </c>
      <c r="J933" s="7" t="str">
        <f>IFERROR(_xlfn.XLOOKUP(F933,ccustos!A:A,ccustos!B:B),"Sem termo")</f>
        <v>CGTI</v>
      </c>
    </row>
    <row r="934" spans="1:10" ht="25.5" customHeight="1" x14ac:dyDescent="0.25">
      <c r="A934" s="14">
        <v>11384</v>
      </c>
      <c r="B934" s="7" t="s">
        <v>236</v>
      </c>
      <c r="C934" s="7" t="s">
        <v>306</v>
      </c>
      <c r="D934" s="7" t="s">
        <v>307</v>
      </c>
      <c r="E934" s="7" t="s">
        <v>239</v>
      </c>
      <c r="F934" s="7" t="s">
        <v>20</v>
      </c>
      <c r="G934" s="7" t="s">
        <v>289</v>
      </c>
      <c r="H934" s="15">
        <v>287.67</v>
      </c>
      <c r="I934" s="15">
        <v>127.1</v>
      </c>
      <c r="J934" s="7" t="str">
        <f>IFERROR(_xlfn.XLOOKUP(F934,ccustos!A:A,ccustos!B:B),"Sem termo")</f>
        <v>CGTI</v>
      </c>
    </row>
    <row r="935" spans="1:10" ht="25.5" customHeight="1" x14ac:dyDescent="0.25">
      <c r="A935" s="16">
        <v>11387</v>
      </c>
      <c r="B935" s="17" t="s">
        <v>236</v>
      </c>
      <c r="C935" s="17" t="s">
        <v>237</v>
      </c>
      <c r="D935" s="17" t="s">
        <v>277</v>
      </c>
      <c r="E935" s="17" t="s">
        <v>239</v>
      </c>
      <c r="F935" s="17" t="s">
        <v>0</v>
      </c>
      <c r="G935" s="17" t="s">
        <v>278</v>
      </c>
      <c r="H935" s="18">
        <v>201.3</v>
      </c>
      <c r="I935" s="18">
        <v>173.7</v>
      </c>
      <c r="J935" s="7" t="str">
        <f>IFERROR(_xlfn.XLOOKUP(F935,ccustos!A:A,ccustos!B:B),"Sem termo")</f>
        <v>SEPAT</v>
      </c>
    </row>
    <row r="936" spans="1:10" ht="36.75" customHeight="1" x14ac:dyDescent="0.25">
      <c r="A936" s="14">
        <v>11389</v>
      </c>
      <c r="B936" s="7" t="s">
        <v>236</v>
      </c>
      <c r="C936" s="7" t="s">
        <v>241</v>
      </c>
      <c r="D936" s="7" t="s">
        <v>354</v>
      </c>
      <c r="E936" s="7" t="s">
        <v>239</v>
      </c>
      <c r="F936" s="7" t="s">
        <v>6</v>
      </c>
      <c r="G936" s="7" t="s">
        <v>339</v>
      </c>
      <c r="H936" s="15">
        <v>238</v>
      </c>
      <c r="I936" s="15">
        <v>141.34</v>
      </c>
      <c r="J936" s="7" t="str">
        <f>IFERROR(_xlfn.XLOOKUP(F936,ccustos!A:A,ccustos!B:B),"Sem termo")</f>
        <v>SEPAT</v>
      </c>
    </row>
    <row r="937" spans="1:10" ht="25.5" customHeight="1" x14ac:dyDescent="0.25">
      <c r="A937" s="16">
        <v>11390</v>
      </c>
      <c r="B937" s="17" t="s">
        <v>236</v>
      </c>
      <c r="C937" s="17" t="s">
        <v>241</v>
      </c>
      <c r="D937" s="17" t="s">
        <v>354</v>
      </c>
      <c r="E937" s="17" t="s">
        <v>239</v>
      </c>
      <c r="F937" s="17" t="s">
        <v>27</v>
      </c>
      <c r="G937" s="17" t="s">
        <v>339</v>
      </c>
      <c r="H937" s="18">
        <v>238</v>
      </c>
      <c r="I937" s="18">
        <v>141.34</v>
      </c>
      <c r="J937" s="7" t="str">
        <f>IFERROR(_xlfn.XLOOKUP(F937,ccustos!A:A,ccustos!B:B),"Sem termo")</f>
        <v>CCI</v>
      </c>
    </row>
    <row r="938" spans="1:10" ht="36.75" customHeight="1" x14ac:dyDescent="0.25">
      <c r="A938" s="14">
        <v>11393</v>
      </c>
      <c r="B938" s="7" t="s">
        <v>236</v>
      </c>
      <c r="C938" s="7" t="s">
        <v>306</v>
      </c>
      <c r="D938" s="7" t="s">
        <v>307</v>
      </c>
      <c r="E938" s="7" t="s">
        <v>239</v>
      </c>
      <c r="F938" s="7" t="s">
        <v>20</v>
      </c>
      <c r="G938" s="7" t="s">
        <v>308</v>
      </c>
      <c r="H938" s="15">
        <v>310.75</v>
      </c>
      <c r="I938" s="15">
        <v>127.1</v>
      </c>
      <c r="J938" s="7" t="str">
        <f>IFERROR(_xlfn.XLOOKUP(F938,ccustos!A:A,ccustos!B:B),"Sem termo")</f>
        <v>CGTI</v>
      </c>
    </row>
    <row r="939" spans="1:10" ht="36.75" customHeight="1" x14ac:dyDescent="0.25">
      <c r="A939" s="16">
        <v>11394</v>
      </c>
      <c r="B939" s="17" t="s">
        <v>236</v>
      </c>
      <c r="C939" s="17" t="s">
        <v>306</v>
      </c>
      <c r="D939" s="17" t="s">
        <v>307</v>
      </c>
      <c r="E939" s="17" t="s">
        <v>239</v>
      </c>
      <c r="F939" s="17" t="s">
        <v>20</v>
      </c>
      <c r="G939" s="17" t="s">
        <v>289</v>
      </c>
      <c r="H939" s="18">
        <v>287.67</v>
      </c>
      <c r="I939" s="18">
        <v>127.1</v>
      </c>
      <c r="J939" s="7" t="str">
        <f>IFERROR(_xlfn.XLOOKUP(F939,ccustos!A:A,ccustos!B:B),"Sem termo")</f>
        <v>CGTI</v>
      </c>
    </row>
    <row r="940" spans="1:10" ht="36.75" customHeight="1" x14ac:dyDescent="0.25">
      <c r="A940" s="14">
        <v>11395</v>
      </c>
      <c r="B940" s="7" t="s">
        <v>236</v>
      </c>
      <c r="C940" s="7" t="s">
        <v>471</v>
      </c>
      <c r="D940" s="7" t="s">
        <v>772</v>
      </c>
      <c r="E940" s="7" t="s">
        <v>335</v>
      </c>
      <c r="F940" s="7" t="s">
        <v>6</v>
      </c>
      <c r="G940" s="7" t="s">
        <v>759</v>
      </c>
      <c r="H940" s="15">
        <v>4980</v>
      </c>
      <c r="I940" s="15">
        <v>632.66</v>
      </c>
      <c r="J940" s="7" t="str">
        <f>IFERROR(_xlfn.XLOOKUP(F940,ccustos!A:A,ccustos!B:B),"Sem termo")</f>
        <v>SEPAT</v>
      </c>
    </row>
    <row r="941" spans="1:10" ht="25.5" customHeight="1" x14ac:dyDescent="0.25">
      <c r="A941" s="16">
        <v>11396</v>
      </c>
      <c r="B941" s="17" t="s">
        <v>236</v>
      </c>
      <c r="C941" s="17" t="s">
        <v>241</v>
      </c>
      <c r="D941" s="17" t="s">
        <v>354</v>
      </c>
      <c r="E941" s="17" t="s">
        <v>239</v>
      </c>
      <c r="F941" s="17" t="s">
        <v>27</v>
      </c>
      <c r="G941" s="17" t="s">
        <v>339</v>
      </c>
      <c r="H941" s="18">
        <v>238</v>
      </c>
      <c r="I941" s="18">
        <v>0</v>
      </c>
      <c r="J941" s="7" t="str">
        <f>IFERROR(_xlfn.XLOOKUP(F941,ccustos!A:A,ccustos!B:B),"Sem termo")</f>
        <v>CCI</v>
      </c>
    </row>
    <row r="942" spans="1:10" ht="36.75" customHeight="1" x14ac:dyDescent="0.25">
      <c r="A942" s="14">
        <v>11397</v>
      </c>
      <c r="B942" s="7" t="s">
        <v>236</v>
      </c>
      <c r="C942" s="7" t="s">
        <v>241</v>
      </c>
      <c r="D942" s="7" t="s">
        <v>354</v>
      </c>
      <c r="E942" s="7" t="s">
        <v>239</v>
      </c>
      <c r="F942" s="7" t="s">
        <v>6</v>
      </c>
      <c r="G942" s="7" t="s">
        <v>339</v>
      </c>
      <c r="H942" s="15">
        <v>238</v>
      </c>
      <c r="I942" s="15">
        <v>141.34</v>
      </c>
      <c r="J942" s="7" t="str">
        <f>IFERROR(_xlfn.XLOOKUP(F942,ccustos!A:A,ccustos!B:B),"Sem termo")</f>
        <v>SEPAT</v>
      </c>
    </row>
    <row r="943" spans="1:10" ht="36.75" customHeight="1" x14ac:dyDescent="0.25">
      <c r="A943" s="16">
        <v>11403</v>
      </c>
      <c r="B943" s="17" t="s">
        <v>236</v>
      </c>
      <c r="C943" s="17" t="s">
        <v>241</v>
      </c>
      <c r="D943" s="17" t="s">
        <v>354</v>
      </c>
      <c r="E943" s="17" t="s">
        <v>239</v>
      </c>
      <c r="F943" s="17" t="s">
        <v>30</v>
      </c>
      <c r="G943" s="17" t="s">
        <v>339</v>
      </c>
      <c r="H943" s="18">
        <v>238</v>
      </c>
      <c r="I943" s="18">
        <v>141.34</v>
      </c>
      <c r="J943" s="7" t="str">
        <f>IFERROR(_xlfn.XLOOKUP(F943,ccustos!A:A,ccustos!B:B),"Sem termo")</f>
        <v>COFIS</v>
      </c>
    </row>
    <row r="944" spans="1:10" ht="25.5" customHeight="1" x14ac:dyDescent="0.25">
      <c r="A944" s="14">
        <v>11404</v>
      </c>
      <c r="B944" s="7" t="s">
        <v>236</v>
      </c>
      <c r="C944" s="7" t="s">
        <v>306</v>
      </c>
      <c r="D944" s="7" t="s">
        <v>307</v>
      </c>
      <c r="E944" s="7" t="s">
        <v>239</v>
      </c>
      <c r="F944" s="7" t="s">
        <v>205</v>
      </c>
      <c r="G944" s="7" t="s">
        <v>289</v>
      </c>
      <c r="H944" s="15">
        <v>287.67</v>
      </c>
      <c r="I944" s="15">
        <v>165.21</v>
      </c>
      <c r="J944" s="7" t="str">
        <f>IFERROR(_xlfn.XLOOKUP(F944,ccustos!A:A,ccustos!B:B),"Sem termo")</f>
        <v>CCOM</v>
      </c>
    </row>
    <row r="945" spans="1:10" ht="25.5" customHeight="1" x14ac:dyDescent="0.25">
      <c r="A945" s="16">
        <v>11405</v>
      </c>
      <c r="B945" s="17" t="s">
        <v>236</v>
      </c>
      <c r="C945" s="17" t="s">
        <v>237</v>
      </c>
      <c r="D945" s="17" t="s">
        <v>597</v>
      </c>
      <c r="E945" s="17" t="s">
        <v>239</v>
      </c>
      <c r="F945" s="17" t="s">
        <v>0</v>
      </c>
      <c r="G945" s="17" t="s">
        <v>343</v>
      </c>
      <c r="H945" s="18">
        <v>530.16999999999996</v>
      </c>
      <c r="I945" s="18">
        <v>173.7</v>
      </c>
      <c r="J945" s="7" t="str">
        <f>IFERROR(_xlfn.XLOOKUP(F945,ccustos!A:A,ccustos!B:B),"Sem termo")</f>
        <v>SEPAT</v>
      </c>
    </row>
    <row r="946" spans="1:10" ht="36.75" customHeight="1" x14ac:dyDescent="0.25">
      <c r="A946" s="14">
        <v>11407</v>
      </c>
      <c r="B946" s="7" t="s">
        <v>236</v>
      </c>
      <c r="C946" s="7" t="s">
        <v>337</v>
      </c>
      <c r="D946" s="7" t="s">
        <v>349</v>
      </c>
      <c r="E946" s="7" t="s">
        <v>239</v>
      </c>
      <c r="F946" s="7" t="s">
        <v>205</v>
      </c>
      <c r="G946" s="7" t="s">
        <v>350</v>
      </c>
      <c r="H946" s="15">
        <v>227.27</v>
      </c>
      <c r="I946" s="15">
        <v>498</v>
      </c>
      <c r="J946" s="7" t="str">
        <f>IFERROR(_xlfn.XLOOKUP(F946,ccustos!A:A,ccustos!B:B),"Sem termo")</f>
        <v>CCOM</v>
      </c>
    </row>
    <row r="947" spans="1:10" ht="25.5" customHeight="1" x14ac:dyDescent="0.25">
      <c r="A947" s="16">
        <v>11408</v>
      </c>
      <c r="B947" s="17" t="s">
        <v>236</v>
      </c>
      <c r="C947" s="17" t="s">
        <v>241</v>
      </c>
      <c r="D947" s="17" t="s">
        <v>773</v>
      </c>
      <c r="E947" s="17" t="s">
        <v>239</v>
      </c>
      <c r="F947" s="17" t="s">
        <v>205</v>
      </c>
      <c r="G947" s="17" t="s">
        <v>339</v>
      </c>
      <c r="H947" s="18">
        <v>364</v>
      </c>
      <c r="I947" s="18">
        <v>449.05</v>
      </c>
      <c r="J947" s="7" t="str">
        <f>IFERROR(_xlfn.XLOOKUP(F947,ccustos!A:A,ccustos!B:B),"Sem termo")</f>
        <v>CCOM</v>
      </c>
    </row>
    <row r="948" spans="1:10" ht="25.5" customHeight="1" x14ac:dyDescent="0.25">
      <c r="A948" s="14">
        <v>11409</v>
      </c>
      <c r="B948" s="7" t="s">
        <v>236</v>
      </c>
      <c r="C948" s="7" t="s">
        <v>241</v>
      </c>
      <c r="D948" s="7" t="s">
        <v>773</v>
      </c>
      <c r="E948" s="7" t="s">
        <v>239</v>
      </c>
      <c r="F948" s="7" t="s">
        <v>205</v>
      </c>
      <c r="G948" s="7" t="s">
        <v>339</v>
      </c>
      <c r="H948" s="15">
        <v>364</v>
      </c>
      <c r="I948" s="15">
        <v>449.05</v>
      </c>
      <c r="J948" s="7" t="str">
        <f>IFERROR(_xlfn.XLOOKUP(F948,ccustos!A:A,ccustos!B:B),"Sem termo")</f>
        <v>CCOM</v>
      </c>
    </row>
    <row r="949" spans="1:10" ht="25.5" customHeight="1" x14ac:dyDescent="0.25">
      <c r="A949" s="16">
        <v>11410</v>
      </c>
      <c r="B949" s="17" t="s">
        <v>236</v>
      </c>
      <c r="C949" s="17" t="s">
        <v>237</v>
      </c>
      <c r="D949" s="17" t="s">
        <v>774</v>
      </c>
      <c r="E949" s="17" t="s">
        <v>239</v>
      </c>
      <c r="F949" s="17" t="s">
        <v>0</v>
      </c>
      <c r="G949" s="17" t="s">
        <v>278</v>
      </c>
      <c r="H949" s="18">
        <v>354.2</v>
      </c>
      <c r="I949" s="18">
        <v>225.76</v>
      </c>
      <c r="J949" s="7" t="str">
        <f>IFERROR(_xlfn.XLOOKUP(F949,ccustos!A:A,ccustos!B:B),"Sem termo")</f>
        <v>SEPAT</v>
      </c>
    </row>
    <row r="950" spans="1:10" ht="25.5" customHeight="1" x14ac:dyDescent="0.25">
      <c r="A950" s="14">
        <v>11411</v>
      </c>
      <c r="B950" s="7" t="s">
        <v>236</v>
      </c>
      <c r="C950" s="7" t="s">
        <v>306</v>
      </c>
      <c r="D950" s="7" t="s">
        <v>512</v>
      </c>
      <c r="E950" s="7" t="s">
        <v>239</v>
      </c>
      <c r="F950" s="7" t="s">
        <v>205</v>
      </c>
      <c r="G950" s="7" t="s">
        <v>339</v>
      </c>
      <c r="H950" s="15">
        <v>238.22</v>
      </c>
      <c r="I950" s="15">
        <v>185.02</v>
      </c>
      <c r="J950" s="7" t="str">
        <f>IFERROR(_xlfn.XLOOKUP(F950,ccustos!A:A,ccustos!B:B),"Sem termo")</f>
        <v>CCOM</v>
      </c>
    </row>
    <row r="951" spans="1:10" ht="36.75" customHeight="1" x14ac:dyDescent="0.25">
      <c r="A951" s="16">
        <v>11412</v>
      </c>
      <c r="B951" s="17" t="s">
        <v>236</v>
      </c>
      <c r="C951" s="17" t="s">
        <v>306</v>
      </c>
      <c r="D951" s="17" t="s">
        <v>512</v>
      </c>
      <c r="E951" s="17" t="s">
        <v>239</v>
      </c>
      <c r="F951" s="17" t="s">
        <v>37</v>
      </c>
      <c r="G951" s="17" t="s">
        <v>339</v>
      </c>
      <c r="H951" s="18">
        <v>238.22</v>
      </c>
      <c r="I951" s="18">
        <v>203.71</v>
      </c>
      <c r="J951" s="7" t="str">
        <f>IFERROR(_xlfn.XLOOKUP(F951,ccustos!A:A,ccustos!B:B),"Sem termo")</f>
        <v>PROJUR</v>
      </c>
    </row>
    <row r="952" spans="1:10" ht="25.5" customHeight="1" x14ac:dyDescent="0.25">
      <c r="A952" s="14">
        <v>11413</v>
      </c>
      <c r="B952" s="7" t="s">
        <v>236</v>
      </c>
      <c r="C952" s="7" t="s">
        <v>337</v>
      </c>
      <c r="D952" s="7" t="s">
        <v>338</v>
      </c>
      <c r="E952" s="7" t="s">
        <v>239</v>
      </c>
      <c r="F952" s="7" t="s">
        <v>205</v>
      </c>
      <c r="G952" s="7" t="s">
        <v>339</v>
      </c>
      <c r="H952" s="15">
        <v>237</v>
      </c>
      <c r="I952" s="15">
        <v>215.09</v>
      </c>
      <c r="J952" s="7" t="str">
        <f>IFERROR(_xlfn.XLOOKUP(F952,ccustos!A:A,ccustos!B:B),"Sem termo")</f>
        <v>CCOM</v>
      </c>
    </row>
    <row r="953" spans="1:10" ht="25.5" customHeight="1" x14ac:dyDescent="0.25">
      <c r="A953" s="16">
        <v>11414</v>
      </c>
      <c r="B953" s="17" t="s">
        <v>236</v>
      </c>
      <c r="C953" s="17" t="s">
        <v>337</v>
      </c>
      <c r="D953" s="17" t="s">
        <v>338</v>
      </c>
      <c r="E953" s="17" t="s">
        <v>239</v>
      </c>
      <c r="F953" s="17" t="s">
        <v>205</v>
      </c>
      <c r="G953" s="17" t="s">
        <v>339</v>
      </c>
      <c r="H953" s="18">
        <v>237</v>
      </c>
      <c r="I953" s="18">
        <v>215.09</v>
      </c>
      <c r="J953" s="7" t="str">
        <f>IFERROR(_xlfn.XLOOKUP(F953,ccustos!A:A,ccustos!B:B),"Sem termo")</f>
        <v>CCOM</v>
      </c>
    </row>
    <row r="954" spans="1:10" ht="25.5" customHeight="1" x14ac:dyDescent="0.25">
      <c r="A954" s="14">
        <v>11415</v>
      </c>
      <c r="B954" s="7" t="s">
        <v>236</v>
      </c>
      <c r="C954" s="7" t="s">
        <v>241</v>
      </c>
      <c r="D954" s="7" t="s">
        <v>773</v>
      </c>
      <c r="E954" s="7" t="s">
        <v>239</v>
      </c>
      <c r="F954" s="7" t="s">
        <v>53</v>
      </c>
      <c r="G954" s="7" t="s">
        <v>339</v>
      </c>
      <c r="H954" s="15">
        <v>364</v>
      </c>
      <c r="I954" s="15">
        <v>449.05</v>
      </c>
      <c r="J954" s="7" t="str">
        <f>IFERROR(_xlfn.XLOOKUP(F954,ccustos!A:A,ccustos!B:B),"Sem termo")</f>
        <v>DELIC</v>
      </c>
    </row>
    <row r="955" spans="1:10" ht="36.75" customHeight="1" x14ac:dyDescent="0.25">
      <c r="A955" s="16">
        <v>11416</v>
      </c>
      <c r="B955" s="17" t="s">
        <v>236</v>
      </c>
      <c r="C955" s="17" t="s">
        <v>337</v>
      </c>
      <c r="D955" s="17" t="s">
        <v>346</v>
      </c>
      <c r="E955" s="17" t="s">
        <v>239</v>
      </c>
      <c r="F955" s="17" t="s">
        <v>205</v>
      </c>
      <c r="G955" s="17" t="s">
        <v>331</v>
      </c>
      <c r="H955" s="18">
        <v>298</v>
      </c>
      <c r="I955" s="18">
        <v>215.09</v>
      </c>
      <c r="J955" s="7" t="str">
        <f>IFERROR(_xlfn.XLOOKUP(F955,ccustos!A:A,ccustos!B:B),"Sem termo")</f>
        <v>CCOM</v>
      </c>
    </row>
    <row r="956" spans="1:10" ht="25.5" customHeight="1" x14ac:dyDescent="0.25">
      <c r="A956" s="14">
        <v>11417</v>
      </c>
      <c r="B956" s="7" t="s">
        <v>236</v>
      </c>
      <c r="C956" s="7" t="s">
        <v>241</v>
      </c>
      <c r="D956" s="7" t="s">
        <v>354</v>
      </c>
      <c r="E956" s="7" t="s">
        <v>239</v>
      </c>
      <c r="F956" s="7" t="s">
        <v>205</v>
      </c>
      <c r="G956" s="7" t="s">
        <v>339</v>
      </c>
      <c r="H956" s="15">
        <v>238</v>
      </c>
      <c r="I956" s="15">
        <v>141.63</v>
      </c>
      <c r="J956" s="7" t="str">
        <f>IFERROR(_xlfn.XLOOKUP(F956,ccustos!A:A,ccustos!B:B),"Sem termo")</f>
        <v>CCOM</v>
      </c>
    </row>
    <row r="957" spans="1:10" ht="25.5" customHeight="1" x14ac:dyDescent="0.25">
      <c r="A957" s="16">
        <v>11418</v>
      </c>
      <c r="B957" s="17" t="s">
        <v>236</v>
      </c>
      <c r="C957" s="17" t="s">
        <v>775</v>
      </c>
      <c r="D957" s="17" t="s">
        <v>776</v>
      </c>
      <c r="E957" s="17" t="s">
        <v>250</v>
      </c>
      <c r="F957" s="17" t="s">
        <v>256</v>
      </c>
      <c r="G957" s="17" t="s">
        <v>777</v>
      </c>
      <c r="H957" s="18">
        <v>5700</v>
      </c>
      <c r="I957" s="18">
        <v>1734.09</v>
      </c>
      <c r="J957" s="7" t="str">
        <f>IFERROR(_xlfn.XLOOKUP(F957,ccustos!A:A,ccustos!B:B),"Sem termo")</f>
        <v>Sem termo</v>
      </c>
    </row>
    <row r="958" spans="1:10" ht="36.75" customHeight="1" x14ac:dyDescent="0.25">
      <c r="A958" s="14">
        <v>11419</v>
      </c>
      <c r="B958" s="7" t="s">
        <v>236</v>
      </c>
      <c r="C958" s="7" t="s">
        <v>387</v>
      </c>
      <c r="D958" s="7" t="s">
        <v>778</v>
      </c>
      <c r="E958" s="7" t="s">
        <v>250</v>
      </c>
      <c r="F958" s="7" t="s">
        <v>76</v>
      </c>
      <c r="G958" s="7" t="s">
        <v>389</v>
      </c>
      <c r="H958" s="15">
        <v>720</v>
      </c>
      <c r="I958" s="15">
        <v>350.07</v>
      </c>
      <c r="J958" s="7" t="str">
        <f>IFERROR(_xlfn.XLOOKUP(F958,ccustos!A:A,ccustos!B:B),"Sem termo")</f>
        <v>SEPAT</v>
      </c>
    </row>
    <row r="959" spans="1:10" ht="36.75" customHeight="1" x14ac:dyDescent="0.25">
      <c r="A959" s="16">
        <v>11420</v>
      </c>
      <c r="B959" s="17" t="s">
        <v>236</v>
      </c>
      <c r="C959" s="17" t="s">
        <v>241</v>
      </c>
      <c r="D959" s="17" t="s">
        <v>779</v>
      </c>
      <c r="E959" s="17" t="s">
        <v>239</v>
      </c>
      <c r="F959" s="17" t="s">
        <v>0</v>
      </c>
      <c r="G959" s="17" t="s">
        <v>291</v>
      </c>
      <c r="H959" s="18">
        <v>95.58</v>
      </c>
      <c r="I959" s="18">
        <v>141.34</v>
      </c>
      <c r="J959" s="7" t="str">
        <f>IFERROR(_xlfn.XLOOKUP(F959,ccustos!A:A,ccustos!B:B),"Sem termo")</f>
        <v>SEPAT</v>
      </c>
    </row>
    <row r="960" spans="1:10" ht="25.5" customHeight="1" x14ac:dyDescent="0.25">
      <c r="A960" s="14">
        <v>11424</v>
      </c>
      <c r="B960" s="7" t="s">
        <v>236</v>
      </c>
      <c r="C960" s="7" t="s">
        <v>241</v>
      </c>
      <c r="D960" s="7" t="s">
        <v>780</v>
      </c>
      <c r="E960" s="7" t="s">
        <v>239</v>
      </c>
      <c r="F960" s="7" t="s">
        <v>6</v>
      </c>
      <c r="G960" s="7" t="s">
        <v>781</v>
      </c>
      <c r="H960" s="15">
        <v>0.05</v>
      </c>
      <c r="I960" s="15">
        <v>424.03</v>
      </c>
      <c r="J960" s="7" t="str">
        <f>IFERROR(_xlfn.XLOOKUP(F960,ccustos!A:A,ccustos!B:B),"Sem termo")</f>
        <v>SEPAT</v>
      </c>
    </row>
    <row r="961" spans="1:10" ht="36.75" customHeight="1" x14ac:dyDescent="0.25">
      <c r="A961" s="16">
        <v>11425</v>
      </c>
      <c r="B961" s="17" t="s">
        <v>236</v>
      </c>
      <c r="C961" s="17" t="s">
        <v>333</v>
      </c>
      <c r="D961" s="17" t="s">
        <v>782</v>
      </c>
      <c r="E961" s="17" t="s">
        <v>335</v>
      </c>
      <c r="F961" s="17" t="s">
        <v>205</v>
      </c>
      <c r="G961" s="17" t="s">
        <v>783</v>
      </c>
      <c r="H961" s="18">
        <v>1206.6600000000001</v>
      </c>
      <c r="I961" s="18">
        <v>194.34</v>
      </c>
      <c r="J961" s="7" t="str">
        <f>IFERROR(_xlfn.XLOOKUP(F961,ccustos!A:A,ccustos!B:B),"Sem termo")</f>
        <v>CCOM</v>
      </c>
    </row>
    <row r="962" spans="1:10" ht="36.75" customHeight="1" x14ac:dyDescent="0.25">
      <c r="A962" s="14">
        <v>11428</v>
      </c>
      <c r="B962" s="7" t="s">
        <v>236</v>
      </c>
      <c r="C962" s="7" t="s">
        <v>333</v>
      </c>
      <c r="D962" s="7" t="s">
        <v>784</v>
      </c>
      <c r="E962" s="7" t="s">
        <v>335</v>
      </c>
      <c r="F962" s="7" t="s">
        <v>47</v>
      </c>
      <c r="G962" s="7" t="s">
        <v>348</v>
      </c>
      <c r="H962" s="15">
        <v>618.41999999999996</v>
      </c>
      <c r="I962" s="15">
        <v>125.33</v>
      </c>
      <c r="J962" s="7" t="str">
        <f>IFERROR(_xlfn.XLOOKUP(F962,ccustos!A:A,ccustos!B:B),"Sem termo")</f>
        <v>CDPROF</v>
      </c>
    </row>
    <row r="963" spans="1:10" ht="36.75" customHeight="1" x14ac:dyDescent="0.25">
      <c r="A963" s="16">
        <v>11433</v>
      </c>
      <c r="B963" s="17" t="s">
        <v>236</v>
      </c>
      <c r="C963" s="17" t="s">
        <v>337</v>
      </c>
      <c r="D963" s="17" t="s">
        <v>338</v>
      </c>
      <c r="E963" s="17" t="s">
        <v>239</v>
      </c>
      <c r="F963" s="17" t="s">
        <v>256</v>
      </c>
      <c r="G963" s="17" t="s">
        <v>339</v>
      </c>
      <c r="H963" s="18">
        <v>237</v>
      </c>
      <c r="I963" s="18">
        <v>215.09</v>
      </c>
      <c r="J963" s="7" t="str">
        <f>IFERROR(_xlfn.XLOOKUP(F963,ccustos!A:A,ccustos!B:B),"Sem termo")</f>
        <v>Sem termo</v>
      </c>
    </row>
    <row r="964" spans="1:10" ht="36.75" customHeight="1" x14ac:dyDescent="0.25">
      <c r="A964" s="14">
        <v>11434</v>
      </c>
      <c r="B964" s="7" t="s">
        <v>236</v>
      </c>
      <c r="C964" s="7" t="s">
        <v>237</v>
      </c>
      <c r="D964" s="7" t="s">
        <v>785</v>
      </c>
      <c r="E964" s="7" t="s">
        <v>239</v>
      </c>
      <c r="F964" s="7" t="s">
        <v>205</v>
      </c>
      <c r="G964" s="7" t="s">
        <v>305</v>
      </c>
      <c r="H964" s="15">
        <v>284.27999999999997</v>
      </c>
      <c r="I964" s="15">
        <v>173.7</v>
      </c>
      <c r="J964" s="7" t="str">
        <f>IFERROR(_xlfn.XLOOKUP(F964,ccustos!A:A,ccustos!B:B),"Sem termo")</f>
        <v>CCOM</v>
      </c>
    </row>
    <row r="965" spans="1:10" ht="25.5" customHeight="1" x14ac:dyDescent="0.25">
      <c r="A965" s="16">
        <v>11435</v>
      </c>
      <c r="B965" s="17" t="s">
        <v>236</v>
      </c>
      <c r="C965" s="17" t="s">
        <v>237</v>
      </c>
      <c r="D965" s="17" t="s">
        <v>277</v>
      </c>
      <c r="E965" s="17" t="s">
        <v>239</v>
      </c>
      <c r="F965" s="17" t="s">
        <v>8</v>
      </c>
      <c r="G965" s="17" t="s">
        <v>278</v>
      </c>
      <c r="H965" s="18">
        <v>201.3</v>
      </c>
      <c r="I965" s="18">
        <v>173.7</v>
      </c>
      <c r="J965" s="7" t="str">
        <f>IFERROR(_xlfn.XLOOKUP(F965,ccustos!A:A,ccustos!B:B),"Sem termo")</f>
        <v>DEINFRA</v>
      </c>
    </row>
    <row r="966" spans="1:10" ht="25.5" customHeight="1" x14ac:dyDescent="0.25">
      <c r="A966" s="14">
        <v>11438</v>
      </c>
      <c r="B966" s="7" t="s">
        <v>236</v>
      </c>
      <c r="C966" s="7" t="s">
        <v>241</v>
      </c>
      <c r="D966" s="7" t="s">
        <v>354</v>
      </c>
      <c r="E966" s="7" t="s">
        <v>239</v>
      </c>
      <c r="F966" s="7" t="s">
        <v>13</v>
      </c>
      <c r="G966" s="7" t="s">
        <v>339</v>
      </c>
      <c r="H966" s="15">
        <v>238</v>
      </c>
      <c r="I966" s="15">
        <v>141.63</v>
      </c>
      <c r="J966" s="7" t="str">
        <f>IFERROR(_xlfn.XLOOKUP(F966,ccustos!A:A,ccustos!B:B),"Sem termo")</f>
        <v>SEPROT</v>
      </c>
    </row>
    <row r="967" spans="1:10" ht="25.5" customHeight="1" x14ac:dyDescent="0.25">
      <c r="A967" s="16">
        <v>11439</v>
      </c>
      <c r="B967" s="17" t="s">
        <v>236</v>
      </c>
      <c r="C967" s="17" t="s">
        <v>241</v>
      </c>
      <c r="D967" s="17" t="s">
        <v>354</v>
      </c>
      <c r="E967" s="17" t="s">
        <v>239</v>
      </c>
      <c r="F967" s="17" t="s">
        <v>71</v>
      </c>
      <c r="G967" s="17" t="s">
        <v>339</v>
      </c>
      <c r="H967" s="18">
        <v>238</v>
      </c>
      <c r="I967" s="18">
        <v>141.63</v>
      </c>
      <c r="J967" s="7" t="str">
        <f>IFERROR(_xlfn.XLOOKUP(F967,ccustos!A:A,ccustos!B:B),"Sem termo")</f>
        <v>SEPAT</v>
      </c>
    </row>
    <row r="968" spans="1:10" ht="25.5" customHeight="1" x14ac:dyDescent="0.25">
      <c r="A968" s="14">
        <v>11440</v>
      </c>
      <c r="B968" s="7" t="s">
        <v>236</v>
      </c>
      <c r="C968" s="7" t="s">
        <v>306</v>
      </c>
      <c r="D968" s="7" t="s">
        <v>369</v>
      </c>
      <c r="E968" s="7" t="s">
        <v>239</v>
      </c>
      <c r="F968" s="7" t="s">
        <v>205</v>
      </c>
      <c r="G968" s="7" t="s">
        <v>289</v>
      </c>
      <c r="H968" s="15">
        <v>444.97</v>
      </c>
      <c r="I968" s="15">
        <v>195.89</v>
      </c>
      <c r="J968" s="7" t="str">
        <f>IFERROR(_xlfn.XLOOKUP(F968,ccustos!A:A,ccustos!B:B),"Sem termo")</f>
        <v>CCOM</v>
      </c>
    </row>
    <row r="969" spans="1:10" ht="36.75" customHeight="1" x14ac:dyDescent="0.25">
      <c r="A969" s="16">
        <v>11441</v>
      </c>
      <c r="B969" s="17" t="s">
        <v>236</v>
      </c>
      <c r="C969" s="17" t="s">
        <v>306</v>
      </c>
      <c r="D969" s="17" t="s">
        <v>369</v>
      </c>
      <c r="E969" s="17" t="s">
        <v>239</v>
      </c>
      <c r="F969" s="17" t="s">
        <v>30</v>
      </c>
      <c r="G969" s="17" t="s">
        <v>289</v>
      </c>
      <c r="H969" s="18">
        <v>444.97</v>
      </c>
      <c r="I969" s="18">
        <v>195.89</v>
      </c>
      <c r="J969" s="7" t="str">
        <f>IFERROR(_xlfn.XLOOKUP(F969,ccustos!A:A,ccustos!B:B),"Sem termo")</f>
        <v>COFIS</v>
      </c>
    </row>
    <row r="970" spans="1:10" ht="36.75" customHeight="1" x14ac:dyDescent="0.25">
      <c r="A970" s="14">
        <v>11442</v>
      </c>
      <c r="B970" s="7" t="s">
        <v>236</v>
      </c>
      <c r="C970" s="7" t="s">
        <v>306</v>
      </c>
      <c r="D970" s="7" t="s">
        <v>786</v>
      </c>
      <c r="E970" s="7" t="s">
        <v>239</v>
      </c>
      <c r="F970" s="7" t="s">
        <v>0</v>
      </c>
      <c r="G970" s="7" t="s">
        <v>409</v>
      </c>
      <c r="H970" s="15">
        <v>424</v>
      </c>
      <c r="I970" s="15">
        <v>326.97000000000003</v>
      </c>
      <c r="J970" s="7" t="str">
        <f>IFERROR(_xlfn.XLOOKUP(F970,ccustos!A:A,ccustos!B:B),"Sem termo")</f>
        <v>SEPAT</v>
      </c>
    </row>
    <row r="971" spans="1:10" ht="36.75" customHeight="1" x14ac:dyDescent="0.25">
      <c r="A971" s="16">
        <v>11443</v>
      </c>
      <c r="B971" s="17" t="s">
        <v>236</v>
      </c>
      <c r="C971" s="17" t="s">
        <v>306</v>
      </c>
      <c r="D971" s="17" t="s">
        <v>369</v>
      </c>
      <c r="E971" s="17" t="s">
        <v>239</v>
      </c>
      <c r="F971" s="17" t="s">
        <v>24</v>
      </c>
      <c r="G971" s="17" t="s">
        <v>308</v>
      </c>
      <c r="H971" s="18">
        <v>447.96</v>
      </c>
      <c r="I971" s="18">
        <v>195.89</v>
      </c>
      <c r="J971" s="7" t="str">
        <f>IFERROR(_xlfn.XLOOKUP(F971,ccustos!A:A,ccustos!B:B),"Sem termo")</f>
        <v>DEINFRA</v>
      </c>
    </row>
    <row r="972" spans="1:10" ht="25.5" customHeight="1" x14ac:dyDescent="0.25">
      <c r="A972" s="14">
        <v>11444</v>
      </c>
      <c r="B972" s="7" t="s">
        <v>236</v>
      </c>
      <c r="C972" s="7" t="s">
        <v>306</v>
      </c>
      <c r="D972" s="7" t="s">
        <v>369</v>
      </c>
      <c r="E972" s="7" t="s">
        <v>239</v>
      </c>
      <c r="F972" s="7" t="s">
        <v>205</v>
      </c>
      <c r="G972" s="7" t="s">
        <v>289</v>
      </c>
      <c r="H972" s="15">
        <v>444.97</v>
      </c>
      <c r="I972" s="15">
        <v>195.89</v>
      </c>
      <c r="J972" s="7" t="str">
        <f>IFERROR(_xlfn.XLOOKUP(F972,ccustos!A:A,ccustos!B:B),"Sem termo")</f>
        <v>CCOM</v>
      </c>
    </row>
    <row r="973" spans="1:10" ht="25.5" customHeight="1" x14ac:dyDescent="0.25">
      <c r="A973" s="16">
        <v>11446</v>
      </c>
      <c r="B973" s="17" t="s">
        <v>236</v>
      </c>
      <c r="C973" s="17" t="s">
        <v>337</v>
      </c>
      <c r="D973" s="17" t="s">
        <v>338</v>
      </c>
      <c r="E973" s="17" t="s">
        <v>239</v>
      </c>
      <c r="F973" s="17" t="s">
        <v>205</v>
      </c>
      <c r="G973" s="17" t="s">
        <v>339</v>
      </c>
      <c r="H973" s="18">
        <v>237</v>
      </c>
      <c r="I973" s="18">
        <v>215.09</v>
      </c>
      <c r="J973" s="7" t="str">
        <f>IFERROR(_xlfn.XLOOKUP(F973,ccustos!A:A,ccustos!B:B),"Sem termo")</f>
        <v>CCOM</v>
      </c>
    </row>
    <row r="974" spans="1:10" ht="25.5" customHeight="1" x14ac:dyDescent="0.25">
      <c r="A974" s="14">
        <v>11447</v>
      </c>
      <c r="B974" s="7" t="s">
        <v>236</v>
      </c>
      <c r="C974" s="7" t="s">
        <v>327</v>
      </c>
      <c r="D974" s="7" t="s">
        <v>787</v>
      </c>
      <c r="E974" s="7" t="s">
        <v>239</v>
      </c>
      <c r="F974" s="7" t="s">
        <v>205</v>
      </c>
      <c r="G974" s="7" t="s">
        <v>331</v>
      </c>
      <c r="H974" s="15">
        <v>446</v>
      </c>
      <c r="I974" s="15">
        <v>1464.22</v>
      </c>
      <c r="J974" s="7" t="str">
        <f>IFERROR(_xlfn.XLOOKUP(F974,ccustos!A:A,ccustos!B:B),"Sem termo")</f>
        <v>CCOM</v>
      </c>
    </row>
    <row r="975" spans="1:10" ht="25.5" customHeight="1" x14ac:dyDescent="0.25">
      <c r="A975" s="16">
        <v>11448</v>
      </c>
      <c r="B975" s="17" t="s">
        <v>236</v>
      </c>
      <c r="C975" s="17" t="s">
        <v>337</v>
      </c>
      <c r="D975" s="17" t="s">
        <v>338</v>
      </c>
      <c r="E975" s="17" t="s">
        <v>239</v>
      </c>
      <c r="F975" s="17" t="s">
        <v>205</v>
      </c>
      <c r="G975" s="17" t="s">
        <v>339</v>
      </c>
      <c r="H975" s="18">
        <v>237</v>
      </c>
      <c r="I975" s="18">
        <v>213.43</v>
      </c>
      <c r="J975" s="7" t="str">
        <f>IFERROR(_xlfn.XLOOKUP(F975,ccustos!A:A,ccustos!B:B),"Sem termo")</f>
        <v>CCOM</v>
      </c>
    </row>
    <row r="976" spans="1:10" ht="25.5" customHeight="1" x14ac:dyDescent="0.25">
      <c r="A976" s="14">
        <v>11450</v>
      </c>
      <c r="B976" s="7" t="s">
        <v>236</v>
      </c>
      <c r="C976" s="7" t="s">
        <v>337</v>
      </c>
      <c r="D976" s="7" t="s">
        <v>346</v>
      </c>
      <c r="E976" s="7" t="s">
        <v>239</v>
      </c>
      <c r="F976" s="7" t="s">
        <v>205</v>
      </c>
      <c r="G976" s="7" t="s">
        <v>331</v>
      </c>
      <c r="H976" s="15">
        <v>298</v>
      </c>
      <c r="I976" s="15">
        <v>215.09</v>
      </c>
      <c r="J976" s="7" t="str">
        <f>IFERROR(_xlfn.XLOOKUP(F976,ccustos!A:A,ccustos!B:B),"Sem termo")</f>
        <v>CCOM</v>
      </c>
    </row>
    <row r="977" spans="1:10" ht="25.5" customHeight="1" x14ac:dyDescent="0.25">
      <c r="A977" s="16">
        <v>11451</v>
      </c>
      <c r="B977" s="17" t="s">
        <v>236</v>
      </c>
      <c r="C977" s="17" t="s">
        <v>237</v>
      </c>
      <c r="D977" s="17" t="s">
        <v>277</v>
      </c>
      <c r="E977" s="17" t="s">
        <v>239</v>
      </c>
      <c r="F977" s="17" t="s">
        <v>205</v>
      </c>
      <c r="G977" s="17" t="s">
        <v>278</v>
      </c>
      <c r="H977" s="18">
        <v>201.3</v>
      </c>
      <c r="I977" s="18">
        <v>173.7</v>
      </c>
      <c r="J977" s="7" t="str">
        <f>IFERROR(_xlfn.XLOOKUP(F977,ccustos!A:A,ccustos!B:B),"Sem termo")</f>
        <v>CCOM</v>
      </c>
    </row>
    <row r="978" spans="1:10" ht="25.5" customHeight="1" x14ac:dyDescent="0.25">
      <c r="A978" s="14">
        <v>11455</v>
      </c>
      <c r="B978" s="7" t="s">
        <v>236</v>
      </c>
      <c r="C978" s="7" t="s">
        <v>333</v>
      </c>
      <c r="D978" s="7" t="s">
        <v>788</v>
      </c>
      <c r="E978" s="7" t="s">
        <v>335</v>
      </c>
      <c r="F978" s="7" t="s">
        <v>20</v>
      </c>
      <c r="G978" s="7" t="s">
        <v>336</v>
      </c>
      <c r="H978" s="15">
        <v>750</v>
      </c>
      <c r="I978" s="15">
        <v>51.14</v>
      </c>
      <c r="J978" s="7" t="str">
        <f>IFERROR(_xlfn.XLOOKUP(F978,ccustos!A:A,ccustos!B:B),"Sem termo")</f>
        <v>CGTI</v>
      </c>
    </row>
    <row r="979" spans="1:10" ht="36.75" customHeight="1" x14ac:dyDescent="0.25">
      <c r="A979" s="16">
        <v>11458</v>
      </c>
      <c r="B979" s="17" t="s">
        <v>236</v>
      </c>
      <c r="C979" s="17" t="s">
        <v>241</v>
      </c>
      <c r="D979" s="17" t="s">
        <v>789</v>
      </c>
      <c r="E979" s="17" t="s">
        <v>239</v>
      </c>
      <c r="F979" s="17" t="s">
        <v>62</v>
      </c>
      <c r="G979" s="17" t="s">
        <v>339</v>
      </c>
      <c r="H979" s="18">
        <v>364</v>
      </c>
      <c r="I979" s="18">
        <v>390.65</v>
      </c>
      <c r="J979" s="7" t="str">
        <f>IFERROR(_xlfn.XLOOKUP(F979,ccustos!A:A,ccustos!B:B),"Sem termo")</f>
        <v>SETRAN</v>
      </c>
    </row>
    <row r="980" spans="1:10" ht="36.75" customHeight="1" x14ac:dyDescent="0.25">
      <c r="A980" s="14">
        <v>11459</v>
      </c>
      <c r="B980" s="7" t="s">
        <v>236</v>
      </c>
      <c r="C980" s="7" t="s">
        <v>241</v>
      </c>
      <c r="D980" s="7" t="s">
        <v>790</v>
      </c>
      <c r="E980" s="7" t="s">
        <v>239</v>
      </c>
      <c r="F980" s="7" t="s">
        <v>13</v>
      </c>
      <c r="G980" s="7" t="s">
        <v>331</v>
      </c>
      <c r="H980" s="15">
        <v>5357</v>
      </c>
      <c r="I980" s="15">
        <v>390.65</v>
      </c>
      <c r="J980" s="7" t="str">
        <f>IFERROR(_xlfn.XLOOKUP(F980,ccustos!A:A,ccustos!B:B),"Sem termo")</f>
        <v>SEPROT</v>
      </c>
    </row>
    <row r="981" spans="1:10" ht="36.75" customHeight="1" x14ac:dyDescent="0.25">
      <c r="A981" s="16">
        <v>11462</v>
      </c>
      <c r="B981" s="17" t="s">
        <v>236</v>
      </c>
      <c r="C981" s="17" t="s">
        <v>241</v>
      </c>
      <c r="D981" s="17" t="s">
        <v>791</v>
      </c>
      <c r="E981" s="17" t="s">
        <v>239</v>
      </c>
      <c r="F981" s="17" t="s">
        <v>8</v>
      </c>
      <c r="G981" s="17" t="s">
        <v>291</v>
      </c>
      <c r="H981" s="18">
        <v>106.74</v>
      </c>
      <c r="I981" s="18">
        <v>141.63</v>
      </c>
      <c r="J981" s="7" t="str">
        <f>IFERROR(_xlfn.XLOOKUP(F981,ccustos!A:A,ccustos!B:B),"Sem termo")</f>
        <v>DEINFRA</v>
      </c>
    </row>
    <row r="982" spans="1:10" ht="36.75" customHeight="1" x14ac:dyDescent="0.25">
      <c r="A982" s="14">
        <v>11463</v>
      </c>
      <c r="B982" s="7" t="s">
        <v>236</v>
      </c>
      <c r="C982" s="7" t="s">
        <v>306</v>
      </c>
      <c r="D982" s="7" t="s">
        <v>512</v>
      </c>
      <c r="E982" s="7" t="s">
        <v>239</v>
      </c>
      <c r="F982" s="7" t="s">
        <v>205</v>
      </c>
      <c r="G982" s="7" t="s">
        <v>339</v>
      </c>
      <c r="H982" s="15">
        <v>238.22</v>
      </c>
      <c r="I982" s="15">
        <v>185.02</v>
      </c>
      <c r="J982" s="7" t="str">
        <f>IFERROR(_xlfn.XLOOKUP(F982,ccustos!A:A,ccustos!B:B),"Sem termo")</f>
        <v>CCOM</v>
      </c>
    </row>
    <row r="983" spans="1:10" ht="36.75" customHeight="1" x14ac:dyDescent="0.25">
      <c r="A983" s="16">
        <v>11466</v>
      </c>
      <c r="B983" s="17" t="s">
        <v>236</v>
      </c>
      <c r="C983" s="17" t="s">
        <v>237</v>
      </c>
      <c r="D983" s="17" t="s">
        <v>358</v>
      </c>
      <c r="E983" s="17" t="s">
        <v>239</v>
      </c>
      <c r="F983" s="17" t="s">
        <v>185</v>
      </c>
      <c r="G983" s="17" t="s">
        <v>619</v>
      </c>
      <c r="H983" s="18">
        <v>1021.01</v>
      </c>
      <c r="I983" s="18">
        <v>397.35</v>
      </c>
      <c r="J983" s="7" t="str">
        <f>IFERROR(_xlfn.XLOOKUP(F983,ccustos!A:A,ccustos!B:B),"Sem termo")</f>
        <v>CGGE</v>
      </c>
    </row>
    <row r="984" spans="1:10" ht="36.75" customHeight="1" x14ac:dyDescent="0.25">
      <c r="A984" s="14">
        <v>11468</v>
      </c>
      <c r="B984" s="7" t="s">
        <v>236</v>
      </c>
      <c r="C984" s="7" t="s">
        <v>241</v>
      </c>
      <c r="D984" s="7" t="s">
        <v>482</v>
      </c>
      <c r="E984" s="7" t="s">
        <v>239</v>
      </c>
      <c r="F984" s="7" t="s">
        <v>83</v>
      </c>
      <c r="G984" s="7" t="s">
        <v>324</v>
      </c>
      <c r="H984" s="15">
        <v>1267.6099999999999</v>
      </c>
      <c r="I984" s="15">
        <v>563.63</v>
      </c>
      <c r="J984" s="7" t="str">
        <f>IFERROR(_xlfn.XLOOKUP(F984,ccustos!A:A,ccustos!B:B),"Sem termo")</f>
        <v>GABIN</v>
      </c>
    </row>
    <row r="985" spans="1:10" ht="36.75" customHeight="1" x14ac:dyDescent="0.25">
      <c r="A985" s="16">
        <v>11470</v>
      </c>
      <c r="B985" s="17" t="s">
        <v>236</v>
      </c>
      <c r="C985" s="17" t="s">
        <v>237</v>
      </c>
      <c r="D985" s="17" t="s">
        <v>277</v>
      </c>
      <c r="E985" s="17" t="s">
        <v>239</v>
      </c>
      <c r="F985" s="17" t="s">
        <v>0</v>
      </c>
      <c r="G985" s="17" t="s">
        <v>278</v>
      </c>
      <c r="H985" s="18">
        <v>201.3</v>
      </c>
      <c r="I985" s="18">
        <v>176.67</v>
      </c>
      <c r="J985" s="7" t="str">
        <f>IFERROR(_xlfn.XLOOKUP(F985,ccustos!A:A,ccustos!B:B),"Sem termo")</f>
        <v>SEPAT</v>
      </c>
    </row>
    <row r="986" spans="1:10" ht="36.75" customHeight="1" x14ac:dyDescent="0.25">
      <c r="A986" s="14">
        <v>11472</v>
      </c>
      <c r="B986" s="7" t="s">
        <v>236</v>
      </c>
      <c r="C986" s="7" t="s">
        <v>387</v>
      </c>
      <c r="D986" s="7" t="s">
        <v>792</v>
      </c>
      <c r="E986" s="7" t="s">
        <v>250</v>
      </c>
      <c r="F986" s="7" t="s">
        <v>58</v>
      </c>
      <c r="G986" s="7" t="s">
        <v>389</v>
      </c>
      <c r="H986" s="15">
        <v>720</v>
      </c>
      <c r="I986" s="15">
        <v>350.07</v>
      </c>
      <c r="J986" s="7" t="str">
        <f>IFERROR(_xlfn.XLOOKUP(F986,ccustos!A:A,ccustos!B:B),"Sem termo")</f>
        <v>SEPAT</v>
      </c>
    </row>
    <row r="987" spans="1:10" ht="36.75" customHeight="1" x14ac:dyDescent="0.25">
      <c r="A987" s="16">
        <v>11473</v>
      </c>
      <c r="B987" s="17" t="s">
        <v>236</v>
      </c>
      <c r="C987" s="17" t="s">
        <v>241</v>
      </c>
      <c r="D987" s="17" t="s">
        <v>288</v>
      </c>
      <c r="E987" s="17" t="s">
        <v>239</v>
      </c>
      <c r="F987" s="17" t="s">
        <v>48</v>
      </c>
      <c r="G987" s="17" t="s">
        <v>289</v>
      </c>
      <c r="H987" s="18">
        <v>131.78</v>
      </c>
      <c r="I987" s="18">
        <v>141.34</v>
      </c>
      <c r="J987" s="7" t="str">
        <f>IFERROR(_xlfn.XLOOKUP(F987,ccustos!A:A,ccustos!B:B),"Sem termo")</f>
        <v>DEPES</v>
      </c>
    </row>
    <row r="988" spans="1:10" ht="36.75" customHeight="1" x14ac:dyDescent="0.25">
      <c r="A988" s="14">
        <v>11474</v>
      </c>
      <c r="B988" s="7" t="s">
        <v>236</v>
      </c>
      <c r="C988" s="7" t="s">
        <v>333</v>
      </c>
      <c r="D988" s="7" t="s">
        <v>793</v>
      </c>
      <c r="E988" s="7" t="s">
        <v>335</v>
      </c>
      <c r="F988" s="7" t="s">
        <v>205</v>
      </c>
      <c r="G988" s="7" t="s">
        <v>783</v>
      </c>
      <c r="H988" s="15">
        <v>1206.6600000000001</v>
      </c>
      <c r="I988" s="15">
        <v>194.34</v>
      </c>
      <c r="J988" s="7" t="str">
        <f>IFERROR(_xlfn.XLOOKUP(F988,ccustos!A:A,ccustos!B:B),"Sem termo")</f>
        <v>CCOM</v>
      </c>
    </row>
    <row r="989" spans="1:10" ht="36.75" customHeight="1" x14ac:dyDescent="0.25">
      <c r="A989" s="16">
        <v>11480</v>
      </c>
      <c r="B989" s="17" t="s">
        <v>236</v>
      </c>
      <c r="C989" s="17" t="s">
        <v>237</v>
      </c>
      <c r="D989" s="17" t="s">
        <v>277</v>
      </c>
      <c r="E989" s="17" t="s">
        <v>239</v>
      </c>
      <c r="F989" s="17" t="s">
        <v>14</v>
      </c>
      <c r="G989" s="17" t="s">
        <v>278</v>
      </c>
      <c r="H989" s="18">
        <v>201.3</v>
      </c>
      <c r="I989" s="18">
        <v>176.67</v>
      </c>
      <c r="J989" s="7" t="str">
        <f>IFERROR(_xlfn.XLOOKUP(F989,ccustos!A:A,ccustos!B:B),"Sem termo")</f>
        <v>SEPAT</v>
      </c>
    </row>
    <row r="990" spans="1:10" ht="36.75" customHeight="1" x14ac:dyDescent="0.25">
      <c r="A990" s="14">
        <v>11481</v>
      </c>
      <c r="B990" s="7" t="s">
        <v>236</v>
      </c>
      <c r="C990" s="7" t="s">
        <v>237</v>
      </c>
      <c r="D990" s="7" t="s">
        <v>794</v>
      </c>
      <c r="E990" s="7" t="s">
        <v>239</v>
      </c>
      <c r="F990" s="7" t="s">
        <v>27</v>
      </c>
      <c r="G990" s="7" t="s">
        <v>243</v>
      </c>
      <c r="H990" s="15">
        <v>0.1</v>
      </c>
      <c r="I990" s="15">
        <v>521.1</v>
      </c>
      <c r="J990" s="7" t="str">
        <f>IFERROR(_xlfn.XLOOKUP(F990,ccustos!A:A,ccustos!B:B),"Sem termo")</f>
        <v>CCI</v>
      </c>
    </row>
    <row r="991" spans="1:10" ht="36.75" customHeight="1" x14ac:dyDescent="0.25">
      <c r="A991" s="16">
        <v>11482</v>
      </c>
      <c r="B991" s="17" t="s">
        <v>236</v>
      </c>
      <c r="C991" s="17" t="s">
        <v>237</v>
      </c>
      <c r="D991" s="17" t="s">
        <v>277</v>
      </c>
      <c r="E991" s="17" t="s">
        <v>239</v>
      </c>
      <c r="F991" s="17" t="s">
        <v>0</v>
      </c>
      <c r="G991" s="17" t="s">
        <v>278</v>
      </c>
      <c r="H991" s="18">
        <v>201.3</v>
      </c>
      <c r="I991" s="18">
        <v>176.67</v>
      </c>
      <c r="J991" s="7" t="str">
        <f>IFERROR(_xlfn.XLOOKUP(F991,ccustos!A:A,ccustos!B:B),"Sem termo")</f>
        <v>SEPAT</v>
      </c>
    </row>
    <row r="992" spans="1:10" ht="36.75" customHeight="1" x14ac:dyDescent="0.25">
      <c r="A992" s="14">
        <v>11483</v>
      </c>
      <c r="B992" s="7" t="s">
        <v>236</v>
      </c>
      <c r="C992" s="7" t="s">
        <v>237</v>
      </c>
      <c r="D992" s="7" t="s">
        <v>277</v>
      </c>
      <c r="E992" s="7" t="s">
        <v>239</v>
      </c>
      <c r="F992" s="7" t="s">
        <v>14</v>
      </c>
      <c r="G992" s="7" t="s">
        <v>278</v>
      </c>
      <c r="H992" s="15">
        <v>201.3</v>
      </c>
      <c r="I992" s="15">
        <v>173.7</v>
      </c>
      <c r="J992" s="7" t="str">
        <f>IFERROR(_xlfn.XLOOKUP(F992,ccustos!A:A,ccustos!B:B),"Sem termo")</f>
        <v>SEPAT</v>
      </c>
    </row>
    <row r="993" spans="1:10" ht="36.75" customHeight="1" x14ac:dyDescent="0.25">
      <c r="A993" s="16">
        <v>11484</v>
      </c>
      <c r="B993" s="17" t="s">
        <v>236</v>
      </c>
      <c r="C993" s="17" t="s">
        <v>237</v>
      </c>
      <c r="D993" s="17" t="s">
        <v>277</v>
      </c>
      <c r="E993" s="17" t="s">
        <v>239</v>
      </c>
      <c r="F993" s="17" t="s">
        <v>0</v>
      </c>
      <c r="G993" s="17" t="s">
        <v>278</v>
      </c>
      <c r="H993" s="18">
        <v>201.3</v>
      </c>
      <c r="I993" s="18">
        <v>173.7</v>
      </c>
      <c r="J993" s="7" t="str">
        <f>IFERROR(_xlfn.XLOOKUP(F993,ccustos!A:A,ccustos!B:B),"Sem termo")</f>
        <v>SEPAT</v>
      </c>
    </row>
    <row r="994" spans="1:10" ht="36.75" customHeight="1" x14ac:dyDescent="0.25">
      <c r="A994" s="14">
        <v>11489</v>
      </c>
      <c r="B994" s="7" t="s">
        <v>236</v>
      </c>
      <c r="C994" s="7" t="s">
        <v>306</v>
      </c>
      <c r="D994" s="7" t="s">
        <v>512</v>
      </c>
      <c r="E994" s="7" t="s">
        <v>239</v>
      </c>
      <c r="F994" s="7" t="s">
        <v>205</v>
      </c>
      <c r="G994" s="7" t="s">
        <v>339</v>
      </c>
      <c r="H994" s="15">
        <v>238.22</v>
      </c>
      <c r="I994" s="15">
        <v>203.71</v>
      </c>
      <c r="J994" s="7" t="str">
        <f>IFERROR(_xlfn.XLOOKUP(F994,ccustos!A:A,ccustos!B:B),"Sem termo")</f>
        <v>CCOM</v>
      </c>
    </row>
    <row r="995" spans="1:10" ht="36.75" customHeight="1" x14ac:dyDescent="0.25">
      <c r="A995" s="16">
        <v>11491</v>
      </c>
      <c r="B995" s="17" t="s">
        <v>236</v>
      </c>
      <c r="C995" s="17" t="s">
        <v>306</v>
      </c>
      <c r="D995" s="17" t="s">
        <v>307</v>
      </c>
      <c r="E995" s="17" t="s">
        <v>239</v>
      </c>
      <c r="F995" s="17" t="s">
        <v>0</v>
      </c>
      <c r="G995" s="17" t="s">
        <v>308</v>
      </c>
      <c r="H995" s="18">
        <v>310.75</v>
      </c>
      <c r="I995" s="18">
        <v>165.21</v>
      </c>
      <c r="J995" s="7" t="str">
        <f>IFERROR(_xlfn.XLOOKUP(F995,ccustos!A:A,ccustos!B:B),"Sem termo")</f>
        <v>SEPAT</v>
      </c>
    </row>
    <row r="996" spans="1:10" ht="36.75" customHeight="1" x14ac:dyDescent="0.25">
      <c r="A996" s="14">
        <v>11492</v>
      </c>
      <c r="B996" s="7" t="s">
        <v>236</v>
      </c>
      <c r="C996" s="7" t="s">
        <v>306</v>
      </c>
      <c r="D996" s="7" t="s">
        <v>307</v>
      </c>
      <c r="E996" s="7" t="s">
        <v>239</v>
      </c>
      <c r="F996" s="7" t="s">
        <v>205</v>
      </c>
      <c r="G996" s="7" t="s">
        <v>289</v>
      </c>
      <c r="H996" s="15">
        <v>287.67</v>
      </c>
      <c r="I996" s="15">
        <v>151.19999999999999</v>
      </c>
      <c r="J996" s="7" t="str">
        <f>IFERROR(_xlfn.XLOOKUP(F996,ccustos!A:A,ccustos!B:B),"Sem termo")</f>
        <v>CCOM</v>
      </c>
    </row>
    <row r="997" spans="1:10" ht="36.75" customHeight="1" x14ac:dyDescent="0.25">
      <c r="A997" s="16">
        <v>11494</v>
      </c>
      <c r="B997" s="17" t="s">
        <v>236</v>
      </c>
      <c r="C997" s="17" t="s">
        <v>241</v>
      </c>
      <c r="D997" s="17" t="s">
        <v>354</v>
      </c>
      <c r="E997" s="17" t="s">
        <v>239</v>
      </c>
      <c r="F997" s="17" t="s">
        <v>34</v>
      </c>
      <c r="G997" s="17" t="s">
        <v>339</v>
      </c>
      <c r="H997" s="18">
        <v>238</v>
      </c>
      <c r="I997" s="18">
        <v>141.34</v>
      </c>
      <c r="J997" s="7" t="str">
        <f>IFERROR(_xlfn.XLOOKUP(F997,ccustos!A:A,ccustos!B:B),"Sem termo")</f>
        <v>COFIS</v>
      </c>
    </row>
    <row r="998" spans="1:10" ht="36.75" customHeight="1" x14ac:dyDescent="0.25">
      <c r="A998" s="14">
        <v>11495</v>
      </c>
      <c r="B998" s="7" t="s">
        <v>236</v>
      </c>
      <c r="C998" s="7" t="s">
        <v>241</v>
      </c>
      <c r="D998" s="7" t="s">
        <v>354</v>
      </c>
      <c r="E998" s="7" t="s">
        <v>239</v>
      </c>
      <c r="F998" s="7" t="s">
        <v>61</v>
      </c>
      <c r="G998" s="7" t="s">
        <v>339</v>
      </c>
      <c r="H998" s="15">
        <v>238</v>
      </c>
      <c r="I998" s="15">
        <v>141.34</v>
      </c>
      <c r="J998" s="7" t="str">
        <f>IFERROR(_xlfn.XLOOKUP(F998,ccustos!A:A,ccustos!B:B),"Sem termo")</f>
        <v>SEPAT</v>
      </c>
    </row>
    <row r="999" spans="1:10" ht="36.75" customHeight="1" x14ac:dyDescent="0.25">
      <c r="A999" s="16">
        <v>11496</v>
      </c>
      <c r="B999" s="17" t="s">
        <v>236</v>
      </c>
      <c r="C999" s="17" t="s">
        <v>241</v>
      </c>
      <c r="D999" s="17" t="s">
        <v>795</v>
      </c>
      <c r="E999" s="17" t="s">
        <v>239</v>
      </c>
      <c r="F999" s="17" t="s">
        <v>57</v>
      </c>
      <c r="G999" s="17" t="s">
        <v>339</v>
      </c>
      <c r="H999" s="18">
        <v>238</v>
      </c>
      <c r="I999" s="18">
        <v>141.63</v>
      </c>
      <c r="J999" s="7" t="str">
        <f>IFERROR(_xlfn.XLOOKUP(F999,ccustos!A:A,ccustos!B:B),"Sem termo")</f>
        <v>SEPAT</v>
      </c>
    </row>
    <row r="1000" spans="1:10" ht="36.75" customHeight="1" x14ac:dyDescent="0.25">
      <c r="A1000" s="14">
        <v>11497</v>
      </c>
      <c r="B1000" s="7" t="s">
        <v>236</v>
      </c>
      <c r="C1000" s="7" t="s">
        <v>241</v>
      </c>
      <c r="D1000" s="7" t="s">
        <v>362</v>
      </c>
      <c r="E1000" s="7" t="s">
        <v>239</v>
      </c>
      <c r="F1000" s="7" t="s">
        <v>205</v>
      </c>
      <c r="G1000" s="7" t="s">
        <v>331</v>
      </c>
      <c r="H1000" s="15">
        <v>232</v>
      </c>
      <c r="I1000" s="15">
        <v>95.8</v>
      </c>
      <c r="J1000" s="7" t="str">
        <f>IFERROR(_xlfn.XLOOKUP(F1000,ccustos!A:A,ccustos!B:B),"Sem termo")</f>
        <v>CCOM</v>
      </c>
    </row>
    <row r="1001" spans="1:10" ht="36.75" customHeight="1" x14ac:dyDescent="0.25">
      <c r="A1001" s="16">
        <v>11498</v>
      </c>
      <c r="B1001" s="17" t="s">
        <v>236</v>
      </c>
      <c r="C1001" s="17" t="s">
        <v>241</v>
      </c>
      <c r="D1001" s="17" t="s">
        <v>354</v>
      </c>
      <c r="E1001" s="17" t="s">
        <v>239</v>
      </c>
      <c r="F1001" s="17" t="s">
        <v>6</v>
      </c>
      <c r="G1001" s="17" t="s">
        <v>339</v>
      </c>
      <c r="H1001" s="18">
        <v>238</v>
      </c>
      <c r="I1001" s="18">
        <v>141.63</v>
      </c>
      <c r="J1001" s="7" t="str">
        <f>IFERROR(_xlfn.XLOOKUP(F1001,ccustos!A:A,ccustos!B:B),"Sem termo")</f>
        <v>SEPAT</v>
      </c>
    </row>
    <row r="1002" spans="1:10" ht="36.75" customHeight="1" x14ac:dyDescent="0.25">
      <c r="A1002" s="14">
        <v>11501</v>
      </c>
      <c r="B1002" s="7" t="s">
        <v>236</v>
      </c>
      <c r="C1002" s="7" t="s">
        <v>237</v>
      </c>
      <c r="D1002" s="7" t="s">
        <v>796</v>
      </c>
      <c r="E1002" s="7" t="s">
        <v>239</v>
      </c>
      <c r="F1002" s="7" t="s">
        <v>185</v>
      </c>
      <c r="G1002" s="7" t="s">
        <v>280</v>
      </c>
      <c r="H1002" s="15">
        <v>310.77</v>
      </c>
      <c r="I1002" s="15">
        <v>149.01</v>
      </c>
      <c r="J1002" s="7" t="str">
        <f>IFERROR(_xlfn.XLOOKUP(F1002,ccustos!A:A,ccustos!B:B),"Sem termo")</f>
        <v>CGGE</v>
      </c>
    </row>
    <row r="1003" spans="1:10" ht="36.75" customHeight="1" x14ac:dyDescent="0.25">
      <c r="A1003" s="16">
        <v>11502</v>
      </c>
      <c r="B1003" s="17" t="s">
        <v>236</v>
      </c>
      <c r="C1003" s="17" t="s">
        <v>237</v>
      </c>
      <c r="D1003" s="17" t="s">
        <v>372</v>
      </c>
      <c r="E1003" s="17" t="s">
        <v>239</v>
      </c>
      <c r="F1003" s="17" t="s">
        <v>54</v>
      </c>
      <c r="G1003" s="17" t="s">
        <v>280</v>
      </c>
      <c r="H1003" s="18">
        <v>310.77</v>
      </c>
      <c r="I1003" s="18">
        <v>149.01</v>
      </c>
      <c r="J1003" s="7" t="str">
        <f>IFERROR(_xlfn.XLOOKUP(F1003,ccustos!A:A,ccustos!B:B),"Sem termo")</f>
        <v>DEFIN</v>
      </c>
    </row>
    <row r="1004" spans="1:10" ht="36.75" customHeight="1" x14ac:dyDescent="0.25">
      <c r="A1004" s="14">
        <v>11503</v>
      </c>
      <c r="B1004" s="7" t="s">
        <v>236</v>
      </c>
      <c r="C1004" s="7" t="s">
        <v>241</v>
      </c>
      <c r="D1004" s="7" t="s">
        <v>797</v>
      </c>
      <c r="E1004" s="7" t="s">
        <v>239</v>
      </c>
      <c r="F1004" s="7" t="s">
        <v>63</v>
      </c>
      <c r="G1004" s="7" t="s">
        <v>286</v>
      </c>
      <c r="H1004" s="15">
        <v>538.55999999999995</v>
      </c>
      <c r="I1004" s="15">
        <v>235.57</v>
      </c>
      <c r="J1004" s="7" t="str">
        <f>IFERROR(_xlfn.XLOOKUP(F1004,ccustos!A:A,ccustos!B:B),"Sem termo")</f>
        <v>SEPAT</v>
      </c>
    </row>
    <row r="1005" spans="1:10" ht="36.75" customHeight="1" x14ac:dyDescent="0.25">
      <c r="A1005" s="16">
        <v>11507</v>
      </c>
      <c r="B1005" s="17" t="s">
        <v>236</v>
      </c>
      <c r="C1005" s="17" t="s">
        <v>333</v>
      </c>
      <c r="D1005" s="17" t="s">
        <v>798</v>
      </c>
      <c r="E1005" s="17" t="s">
        <v>335</v>
      </c>
      <c r="F1005" s="17" t="s">
        <v>70</v>
      </c>
      <c r="G1005" s="17" t="s">
        <v>348</v>
      </c>
      <c r="H1005" s="18">
        <v>618.41999999999996</v>
      </c>
      <c r="I1005" s="18">
        <v>125.33</v>
      </c>
      <c r="J1005" s="7" t="str">
        <f>IFERROR(_xlfn.XLOOKUP(F1005,ccustos!A:A,ccustos!B:B),"Sem termo")</f>
        <v>SEBIB</v>
      </c>
    </row>
    <row r="1006" spans="1:10" ht="36.75" customHeight="1" x14ac:dyDescent="0.25">
      <c r="A1006" s="14">
        <v>11510</v>
      </c>
      <c r="B1006" s="7" t="s">
        <v>236</v>
      </c>
      <c r="C1006" s="7" t="s">
        <v>306</v>
      </c>
      <c r="D1006" s="7" t="s">
        <v>369</v>
      </c>
      <c r="E1006" s="7" t="s">
        <v>239</v>
      </c>
      <c r="F1006" s="7" t="s">
        <v>60</v>
      </c>
      <c r="G1006" s="7" t="s">
        <v>308</v>
      </c>
      <c r="H1006" s="15">
        <v>447.96</v>
      </c>
      <c r="I1006" s="15">
        <v>180.41</v>
      </c>
      <c r="J1006" s="7" t="str">
        <f>IFERROR(_xlfn.XLOOKUP(F1006,ccustos!A:A,ccustos!B:B),"Sem termo")</f>
        <v>DEGEP</v>
      </c>
    </row>
    <row r="1007" spans="1:10" ht="36.75" customHeight="1" x14ac:dyDescent="0.25">
      <c r="A1007" s="16">
        <v>11514</v>
      </c>
      <c r="B1007" s="17" t="s">
        <v>236</v>
      </c>
      <c r="C1007" s="17" t="s">
        <v>237</v>
      </c>
      <c r="D1007" s="17" t="s">
        <v>372</v>
      </c>
      <c r="E1007" s="17" t="s">
        <v>239</v>
      </c>
      <c r="F1007" s="17" t="s">
        <v>55</v>
      </c>
      <c r="G1007" s="17" t="s">
        <v>343</v>
      </c>
      <c r="H1007" s="18">
        <v>292.58</v>
      </c>
      <c r="I1007" s="18">
        <v>149.01</v>
      </c>
      <c r="J1007" s="7" t="str">
        <f>IFERROR(_xlfn.XLOOKUP(F1007,ccustos!A:A,ccustos!B:B),"Sem termo")</f>
        <v>DEPAD</v>
      </c>
    </row>
    <row r="1008" spans="1:10" ht="36.75" customHeight="1" x14ac:dyDescent="0.25">
      <c r="A1008" s="14">
        <v>11515</v>
      </c>
      <c r="B1008" s="7" t="s">
        <v>236</v>
      </c>
      <c r="C1008" s="7" t="s">
        <v>237</v>
      </c>
      <c r="D1008" s="7" t="s">
        <v>628</v>
      </c>
      <c r="E1008" s="7" t="s">
        <v>239</v>
      </c>
      <c r="F1008" s="7" t="s">
        <v>53</v>
      </c>
      <c r="G1008" s="7" t="s">
        <v>280</v>
      </c>
      <c r="H1008" s="15">
        <v>310.77</v>
      </c>
      <c r="I1008" s="15">
        <v>149.01</v>
      </c>
      <c r="J1008" s="7" t="str">
        <f>IFERROR(_xlfn.XLOOKUP(F1008,ccustos!A:A,ccustos!B:B),"Sem termo")</f>
        <v>DELIC</v>
      </c>
    </row>
    <row r="1009" spans="1:10" ht="36.75" customHeight="1" x14ac:dyDescent="0.25">
      <c r="A1009" s="16">
        <v>11524</v>
      </c>
      <c r="B1009" s="17" t="s">
        <v>236</v>
      </c>
      <c r="C1009" s="17" t="s">
        <v>337</v>
      </c>
      <c r="D1009" s="17" t="s">
        <v>346</v>
      </c>
      <c r="E1009" s="17" t="s">
        <v>239</v>
      </c>
      <c r="F1009" s="17" t="s">
        <v>55</v>
      </c>
      <c r="G1009" s="17" t="s">
        <v>331</v>
      </c>
      <c r="H1009" s="18">
        <v>298</v>
      </c>
      <c r="I1009" s="18">
        <v>215.09</v>
      </c>
      <c r="J1009" s="7" t="str">
        <f>IFERROR(_xlfn.XLOOKUP(F1009,ccustos!A:A,ccustos!B:B),"Sem termo")</f>
        <v>DEPAD</v>
      </c>
    </row>
    <row r="1010" spans="1:10" ht="36.75" customHeight="1" x14ac:dyDescent="0.25">
      <c r="A1010" s="14">
        <v>11525</v>
      </c>
      <c r="B1010" s="7" t="s">
        <v>236</v>
      </c>
      <c r="C1010" s="7" t="s">
        <v>337</v>
      </c>
      <c r="D1010" s="7" t="s">
        <v>346</v>
      </c>
      <c r="E1010" s="7" t="s">
        <v>239</v>
      </c>
      <c r="F1010" s="7" t="s">
        <v>55</v>
      </c>
      <c r="G1010" s="7" t="s">
        <v>331</v>
      </c>
      <c r="H1010" s="15">
        <v>298</v>
      </c>
      <c r="I1010" s="15">
        <v>213.43</v>
      </c>
      <c r="J1010" s="7" t="str">
        <f>IFERROR(_xlfn.XLOOKUP(F1010,ccustos!A:A,ccustos!B:B),"Sem termo")</f>
        <v>DEPAD</v>
      </c>
    </row>
    <row r="1011" spans="1:10" ht="36.75" customHeight="1" x14ac:dyDescent="0.25">
      <c r="A1011" s="16">
        <v>11526</v>
      </c>
      <c r="B1011" s="17" t="s">
        <v>236</v>
      </c>
      <c r="C1011" s="17" t="s">
        <v>337</v>
      </c>
      <c r="D1011" s="17" t="s">
        <v>346</v>
      </c>
      <c r="E1011" s="17" t="s">
        <v>239</v>
      </c>
      <c r="F1011" s="17" t="s">
        <v>55</v>
      </c>
      <c r="G1011" s="17" t="s">
        <v>331</v>
      </c>
      <c r="H1011" s="18">
        <v>298</v>
      </c>
      <c r="I1011" s="18">
        <v>213.43</v>
      </c>
      <c r="J1011" s="7" t="str">
        <f>IFERROR(_xlfn.XLOOKUP(F1011,ccustos!A:A,ccustos!B:B),"Sem termo")</f>
        <v>DEPAD</v>
      </c>
    </row>
    <row r="1012" spans="1:10" ht="36.75" customHeight="1" x14ac:dyDescent="0.25">
      <c r="A1012" s="14">
        <v>11527</v>
      </c>
      <c r="B1012" s="7" t="s">
        <v>236</v>
      </c>
      <c r="C1012" s="7" t="s">
        <v>241</v>
      </c>
      <c r="D1012" s="7" t="s">
        <v>666</v>
      </c>
      <c r="E1012" s="7" t="s">
        <v>239</v>
      </c>
      <c r="F1012" s="7" t="s">
        <v>29</v>
      </c>
      <c r="G1012" s="7" t="s">
        <v>331</v>
      </c>
      <c r="H1012" s="15">
        <v>446</v>
      </c>
      <c r="I1012" s="15">
        <v>332.24</v>
      </c>
      <c r="J1012" s="7" t="str">
        <f>IFERROR(_xlfn.XLOOKUP(F1012,ccustos!A:A,ccustos!B:B),"Sem termo")</f>
        <v>COAD</v>
      </c>
    </row>
    <row r="1013" spans="1:10" ht="36.75" customHeight="1" x14ac:dyDescent="0.25">
      <c r="A1013" s="16">
        <v>11528</v>
      </c>
      <c r="B1013" s="17" t="s">
        <v>236</v>
      </c>
      <c r="C1013" s="17" t="s">
        <v>241</v>
      </c>
      <c r="D1013" s="17" t="s">
        <v>541</v>
      </c>
      <c r="E1013" s="17" t="s">
        <v>239</v>
      </c>
      <c r="F1013" s="17" t="s">
        <v>60</v>
      </c>
      <c r="G1013" s="17" t="s">
        <v>331</v>
      </c>
      <c r="H1013" s="18">
        <v>446</v>
      </c>
      <c r="I1013" s="18">
        <v>390.65</v>
      </c>
      <c r="J1013" s="7" t="str">
        <f>IFERROR(_xlfn.XLOOKUP(F1013,ccustos!A:A,ccustos!B:B),"Sem termo")</f>
        <v>DEGEP</v>
      </c>
    </row>
    <row r="1014" spans="1:10" ht="36.75" customHeight="1" x14ac:dyDescent="0.25">
      <c r="A1014" s="14">
        <v>11529</v>
      </c>
      <c r="B1014" s="7" t="s">
        <v>236</v>
      </c>
      <c r="C1014" s="7" t="s">
        <v>241</v>
      </c>
      <c r="D1014" s="7" t="s">
        <v>799</v>
      </c>
      <c r="E1014" s="7" t="s">
        <v>239</v>
      </c>
      <c r="F1014" s="7" t="s">
        <v>55</v>
      </c>
      <c r="G1014" s="7" t="s">
        <v>243</v>
      </c>
      <c r="H1014" s="15">
        <v>0.1</v>
      </c>
      <c r="I1014" s="15">
        <v>424.03</v>
      </c>
      <c r="J1014" s="7" t="str">
        <f>IFERROR(_xlfn.XLOOKUP(F1014,ccustos!A:A,ccustos!B:B),"Sem termo")</f>
        <v>DEPAD</v>
      </c>
    </row>
    <row r="1015" spans="1:10" ht="36.75" customHeight="1" x14ac:dyDescent="0.25">
      <c r="A1015" s="16">
        <v>11530</v>
      </c>
      <c r="B1015" s="17" t="s">
        <v>236</v>
      </c>
      <c r="C1015" s="17" t="s">
        <v>241</v>
      </c>
      <c r="D1015" s="17" t="s">
        <v>800</v>
      </c>
      <c r="E1015" s="17" t="s">
        <v>239</v>
      </c>
      <c r="F1015" s="17" t="s">
        <v>53</v>
      </c>
      <c r="G1015" s="17" t="s">
        <v>458</v>
      </c>
      <c r="H1015" s="18">
        <v>5775</v>
      </c>
      <c r="I1015" s="18">
        <v>332.24</v>
      </c>
      <c r="J1015" s="7" t="str">
        <f>IFERROR(_xlfn.XLOOKUP(F1015,ccustos!A:A,ccustos!B:B),"Sem termo")</f>
        <v>DELIC</v>
      </c>
    </row>
    <row r="1016" spans="1:10" ht="36.75" customHeight="1" x14ac:dyDescent="0.25">
      <c r="A1016" s="14">
        <v>11531</v>
      </c>
      <c r="B1016" s="7" t="s">
        <v>236</v>
      </c>
      <c r="C1016" s="7" t="s">
        <v>241</v>
      </c>
      <c r="D1016" s="7" t="s">
        <v>505</v>
      </c>
      <c r="E1016" s="7" t="s">
        <v>239</v>
      </c>
      <c r="F1016" s="7" t="s">
        <v>22</v>
      </c>
      <c r="G1016" s="7" t="s">
        <v>331</v>
      </c>
      <c r="H1016" s="15">
        <v>232</v>
      </c>
      <c r="I1016" s="15">
        <v>83.15</v>
      </c>
      <c r="J1016" s="7" t="str">
        <f>IFERROR(_xlfn.XLOOKUP(F1016,ccustos!A:A,ccustos!B:B),"Sem termo")</f>
        <v>COTEC</v>
      </c>
    </row>
    <row r="1017" spans="1:10" ht="36.75" customHeight="1" x14ac:dyDescent="0.25">
      <c r="A1017" s="16">
        <v>11533</v>
      </c>
      <c r="B1017" s="17" t="s">
        <v>236</v>
      </c>
      <c r="C1017" s="17" t="s">
        <v>241</v>
      </c>
      <c r="D1017" s="17" t="s">
        <v>801</v>
      </c>
      <c r="E1017" s="17" t="s">
        <v>239</v>
      </c>
      <c r="F1017" s="17" t="s">
        <v>48</v>
      </c>
      <c r="G1017" s="17" t="s">
        <v>331</v>
      </c>
      <c r="H1017" s="18">
        <v>446</v>
      </c>
      <c r="I1017" s="18">
        <v>332.24</v>
      </c>
      <c r="J1017" s="7" t="str">
        <f>IFERROR(_xlfn.XLOOKUP(F1017,ccustos!A:A,ccustos!B:B),"Sem termo")</f>
        <v>DEPES</v>
      </c>
    </row>
    <row r="1018" spans="1:10" ht="36.75" customHeight="1" x14ac:dyDescent="0.25">
      <c r="A1018" s="14">
        <v>11534</v>
      </c>
      <c r="B1018" s="7" t="s">
        <v>236</v>
      </c>
      <c r="C1018" s="7" t="s">
        <v>306</v>
      </c>
      <c r="D1018" s="7" t="s">
        <v>369</v>
      </c>
      <c r="E1018" s="7" t="s">
        <v>239</v>
      </c>
      <c r="F1018" s="7" t="s">
        <v>20</v>
      </c>
      <c r="G1018" s="7" t="s">
        <v>289</v>
      </c>
      <c r="H1018" s="15">
        <v>444.97</v>
      </c>
      <c r="I1018" s="15">
        <v>180.41</v>
      </c>
      <c r="J1018" s="7" t="str">
        <f>IFERROR(_xlfn.XLOOKUP(F1018,ccustos!A:A,ccustos!B:B),"Sem termo")</f>
        <v>CGTI</v>
      </c>
    </row>
    <row r="1019" spans="1:10" ht="36.75" customHeight="1" x14ac:dyDescent="0.25">
      <c r="A1019" s="16">
        <v>11535</v>
      </c>
      <c r="B1019" s="17" t="s">
        <v>236</v>
      </c>
      <c r="C1019" s="17" t="s">
        <v>306</v>
      </c>
      <c r="D1019" s="17" t="s">
        <v>307</v>
      </c>
      <c r="E1019" s="17" t="s">
        <v>239</v>
      </c>
      <c r="F1019" s="17" t="s">
        <v>55</v>
      </c>
      <c r="G1019" s="17" t="s">
        <v>289</v>
      </c>
      <c r="H1019" s="18">
        <v>287.67</v>
      </c>
      <c r="I1019" s="18">
        <v>165.21</v>
      </c>
      <c r="J1019" s="7" t="str">
        <f>IFERROR(_xlfn.XLOOKUP(F1019,ccustos!A:A,ccustos!B:B),"Sem termo")</f>
        <v>DEPAD</v>
      </c>
    </row>
    <row r="1020" spans="1:10" ht="36.75" customHeight="1" x14ac:dyDescent="0.25">
      <c r="A1020" s="14">
        <v>11538</v>
      </c>
      <c r="B1020" s="7" t="s">
        <v>236</v>
      </c>
      <c r="C1020" s="7" t="s">
        <v>306</v>
      </c>
      <c r="D1020" s="7" t="s">
        <v>307</v>
      </c>
      <c r="E1020" s="7" t="s">
        <v>239</v>
      </c>
      <c r="F1020" s="7" t="s">
        <v>55</v>
      </c>
      <c r="G1020" s="7" t="s">
        <v>289</v>
      </c>
      <c r="H1020" s="15">
        <v>287.67</v>
      </c>
      <c r="I1020" s="15">
        <v>151.19999999999999</v>
      </c>
      <c r="J1020" s="7" t="str">
        <f>IFERROR(_xlfn.XLOOKUP(F1020,ccustos!A:A,ccustos!B:B),"Sem termo")</f>
        <v>DEPAD</v>
      </c>
    </row>
    <row r="1021" spans="1:10" ht="36.75" customHeight="1" x14ac:dyDescent="0.25">
      <c r="A1021" s="16">
        <v>11539</v>
      </c>
      <c r="B1021" s="17" t="s">
        <v>236</v>
      </c>
      <c r="C1021" s="17" t="s">
        <v>237</v>
      </c>
      <c r="D1021" s="17" t="s">
        <v>689</v>
      </c>
      <c r="E1021" s="17" t="s">
        <v>239</v>
      </c>
      <c r="F1021" s="17" t="s">
        <v>83</v>
      </c>
      <c r="G1021" s="17" t="s">
        <v>687</v>
      </c>
      <c r="H1021" s="18">
        <v>668.44</v>
      </c>
      <c r="I1021" s="18">
        <v>347.68</v>
      </c>
      <c r="J1021" s="7" t="str">
        <f>IFERROR(_xlfn.XLOOKUP(F1021,ccustos!A:A,ccustos!B:B),"Sem termo")</f>
        <v>GABIN</v>
      </c>
    </row>
    <row r="1022" spans="1:10" ht="36.75" customHeight="1" x14ac:dyDescent="0.25">
      <c r="A1022" s="14">
        <v>11540</v>
      </c>
      <c r="B1022" s="7" t="s">
        <v>236</v>
      </c>
      <c r="C1022" s="7" t="s">
        <v>237</v>
      </c>
      <c r="D1022" s="7" t="s">
        <v>689</v>
      </c>
      <c r="E1022" s="7" t="s">
        <v>239</v>
      </c>
      <c r="F1022" s="7" t="s">
        <v>83</v>
      </c>
      <c r="G1022" s="7" t="s">
        <v>687</v>
      </c>
      <c r="H1022" s="15">
        <v>668.44</v>
      </c>
      <c r="I1022" s="15">
        <v>347.68</v>
      </c>
      <c r="J1022" s="7" t="str">
        <f>IFERROR(_xlfn.XLOOKUP(F1022,ccustos!A:A,ccustos!B:B),"Sem termo")</f>
        <v>GABIN</v>
      </c>
    </row>
    <row r="1023" spans="1:10" ht="36.75" customHeight="1" x14ac:dyDescent="0.25">
      <c r="A1023" s="16">
        <v>11541</v>
      </c>
      <c r="B1023" s="17" t="s">
        <v>236</v>
      </c>
      <c r="C1023" s="17" t="s">
        <v>237</v>
      </c>
      <c r="D1023" s="17" t="s">
        <v>689</v>
      </c>
      <c r="E1023" s="17" t="s">
        <v>239</v>
      </c>
      <c r="F1023" s="17" t="s">
        <v>83</v>
      </c>
      <c r="G1023" s="17" t="s">
        <v>687</v>
      </c>
      <c r="H1023" s="18">
        <v>668.44</v>
      </c>
      <c r="I1023" s="18">
        <v>347.68</v>
      </c>
      <c r="J1023" s="7" t="str">
        <f>IFERROR(_xlfn.XLOOKUP(F1023,ccustos!A:A,ccustos!B:B),"Sem termo")</f>
        <v>GABIN</v>
      </c>
    </row>
    <row r="1024" spans="1:10" ht="36.75" customHeight="1" x14ac:dyDescent="0.25">
      <c r="A1024" s="14">
        <v>11542</v>
      </c>
      <c r="B1024" s="7" t="s">
        <v>236</v>
      </c>
      <c r="C1024" s="7" t="s">
        <v>237</v>
      </c>
      <c r="D1024" s="7" t="s">
        <v>689</v>
      </c>
      <c r="E1024" s="7" t="s">
        <v>239</v>
      </c>
      <c r="F1024" s="7" t="s">
        <v>83</v>
      </c>
      <c r="G1024" s="7" t="s">
        <v>687</v>
      </c>
      <c r="H1024" s="15">
        <v>668.44</v>
      </c>
      <c r="I1024" s="15">
        <v>347.68</v>
      </c>
      <c r="J1024" s="7" t="str">
        <f>IFERROR(_xlfn.XLOOKUP(F1024,ccustos!A:A,ccustos!B:B),"Sem termo")</f>
        <v>GABIN</v>
      </c>
    </row>
    <row r="1025" spans="1:10" ht="36.75" customHeight="1" x14ac:dyDescent="0.25">
      <c r="A1025" s="16">
        <v>11543</v>
      </c>
      <c r="B1025" s="17" t="s">
        <v>236</v>
      </c>
      <c r="C1025" s="17" t="s">
        <v>237</v>
      </c>
      <c r="D1025" s="17" t="s">
        <v>689</v>
      </c>
      <c r="E1025" s="17" t="s">
        <v>239</v>
      </c>
      <c r="F1025" s="17" t="s">
        <v>83</v>
      </c>
      <c r="G1025" s="17" t="s">
        <v>687</v>
      </c>
      <c r="H1025" s="18">
        <v>668.44</v>
      </c>
      <c r="I1025" s="18">
        <v>347.68</v>
      </c>
      <c r="J1025" s="7" t="str">
        <f>IFERROR(_xlfn.XLOOKUP(F1025,ccustos!A:A,ccustos!B:B),"Sem termo")</f>
        <v>GABIN</v>
      </c>
    </row>
    <row r="1026" spans="1:10" ht="36.75" customHeight="1" x14ac:dyDescent="0.25">
      <c r="A1026" s="14">
        <v>11544</v>
      </c>
      <c r="B1026" s="7" t="s">
        <v>236</v>
      </c>
      <c r="C1026" s="7" t="s">
        <v>237</v>
      </c>
      <c r="D1026" s="7" t="s">
        <v>689</v>
      </c>
      <c r="E1026" s="7" t="s">
        <v>239</v>
      </c>
      <c r="F1026" s="7" t="s">
        <v>83</v>
      </c>
      <c r="G1026" s="7" t="s">
        <v>687</v>
      </c>
      <c r="H1026" s="15">
        <v>668.44</v>
      </c>
      <c r="I1026" s="15">
        <v>347.68</v>
      </c>
      <c r="J1026" s="7" t="str">
        <f>IFERROR(_xlfn.XLOOKUP(F1026,ccustos!A:A,ccustos!B:B),"Sem termo")</f>
        <v>GABIN</v>
      </c>
    </row>
    <row r="1027" spans="1:10" ht="36.75" customHeight="1" x14ac:dyDescent="0.25">
      <c r="A1027" s="16">
        <v>11545</v>
      </c>
      <c r="B1027" s="17" t="s">
        <v>236</v>
      </c>
      <c r="C1027" s="17" t="s">
        <v>237</v>
      </c>
      <c r="D1027" s="17" t="s">
        <v>689</v>
      </c>
      <c r="E1027" s="17" t="s">
        <v>239</v>
      </c>
      <c r="F1027" s="17" t="s">
        <v>83</v>
      </c>
      <c r="G1027" s="17" t="s">
        <v>687</v>
      </c>
      <c r="H1027" s="18">
        <v>668.44</v>
      </c>
      <c r="I1027" s="18">
        <v>347.68</v>
      </c>
      <c r="J1027" s="7" t="str">
        <f>IFERROR(_xlfn.XLOOKUP(F1027,ccustos!A:A,ccustos!B:B),"Sem termo")</f>
        <v>GABIN</v>
      </c>
    </row>
    <row r="1028" spans="1:10" ht="36.75" customHeight="1" x14ac:dyDescent="0.25">
      <c r="A1028" s="14">
        <v>11546</v>
      </c>
      <c r="B1028" s="7" t="s">
        <v>236</v>
      </c>
      <c r="C1028" s="7" t="s">
        <v>237</v>
      </c>
      <c r="D1028" s="7" t="s">
        <v>689</v>
      </c>
      <c r="E1028" s="7" t="s">
        <v>239</v>
      </c>
      <c r="F1028" s="7" t="s">
        <v>83</v>
      </c>
      <c r="G1028" s="7" t="s">
        <v>687</v>
      </c>
      <c r="H1028" s="15">
        <v>668.44</v>
      </c>
      <c r="I1028" s="15">
        <v>347.68</v>
      </c>
      <c r="J1028" s="7" t="str">
        <f>IFERROR(_xlfn.XLOOKUP(F1028,ccustos!A:A,ccustos!B:B),"Sem termo")</f>
        <v>GABIN</v>
      </c>
    </row>
    <row r="1029" spans="1:10" ht="25.5" customHeight="1" x14ac:dyDescent="0.25">
      <c r="A1029" s="16">
        <v>11547</v>
      </c>
      <c r="B1029" s="17" t="s">
        <v>236</v>
      </c>
      <c r="C1029" s="17" t="s">
        <v>237</v>
      </c>
      <c r="D1029" s="17" t="s">
        <v>689</v>
      </c>
      <c r="E1029" s="17" t="s">
        <v>239</v>
      </c>
      <c r="F1029" s="17" t="s">
        <v>83</v>
      </c>
      <c r="G1029" s="17" t="s">
        <v>443</v>
      </c>
      <c r="H1029" s="18">
        <v>563.99</v>
      </c>
      <c r="I1029" s="18">
        <v>189.66</v>
      </c>
      <c r="J1029" s="7" t="str">
        <f>IFERROR(_xlfn.XLOOKUP(F1029,ccustos!A:A,ccustos!B:B),"Sem termo")</f>
        <v>GABIN</v>
      </c>
    </row>
    <row r="1030" spans="1:10" ht="25.5" customHeight="1" x14ac:dyDescent="0.25">
      <c r="A1030" s="14">
        <v>11548</v>
      </c>
      <c r="B1030" s="7" t="s">
        <v>236</v>
      </c>
      <c r="C1030" s="7" t="s">
        <v>237</v>
      </c>
      <c r="D1030" s="7" t="s">
        <v>689</v>
      </c>
      <c r="E1030" s="7" t="s">
        <v>239</v>
      </c>
      <c r="F1030" s="7" t="s">
        <v>83</v>
      </c>
      <c r="G1030" s="7" t="s">
        <v>243</v>
      </c>
      <c r="H1030" s="15">
        <v>0.1</v>
      </c>
      <c r="I1030" s="15">
        <v>447.02</v>
      </c>
      <c r="J1030" s="7" t="str">
        <f>IFERROR(_xlfn.XLOOKUP(F1030,ccustos!A:A,ccustos!B:B),"Sem termo")</f>
        <v>GABIN</v>
      </c>
    </row>
    <row r="1031" spans="1:10" ht="25.5" customHeight="1" x14ac:dyDescent="0.25">
      <c r="A1031" s="16">
        <v>11549</v>
      </c>
      <c r="B1031" s="17" t="s">
        <v>236</v>
      </c>
      <c r="C1031" s="17" t="s">
        <v>237</v>
      </c>
      <c r="D1031" s="17" t="s">
        <v>689</v>
      </c>
      <c r="E1031" s="17" t="s">
        <v>239</v>
      </c>
      <c r="F1031" s="17" t="s">
        <v>83</v>
      </c>
      <c r="G1031" s="17" t="s">
        <v>443</v>
      </c>
      <c r="H1031" s="18">
        <v>563.99</v>
      </c>
      <c r="I1031" s="18">
        <v>189.66</v>
      </c>
      <c r="J1031" s="7" t="str">
        <f>IFERROR(_xlfn.XLOOKUP(F1031,ccustos!A:A,ccustos!B:B),"Sem termo")</f>
        <v>GABIN</v>
      </c>
    </row>
    <row r="1032" spans="1:10" ht="25.5" customHeight="1" x14ac:dyDescent="0.25">
      <c r="A1032" s="14">
        <v>11550</v>
      </c>
      <c r="B1032" s="7" t="s">
        <v>236</v>
      </c>
      <c r="C1032" s="7" t="s">
        <v>237</v>
      </c>
      <c r="D1032" s="7" t="s">
        <v>689</v>
      </c>
      <c r="E1032" s="7" t="s">
        <v>239</v>
      </c>
      <c r="F1032" s="7" t="s">
        <v>83</v>
      </c>
      <c r="G1032" s="7" t="s">
        <v>687</v>
      </c>
      <c r="H1032" s="15">
        <v>668.44</v>
      </c>
      <c r="I1032" s="15">
        <v>604.09</v>
      </c>
      <c r="J1032" s="7" t="str">
        <f>IFERROR(_xlfn.XLOOKUP(F1032,ccustos!A:A,ccustos!B:B),"Sem termo")</f>
        <v>GABIN</v>
      </c>
    </row>
    <row r="1033" spans="1:10" ht="25.5" customHeight="1" x14ac:dyDescent="0.25">
      <c r="A1033" s="16">
        <v>11551</v>
      </c>
      <c r="B1033" s="17" t="s">
        <v>236</v>
      </c>
      <c r="C1033" s="17" t="s">
        <v>241</v>
      </c>
      <c r="D1033" s="17" t="s">
        <v>802</v>
      </c>
      <c r="E1033" s="17" t="s">
        <v>239</v>
      </c>
      <c r="F1033" s="17" t="s">
        <v>83</v>
      </c>
      <c r="G1033" s="17" t="s">
        <v>693</v>
      </c>
      <c r="H1033" s="18">
        <v>4471</v>
      </c>
      <c r="I1033" s="18">
        <v>2184.41</v>
      </c>
      <c r="J1033" s="7" t="str">
        <f>IFERROR(_xlfn.XLOOKUP(F1033,ccustos!A:A,ccustos!B:B),"Sem termo")</f>
        <v>GABIN</v>
      </c>
    </row>
    <row r="1034" spans="1:10" ht="36.75" customHeight="1" x14ac:dyDescent="0.25">
      <c r="A1034" s="14">
        <v>11555</v>
      </c>
      <c r="B1034" s="7" t="s">
        <v>236</v>
      </c>
      <c r="C1034" s="7" t="s">
        <v>803</v>
      </c>
      <c r="D1034" s="7" t="s">
        <v>804</v>
      </c>
      <c r="E1034" s="7" t="s">
        <v>239</v>
      </c>
      <c r="F1034" s="7" t="s">
        <v>78</v>
      </c>
      <c r="G1034" s="7" t="s">
        <v>805</v>
      </c>
      <c r="H1034" s="15">
        <v>668.7</v>
      </c>
      <c r="I1034" s="15">
        <v>166.89</v>
      </c>
      <c r="J1034" s="7" t="str">
        <f>IFERROR(_xlfn.XLOOKUP(F1034,ccustos!A:A,ccustos!B:B),"Sem termo")</f>
        <v>CGTI</v>
      </c>
    </row>
    <row r="1035" spans="1:10" ht="25.5" customHeight="1" x14ac:dyDescent="0.25">
      <c r="A1035" s="16">
        <v>11558</v>
      </c>
      <c r="B1035" s="17" t="s">
        <v>236</v>
      </c>
      <c r="C1035" s="17" t="s">
        <v>237</v>
      </c>
      <c r="D1035" s="17" t="s">
        <v>689</v>
      </c>
      <c r="E1035" s="17" t="s">
        <v>239</v>
      </c>
      <c r="F1035" s="17" t="s">
        <v>83</v>
      </c>
      <c r="G1035" s="17" t="s">
        <v>687</v>
      </c>
      <c r="H1035" s="18">
        <v>668.44</v>
      </c>
      <c r="I1035" s="18">
        <v>347.68</v>
      </c>
      <c r="J1035" s="7" t="str">
        <f>IFERROR(_xlfn.XLOOKUP(F1035,ccustos!A:A,ccustos!B:B),"Sem termo")</f>
        <v>GABIN</v>
      </c>
    </row>
    <row r="1036" spans="1:10" ht="14.25" customHeight="1" x14ac:dyDescent="0.25">
      <c r="A1036" s="14">
        <v>11559</v>
      </c>
      <c r="B1036" s="7" t="s">
        <v>236</v>
      </c>
      <c r="C1036" s="7" t="s">
        <v>294</v>
      </c>
      <c r="D1036" s="7" t="s">
        <v>806</v>
      </c>
      <c r="E1036" s="7" t="s">
        <v>239</v>
      </c>
      <c r="F1036" s="7" t="s">
        <v>83</v>
      </c>
      <c r="G1036" s="7" t="s">
        <v>693</v>
      </c>
      <c r="H1036" s="15">
        <v>1683.2</v>
      </c>
      <c r="I1036" s="15">
        <v>1368.15</v>
      </c>
      <c r="J1036" s="7" t="str">
        <f>IFERROR(_xlfn.XLOOKUP(F1036,ccustos!A:A,ccustos!B:B),"Sem termo")</f>
        <v>GABIN</v>
      </c>
    </row>
    <row r="1037" spans="1:10" ht="25.5" customHeight="1" x14ac:dyDescent="0.25">
      <c r="A1037" s="16">
        <v>11560</v>
      </c>
      <c r="B1037" s="17" t="s">
        <v>236</v>
      </c>
      <c r="C1037" s="17" t="s">
        <v>325</v>
      </c>
      <c r="D1037" s="17" t="s">
        <v>807</v>
      </c>
      <c r="E1037" s="17" t="s">
        <v>239</v>
      </c>
      <c r="F1037" s="17" t="s">
        <v>83</v>
      </c>
      <c r="G1037" s="17" t="s">
        <v>375</v>
      </c>
      <c r="H1037" s="18">
        <v>2000</v>
      </c>
      <c r="I1037" s="18">
        <v>1019.58</v>
      </c>
      <c r="J1037" s="7" t="str">
        <f>IFERROR(_xlfn.XLOOKUP(F1037,ccustos!A:A,ccustos!B:B),"Sem termo")</f>
        <v>GABIN</v>
      </c>
    </row>
    <row r="1038" spans="1:10" ht="25.5" customHeight="1" x14ac:dyDescent="0.25">
      <c r="A1038" s="14">
        <v>11561</v>
      </c>
      <c r="B1038" s="7" t="s">
        <v>236</v>
      </c>
      <c r="C1038" s="7" t="s">
        <v>325</v>
      </c>
      <c r="D1038" s="7" t="s">
        <v>808</v>
      </c>
      <c r="E1038" s="7" t="s">
        <v>239</v>
      </c>
      <c r="F1038" s="7" t="s">
        <v>83</v>
      </c>
      <c r="G1038" s="7" t="s">
        <v>375</v>
      </c>
      <c r="H1038" s="15">
        <v>2000</v>
      </c>
      <c r="I1038" s="15">
        <v>1019.58</v>
      </c>
      <c r="J1038" s="7" t="str">
        <f>IFERROR(_xlfn.XLOOKUP(F1038,ccustos!A:A,ccustos!B:B),"Sem termo")</f>
        <v>GABIN</v>
      </c>
    </row>
    <row r="1039" spans="1:10" ht="25.5" customHeight="1" x14ac:dyDescent="0.25">
      <c r="A1039" s="16">
        <v>11562</v>
      </c>
      <c r="B1039" s="17" t="s">
        <v>236</v>
      </c>
      <c r="C1039" s="17" t="s">
        <v>241</v>
      </c>
      <c r="D1039" s="17" t="s">
        <v>809</v>
      </c>
      <c r="E1039" s="17" t="s">
        <v>239</v>
      </c>
      <c r="F1039" s="17" t="s">
        <v>83</v>
      </c>
      <c r="G1039" s="17" t="s">
        <v>693</v>
      </c>
      <c r="H1039" s="18">
        <v>4772.5</v>
      </c>
      <c r="I1039" s="18">
        <v>1220.44</v>
      </c>
      <c r="J1039" s="7" t="str">
        <f>IFERROR(_xlfn.XLOOKUP(F1039,ccustos!A:A,ccustos!B:B),"Sem termo")</f>
        <v>GABIN</v>
      </c>
    </row>
    <row r="1040" spans="1:10" ht="36.75" customHeight="1" x14ac:dyDescent="0.25">
      <c r="A1040" s="14">
        <v>11563</v>
      </c>
      <c r="B1040" s="7" t="s">
        <v>236</v>
      </c>
      <c r="C1040" s="7" t="s">
        <v>241</v>
      </c>
      <c r="D1040" s="7" t="s">
        <v>707</v>
      </c>
      <c r="E1040" s="7" t="s">
        <v>239</v>
      </c>
      <c r="F1040" s="7" t="s">
        <v>83</v>
      </c>
      <c r="G1040" s="7" t="s">
        <v>693</v>
      </c>
      <c r="H1040" s="15">
        <v>4772.5</v>
      </c>
      <c r="I1040" s="15">
        <v>1220.44</v>
      </c>
      <c r="J1040" s="7" t="str">
        <f>IFERROR(_xlfn.XLOOKUP(F1040,ccustos!A:A,ccustos!B:B),"Sem termo")</f>
        <v>GABIN</v>
      </c>
    </row>
    <row r="1041" spans="1:10" ht="25.5" customHeight="1" x14ac:dyDescent="0.25">
      <c r="A1041" s="16">
        <v>11564</v>
      </c>
      <c r="B1041" s="17" t="s">
        <v>236</v>
      </c>
      <c r="C1041" s="17" t="s">
        <v>325</v>
      </c>
      <c r="D1041" s="17" t="s">
        <v>810</v>
      </c>
      <c r="E1041" s="17" t="s">
        <v>239</v>
      </c>
      <c r="F1041" s="17" t="s">
        <v>83</v>
      </c>
      <c r="G1041" s="17" t="s">
        <v>375</v>
      </c>
      <c r="H1041" s="18">
        <v>2288</v>
      </c>
      <c r="I1041" s="18">
        <v>1109.27</v>
      </c>
      <c r="J1041" s="7" t="str">
        <f>IFERROR(_xlfn.XLOOKUP(F1041,ccustos!A:A,ccustos!B:B),"Sem termo")</f>
        <v>GABIN</v>
      </c>
    </row>
    <row r="1042" spans="1:10" ht="36.75" customHeight="1" x14ac:dyDescent="0.25">
      <c r="A1042" s="14">
        <v>11565</v>
      </c>
      <c r="B1042" s="7" t="s">
        <v>236</v>
      </c>
      <c r="C1042" s="7" t="s">
        <v>325</v>
      </c>
      <c r="D1042" s="7" t="s">
        <v>810</v>
      </c>
      <c r="E1042" s="7" t="s">
        <v>239</v>
      </c>
      <c r="F1042" s="7" t="s">
        <v>83</v>
      </c>
      <c r="G1042" s="7" t="s">
        <v>375</v>
      </c>
      <c r="H1042" s="15">
        <v>2288</v>
      </c>
      <c r="I1042" s="15">
        <v>1109.27</v>
      </c>
      <c r="J1042" s="7" t="str">
        <f>IFERROR(_xlfn.XLOOKUP(F1042,ccustos!A:A,ccustos!B:B),"Sem termo")</f>
        <v>GABIN</v>
      </c>
    </row>
    <row r="1043" spans="1:10" ht="25.5" customHeight="1" x14ac:dyDescent="0.25">
      <c r="A1043" s="16">
        <v>11566</v>
      </c>
      <c r="B1043" s="17" t="s">
        <v>236</v>
      </c>
      <c r="C1043" s="17" t="s">
        <v>325</v>
      </c>
      <c r="D1043" s="17" t="s">
        <v>810</v>
      </c>
      <c r="E1043" s="17" t="s">
        <v>239</v>
      </c>
      <c r="F1043" s="17" t="s">
        <v>83</v>
      </c>
      <c r="G1043" s="17" t="s">
        <v>375</v>
      </c>
      <c r="H1043" s="18">
        <v>2288</v>
      </c>
      <c r="I1043" s="18">
        <v>1109.27</v>
      </c>
      <c r="J1043" s="7" t="str">
        <f>IFERROR(_xlfn.XLOOKUP(F1043,ccustos!A:A,ccustos!B:B),"Sem termo")</f>
        <v>GABIN</v>
      </c>
    </row>
    <row r="1044" spans="1:10" ht="36.75" customHeight="1" x14ac:dyDescent="0.25">
      <c r="A1044" s="14">
        <v>11567</v>
      </c>
      <c r="B1044" s="7" t="s">
        <v>236</v>
      </c>
      <c r="C1044" s="7" t="s">
        <v>325</v>
      </c>
      <c r="D1044" s="7" t="s">
        <v>810</v>
      </c>
      <c r="E1044" s="7" t="s">
        <v>239</v>
      </c>
      <c r="F1044" s="7" t="s">
        <v>83</v>
      </c>
      <c r="G1044" s="7" t="s">
        <v>375</v>
      </c>
      <c r="H1044" s="15">
        <v>2288</v>
      </c>
      <c r="I1044" s="15">
        <v>1109.27</v>
      </c>
      <c r="J1044" s="7" t="str">
        <f>IFERROR(_xlfn.XLOOKUP(F1044,ccustos!A:A,ccustos!B:B),"Sem termo")</f>
        <v>GABIN</v>
      </c>
    </row>
    <row r="1045" spans="1:10" ht="25.5" customHeight="1" x14ac:dyDescent="0.25">
      <c r="A1045" s="16">
        <v>11568</v>
      </c>
      <c r="B1045" s="17" t="s">
        <v>236</v>
      </c>
      <c r="C1045" s="17" t="s">
        <v>241</v>
      </c>
      <c r="D1045" s="17" t="s">
        <v>707</v>
      </c>
      <c r="E1045" s="17" t="s">
        <v>239</v>
      </c>
      <c r="F1045" s="17" t="s">
        <v>83</v>
      </c>
      <c r="G1045" s="17" t="s">
        <v>693</v>
      </c>
      <c r="H1045" s="18">
        <v>4772.5</v>
      </c>
      <c r="I1045" s="18">
        <v>1220.44</v>
      </c>
      <c r="J1045" s="7" t="str">
        <f>IFERROR(_xlfn.XLOOKUP(F1045,ccustos!A:A,ccustos!B:B),"Sem termo")</f>
        <v>GABIN</v>
      </c>
    </row>
    <row r="1046" spans="1:10" ht="25.5" customHeight="1" x14ac:dyDescent="0.25">
      <c r="A1046" s="14">
        <v>11569</v>
      </c>
      <c r="B1046" s="7" t="s">
        <v>236</v>
      </c>
      <c r="C1046" s="7" t="s">
        <v>325</v>
      </c>
      <c r="D1046" s="7" t="s">
        <v>811</v>
      </c>
      <c r="E1046" s="7" t="s">
        <v>239</v>
      </c>
      <c r="F1046" s="7" t="s">
        <v>83</v>
      </c>
      <c r="G1046" s="7" t="s">
        <v>693</v>
      </c>
      <c r="H1046" s="15">
        <v>4025</v>
      </c>
      <c r="I1046" s="15">
        <v>547.78</v>
      </c>
      <c r="J1046" s="7" t="str">
        <f>IFERROR(_xlfn.XLOOKUP(F1046,ccustos!A:A,ccustos!B:B),"Sem termo")</f>
        <v>GABIN</v>
      </c>
    </row>
    <row r="1047" spans="1:10" ht="25.5" customHeight="1" x14ac:dyDescent="0.25">
      <c r="A1047" s="16">
        <v>11570</v>
      </c>
      <c r="B1047" s="17" t="s">
        <v>236</v>
      </c>
      <c r="C1047" s="17" t="s">
        <v>325</v>
      </c>
      <c r="D1047" s="17" t="s">
        <v>811</v>
      </c>
      <c r="E1047" s="17" t="s">
        <v>239</v>
      </c>
      <c r="F1047" s="17" t="s">
        <v>83</v>
      </c>
      <c r="G1047" s="17" t="s">
        <v>693</v>
      </c>
      <c r="H1047" s="18">
        <v>4025</v>
      </c>
      <c r="I1047" s="18">
        <v>547.78</v>
      </c>
      <c r="J1047" s="7" t="str">
        <f>IFERROR(_xlfn.XLOOKUP(F1047,ccustos!A:A,ccustos!B:B),"Sem termo")</f>
        <v>GABIN</v>
      </c>
    </row>
    <row r="1048" spans="1:10" ht="36.75" customHeight="1" x14ac:dyDescent="0.25">
      <c r="A1048" s="14">
        <v>11571</v>
      </c>
      <c r="B1048" s="7" t="s">
        <v>236</v>
      </c>
      <c r="C1048" s="7" t="s">
        <v>237</v>
      </c>
      <c r="D1048" s="7" t="s">
        <v>374</v>
      </c>
      <c r="E1048" s="7" t="s">
        <v>239</v>
      </c>
      <c r="F1048" s="7" t="s">
        <v>83</v>
      </c>
      <c r="G1048" s="7" t="s">
        <v>693</v>
      </c>
      <c r="H1048" s="15">
        <v>3528.57</v>
      </c>
      <c r="I1048" s="15">
        <v>638.17999999999995</v>
      </c>
      <c r="J1048" s="7" t="str">
        <f>IFERROR(_xlfn.XLOOKUP(F1048,ccustos!A:A,ccustos!B:B),"Sem termo")</f>
        <v>GABIN</v>
      </c>
    </row>
    <row r="1049" spans="1:10" ht="25.5" customHeight="1" x14ac:dyDescent="0.25">
      <c r="A1049" s="16">
        <v>11572</v>
      </c>
      <c r="B1049" s="17" t="s">
        <v>236</v>
      </c>
      <c r="C1049" s="17" t="s">
        <v>237</v>
      </c>
      <c r="D1049" s="17" t="s">
        <v>374</v>
      </c>
      <c r="E1049" s="17" t="s">
        <v>239</v>
      </c>
      <c r="F1049" s="17" t="s">
        <v>83</v>
      </c>
      <c r="G1049" s="17" t="s">
        <v>693</v>
      </c>
      <c r="H1049" s="18">
        <v>3528.57</v>
      </c>
      <c r="I1049" s="18">
        <v>638.17999999999995</v>
      </c>
      <c r="J1049" s="7" t="str">
        <f>IFERROR(_xlfn.XLOOKUP(F1049,ccustos!A:A,ccustos!B:B),"Sem termo")</f>
        <v>GABIN</v>
      </c>
    </row>
    <row r="1050" spans="1:10" ht="36.75" customHeight="1" x14ac:dyDescent="0.25">
      <c r="A1050" s="14">
        <v>11573</v>
      </c>
      <c r="B1050" s="7" t="s">
        <v>236</v>
      </c>
      <c r="C1050" s="7" t="s">
        <v>237</v>
      </c>
      <c r="D1050" s="7" t="s">
        <v>374</v>
      </c>
      <c r="E1050" s="7" t="s">
        <v>239</v>
      </c>
      <c r="F1050" s="7" t="s">
        <v>83</v>
      </c>
      <c r="G1050" s="7" t="s">
        <v>693</v>
      </c>
      <c r="H1050" s="15">
        <v>3528.57</v>
      </c>
      <c r="I1050" s="15">
        <v>638.17999999999995</v>
      </c>
      <c r="J1050" s="7" t="str">
        <f>IFERROR(_xlfn.XLOOKUP(F1050,ccustos!A:A,ccustos!B:B),"Sem termo")</f>
        <v>GABIN</v>
      </c>
    </row>
    <row r="1051" spans="1:10" ht="25.5" customHeight="1" x14ac:dyDescent="0.25">
      <c r="A1051" s="16">
        <v>11574</v>
      </c>
      <c r="B1051" s="17" t="s">
        <v>236</v>
      </c>
      <c r="C1051" s="17" t="s">
        <v>237</v>
      </c>
      <c r="D1051" s="17" t="s">
        <v>812</v>
      </c>
      <c r="E1051" s="17" t="s">
        <v>239</v>
      </c>
      <c r="F1051" s="17" t="s">
        <v>83</v>
      </c>
      <c r="G1051" s="17" t="s">
        <v>693</v>
      </c>
      <c r="H1051" s="18">
        <v>5266.68</v>
      </c>
      <c r="I1051" s="18">
        <v>638.17999999999995</v>
      </c>
      <c r="J1051" s="7" t="str">
        <f>IFERROR(_xlfn.XLOOKUP(F1051,ccustos!A:A,ccustos!B:B),"Sem termo")</f>
        <v>GABIN</v>
      </c>
    </row>
    <row r="1052" spans="1:10" ht="25.5" customHeight="1" x14ac:dyDescent="0.25">
      <c r="A1052" s="14">
        <v>11575</v>
      </c>
      <c r="B1052" s="7" t="s">
        <v>236</v>
      </c>
      <c r="C1052" s="7" t="s">
        <v>241</v>
      </c>
      <c r="D1052" s="7" t="s">
        <v>813</v>
      </c>
      <c r="E1052" s="7" t="s">
        <v>239</v>
      </c>
      <c r="F1052" s="7" t="s">
        <v>83</v>
      </c>
      <c r="G1052" s="7" t="s">
        <v>693</v>
      </c>
      <c r="H1052" s="15">
        <v>3445.3</v>
      </c>
      <c r="I1052" s="15">
        <v>1531.91</v>
      </c>
      <c r="J1052" s="7" t="str">
        <f>IFERROR(_xlfn.XLOOKUP(F1052,ccustos!A:A,ccustos!B:B),"Sem termo")</f>
        <v>GABIN</v>
      </c>
    </row>
    <row r="1053" spans="1:10" ht="25.5" customHeight="1" x14ac:dyDescent="0.25">
      <c r="A1053" s="16">
        <v>11576</v>
      </c>
      <c r="B1053" s="17" t="s">
        <v>236</v>
      </c>
      <c r="C1053" s="17" t="s">
        <v>399</v>
      </c>
      <c r="D1053" s="17" t="s">
        <v>814</v>
      </c>
      <c r="E1053" s="17" t="s">
        <v>239</v>
      </c>
      <c r="F1053" s="17" t="s">
        <v>83</v>
      </c>
      <c r="G1053" s="17" t="s">
        <v>693</v>
      </c>
      <c r="H1053" s="18">
        <v>10500</v>
      </c>
      <c r="I1053" s="18">
        <v>2503.33</v>
      </c>
      <c r="J1053" s="7" t="str">
        <f>IFERROR(_xlfn.XLOOKUP(F1053,ccustos!A:A,ccustos!B:B),"Sem termo")</f>
        <v>GABIN</v>
      </c>
    </row>
    <row r="1054" spans="1:10" ht="25.5" customHeight="1" x14ac:dyDescent="0.25">
      <c r="A1054" s="14">
        <v>11577</v>
      </c>
      <c r="B1054" s="7" t="s">
        <v>236</v>
      </c>
      <c r="C1054" s="7" t="s">
        <v>815</v>
      </c>
      <c r="D1054" s="7" t="s">
        <v>816</v>
      </c>
      <c r="E1054" s="7" t="s">
        <v>239</v>
      </c>
      <c r="F1054" s="7" t="s">
        <v>83</v>
      </c>
      <c r="G1054" s="7" t="s">
        <v>817</v>
      </c>
      <c r="H1054" s="15">
        <v>45</v>
      </c>
      <c r="I1054" s="15">
        <v>129</v>
      </c>
      <c r="J1054" s="7" t="str">
        <f>IFERROR(_xlfn.XLOOKUP(F1054,ccustos!A:A,ccustos!B:B),"Sem termo")</f>
        <v>GABIN</v>
      </c>
    </row>
    <row r="1055" spans="1:10" ht="25.5" customHeight="1" x14ac:dyDescent="0.25">
      <c r="A1055" s="16">
        <v>11578</v>
      </c>
      <c r="B1055" s="17" t="s">
        <v>236</v>
      </c>
      <c r="C1055" s="17" t="s">
        <v>320</v>
      </c>
      <c r="D1055" s="17" t="s">
        <v>818</v>
      </c>
      <c r="E1055" s="17" t="s">
        <v>250</v>
      </c>
      <c r="F1055" s="17" t="s">
        <v>83</v>
      </c>
      <c r="G1055" s="17" t="s">
        <v>251</v>
      </c>
      <c r="H1055" s="18">
        <v>5100</v>
      </c>
      <c r="I1055" s="18">
        <v>634.94000000000005</v>
      </c>
      <c r="J1055" s="7" t="str">
        <f>IFERROR(_xlfn.XLOOKUP(F1055,ccustos!A:A,ccustos!B:B),"Sem termo")</f>
        <v>GABIN</v>
      </c>
    </row>
    <row r="1056" spans="1:10" ht="25.5" customHeight="1" x14ac:dyDescent="0.25">
      <c r="A1056" s="14">
        <v>11582</v>
      </c>
      <c r="B1056" s="7" t="s">
        <v>236</v>
      </c>
      <c r="C1056" s="7" t="s">
        <v>313</v>
      </c>
      <c r="D1056" s="7" t="s">
        <v>819</v>
      </c>
      <c r="E1056" s="7" t="s">
        <v>250</v>
      </c>
      <c r="F1056" s="7" t="s">
        <v>83</v>
      </c>
      <c r="G1056" s="7" t="s">
        <v>493</v>
      </c>
      <c r="H1056" s="15">
        <v>195</v>
      </c>
      <c r="I1056" s="15">
        <v>196.91</v>
      </c>
      <c r="J1056" s="7" t="str">
        <f>IFERROR(_xlfn.XLOOKUP(F1056,ccustos!A:A,ccustos!B:B),"Sem termo")</f>
        <v>GABIN</v>
      </c>
    </row>
    <row r="1057" spans="1:10" ht="25.5" customHeight="1" x14ac:dyDescent="0.25">
      <c r="A1057" s="16">
        <v>11583</v>
      </c>
      <c r="B1057" s="17" t="s">
        <v>236</v>
      </c>
      <c r="C1057" s="17" t="s">
        <v>237</v>
      </c>
      <c r="D1057" s="17" t="s">
        <v>820</v>
      </c>
      <c r="E1057" s="17" t="s">
        <v>239</v>
      </c>
      <c r="F1057" s="17" t="s">
        <v>83</v>
      </c>
      <c r="G1057" s="17" t="s">
        <v>693</v>
      </c>
      <c r="H1057" s="18">
        <v>5830.04</v>
      </c>
      <c r="I1057" s="18">
        <v>1668.89</v>
      </c>
      <c r="J1057" s="7" t="str">
        <f>IFERROR(_xlfn.XLOOKUP(F1057,ccustos!A:A,ccustos!B:B),"Sem termo")</f>
        <v>GABIN</v>
      </c>
    </row>
    <row r="1058" spans="1:10" ht="25.5" customHeight="1" x14ac:dyDescent="0.25">
      <c r="A1058" s="14">
        <v>11584</v>
      </c>
      <c r="B1058" s="7" t="s">
        <v>236</v>
      </c>
      <c r="C1058" s="7" t="s">
        <v>237</v>
      </c>
      <c r="D1058" s="7" t="s">
        <v>820</v>
      </c>
      <c r="E1058" s="7" t="s">
        <v>239</v>
      </c>
      <c r="F1058" s="7" t="s">
        <v>83</v>
      </c>
      <c r="G1058" s="7" t="s">
        <v>693</v>
      </c>
      <c r="H1058" s="15">
        <v>5830.04</v>
      </c>
      <c r="I1058" s="15">
        <v>1668.89</v>
      </c>
      <c r="J1058" s="7" t="str">
        <f>IFERROR(_xlfn.XLOOKUP(F1058,ccustos!A:A,ccustos!B:B),"Sem termo")</f>
        <v>GABIN</v>
      </c>
    </row>
    <row r="1059" spans="1:10" ht="36.75" customHeight="1" x14ac:dyDescent="0.25">
      <c r="A1059" s="16">
        <v>11585</v>
      </c>
      <c r="B1059" s="17" t="s">
        <v>236</v>
      </c>
      <c r="C1059" s="17" t="s">
        <v>241</v>
      </c>
      <c r="D1059" s="17" t="s">
        <v>821</v>
      </c>
      <c r="E1059" s="17" t="s">
        <v>239</v>
      </c>
      <c r="F1059" s="17" t="s">
        <v>83</v>
      </c>
      <c r="G1059" s="17" t="s">
        <v>693</v>
      </c>
      <c r="H1059" s="18">
        <v>3659.3</v>
      </c>
      <c r="I1059" s="18">
        <v>1627.07</v>
      </c>
      <c r="J1059" s="7" t="str">
        <f>IFERROR(_xlfn.XLOOKUP(F1059,ccustos!A:A,ccustos!B:B),"Sem termo")</f>
        <v>GABIN</v>
      </c>
    </row>
    <row r="1060" spans="1:10" ht="25.5" customHeight="1" x14ac:dyDescent="0.25">
      <c r="A1060" s="14">
        <v>11590</v>
      </c>
      <c r="B1060" s="7" t="s">
        <v>236</v>
      </c>
      <c r="C1060" s="7" t="s">
        <v>333</v>
      </c>
      <c r="D1060" s="7" t="s">
        <v>822</v>
      </c>
      <c r="E1060" s="7" t="s">
        <v>335</v>
      </c>
      <c r="F1060" s="7" t="s">
        <v>68</v>
      </c>
      <c r="G1060" s="7" t="s">
        <v>336</v>
      </c>
      <c r="H1060" s="15">
        <v>750</v>
      </c>
      <c r="I1060" s="15">
        <v>130.79</v>
      </c>
      <c r="J1060" s="7" t="str">
        <f>IFERROR(_xlfn.XLOOKUP(F1060,ccustos!A:A,ccustos!B:B),"Sem termo")</f>
        <v>DEINFRA</v>
      </c>
    </row>
    <row r="1061" spans="1:10" ht="25.5" customHeight="1" x14ac:dyDescent="0.25">
      <c r="A1061" s="16">
        <v>11597</v>
      </c>
      <c r="B1061" s="17" t="s">
        <v>236</v>
      </c>
      <c r="C1061" s="17" t="s">
        <v>294</v>
      </c>
      <c r="D1061" s="17" t="s">
        <v>685</v>
      </c>
      <c r="E1061" s="17" t="s">
        <v>239</v>
      </c>
      <c r="F1061" s="17" t="s">
        <v>83</v>
      </c>
      <c r="G1061" s="17" t="s">
        <v>375</v>
      </c>
      <c r="H1061" s="18">
        <v>432</v>
      </c>
      <c r="I1061" s="18">
        <v>291.89</v>
      </c>
      <c r="J1061" s="7" t="str">
        <f>IFERROR(_xlfn.XLOOKUP(F1061,ccustos!A:A,ccustos!B:B),"Sem termo")</f>
        <v>GABIN</v>
      </c>
    </row>
    <row r="1062" spans="1:10" ht="25.5" customHeight="1" x14ac:dyDescent="0.25">
      <c r="A1062" s="14">
        <v>11599</v>
      </c>
      <c r="B1062" s="7" t="s">
        <v>236</v>
      </c>
      <c r="C1062" s="7" t="s">
        <v>294</v>
      </c>
      <c r="D1062" s="7" t="s">
        <v>823</v>
      </c>
      <c r="E1062" s="7" t="s">
        <v>239</v>
      </c>
      <c r="F1062" s="7" t="s">
        <v>83</v>
      </c>
      <c r="G1062" s="7" t="s">
        <v>375</v>
      </c>
      <c r="H1062" s="15">
        <v>432</v>
      </c>
      <c r="I1062" s="15">
        <v>291.89</v>
      </c>
      <c r="J1062" s="7" t="str">
        <f>IFERROR(_xlfn.XLOOKUP(F1062,ccustos!A:A,ccustos!B:B),"Sem termo")</f>
        <v>GABIN</v>
      </c>
    </row>
    <row r="1063" spans="1:10" ht="25.5" customHeight="1" x14ac:dyDescent="0.25">
      <c r="A1063" s="16">
        <v>11600</v>
      </c>
      <c r="B1063" s="17" t="s">
        <v>236</v>
      </c>
      <c r="C1063" s="17" t="s">
        <v>294</v>
      </c>
      <c r="D1063" s="17" t="s">
        <v>823</v>
      </c>
      <c r="E1063" s="17" t="s">
        <v>239</v>
      </c>
      <c r="F1063" s="17" t="s">
        <v>83</v>
      </c>
      <c r="G1063" s="17" t="s">
        <v>375</v>
      </c>
      <c r="H1063" s="18">
        <v>432</v>
      </c>
      <c r="I1063" s="18">
        <v>291.89</v>
      </c>
      <c r="J1063" s="7" t="str">
        <f>IFERROR(_xlfn.XLOOKUP(F1063,ccustos!A:A,ccustos!B:B),"Sem termo")</f>
        <v>GABIN</v>
      </c>
    </row>
    <row r="1064" spans="1:10" ht="25.5" customHeight="1" x14ac:dyDescent="0.25">
      <c r="A1064" s="14">
        <v>11603</v>
      </c>
      <c r="B1064" s="7" t="s">
        <v>236</v>
      </c>
      <c r="C1064" s="7" t="s">
        <v>241</v>
      </c>
      <c r="D1064" s="7" t="s">
        <v>354</v>
      </c>
      <c r="E1064" s="7" t="s">
        <v>239</v>
      </c>
      <c r="F1064" s="7" t="s">
        <v>4</v>
      </c>
      <c r="G1064" s="7" t="s">
        <v>339</v>
      </c>
      <c r="H1064" s="15">
        <v>238</v>
      </c>
      <c r="I1064" s="15">
        <v>141.34</v>
      </c>
      <c r="J1064" s="7" t="str">
        <f>IFERROR(_xlfn.XLOOKUP(F1064,ccustos!A:A,ccustos!B:B),"Sem termo")</f>
        <v>SEPAT</v>
      </c>
    </row>
    <row r="1065" spans="1:10" ht="25.5" customHeight="1" x14ac:dyDescent="0.25">
      <c r="A1065" s="16">
        <v>11604</v>
      </c>
      <c r="B1065" s="17" t="s">
        <v>236</v>
      </c>
      <c r="C1065" s="17" t="s">
        <v>241</v>
      </c>
      <c r="D1065" s="17" t="s">
        <v>354</v>
      </c>
      <c r="E1065" s="17" t="s">
        <v>239</v>
      </c>
      <c r="F1065" s="17" t="s">
        <v>8</v>
      </c>
      <c r="G1065" s="17" t="s">
        <v>339</v>
      </c>
      <c r="H1065" s="18">
        <v>238</v>
      </c>
      <c r="I1065" s="18">
        <v>141.34</v>
      </c>
      <c r="J1065" s="7" t="str">
        <f>IFERROR(_xlfn.XLOOKUP(F1065,ccustos!A:A,ccustos!B:B),"Sem termo")</f>
        <v>DEINFRA</v>
      </c>
    </row>
    <row r="1066" spans="1:10" ht="25.5" customHeight="1" x14ac:dyDescent="0.25">
      <c r="A1066" s="14">
        <v>11605</v>
      </c>
      <c r="B1066" s="7" t="s">
        <v>236</v>
      </c>
      <c r="C1066" s="7" t="s">
        <v>399</v>
      </c>
      <c r="D1066" s="7" t="s">
        <v>824</v>
      </c>
      <c r="E1066" s="7" t="s">
        <v>239</v>
      </c>
      <c r="F1066" s="7" t="s">
        <v>0</v>
      </c>
      <c r="G1066" s="7" t="s">
        <v>825</v>
      </c>
      <c r="H1066" s="15">
        <v>49.9</v>
      </c>
      <c r="I1066" s="15">
        <v>53.99</v>
      </c>
      <c r="J1066" s="7" t="str">
        <f>IFERROR(_xlfn.XLOOKUP(F1066,ccustos!A:A,ccustos!B:B),"Sem termo")</f>
        <v>SEPAT</v>
      </c>
    </row>
    <row r="1067" spans="1:10" ht="25.5" customHeight="1" x14ac:dyDescent="0.25">
      <c r="A1067" s="16">
        <v>11606</v>
      </c>
      <c r="B1067" s="17" t="s">
        <v>236</v>
      </c>
      <c r="C1067" s="17" t="s">
        <v>826</v>
      </c>
      <c r="D1067" s="17" t="s">
        <v>827</v>
      </c>
      <c r="E1067" s="17" t="s">
        <v>250</v>
      </c>
      <c r="F1067" s="17" t="s">
        <v>77</v>
      </c>
      <c r="G1067" s="17" t="s">
        <v>828</v>
      </c>
      <c r="H1067" s="18">
        <v>68000</v>
      </c>
      <c r="I1067" s="18">
        <v>55776</v>
      </c>
      <c r="J1067" s="7" t="str">
        <f>IFERROR(_xlfn.XLOOKUP(F1067,ccustos!A:A,ccustos!B:B),"Sem termo")</f>
        <v>DEINFRA</v>
      </c>
    </row>
    <row r="1068" spans="1:10" ht="25.5" customHeight="1" x14ac:dyDescent="0.25">
      <c r="A1068" s="14">
        <v>11607</v>
      </c>
      <c r="B1068" s="7" t="s">
        <v>236</v>
      </c>
      <c r="C1068" s="7" t="s">
        <v>306</v>
      </c>
      <c r="D1068" s="7" t="s">
        <v>829</v>
      </c>
      <c r="E1068" s="7" t="s">
        <v>239</v>
      </c>
      <c r="F1068" s="7" t="s">
        <v>2</v>
      </c>
      <c r="G1068" s="7" t="s">
        <v>830</v>
      </c>
      <c r="H1068" s="15">
        <v>660</v>
      </c>
      <c r="I1068" s="15">
        <v>261.33</v>
      </c>
      <c r="J1068" s="7" t="str">
        <f>IFERROR(_xlfn.XLOOKUP(F1068,ccustos!A:A,ccustos!B:B),"Sem termo")</f>
        <v>SEGED</v>
      </c>
    </row>
    <row r="1069" spans="1:10" ht="36.75" customHeight="1" x14ac:dyDescent="0.25">
      <c r="A1069" s="16">
        <v>11608</v>
      </c>
      <c r="B1069" s="17" t="s">
        <v>236</v>
      </c>
      <c r="C1069" s="17" t="s">
        <v>831</v>
      </c>
      <c r="D1069" s="17" t="s">
        <v>832</v>
      </c>
      <c r="E1069" s="17" t="s">
        <v>335</v>
      </c>
      <c r="F1069" s="17" t="s">
        <v>68</v>
      </c>
      <c r="G1069" s="17" t="s">
        <v>833</v>
      </c>
      <c r="H1069" s="18">
        <v>1897.44</v>
      </c>
      <c r="I1069" s="18">
        <v>1050.3499999999999</v>
      </c>
      <c r="J1069" s="7" t="str">
        <f>IFERROR(_xlfn.XLOOKUP(F1069,ccustos!A:A,ccustos!B:B),"Sem termo")</f>
        <v>DEINFRA</v>
      </c>
    </row>
    <row r="1070" spans="1:10" ht="36.75" customHeight="1" x14ac:dyDescent="0.25">
      <c r="A1070" s="14">
        <v>11612</v>
      </c>
      <c r="B1070" s="7" t="s">
        <v>236</v>
      </c>
      <c r="C1070" s="7" t="s">
        <v>241</v>
      </c>
      <c r="D1070" s="7" t="s">
        <v>834</v>
      </c>
      <c r="E1070" s="7" t="s">
        <v>239</v>
      </c>
      <c r="F1070" s="7" t="s">
        <v>68</v>
      </c>
      <c r="G1070" s="7" t="s">
        <v>293</v>
      </c>
      <c r="H1070" s="15">
        <v>0.01</v>
      </c>
      <c r="I1070" s="15">
        <v>141.34</v>
      </c>
      <c r="J1070" s="7" t="str">
        <f>IFERROR(_xlfn.XLOOKUP(F1070,ccustos!A:A,ccustos!B:B),"Sem termo")</f>
        <v>DEINFRA</v>
      </c>
    </row>
    <row r="1071" spans="1:10" ht="36.75" customHeight="1" x14ac:dyDescent="0.25">
      <c r="A1071" s="16">
        <v>11616</v>
      </c>
      <c r="B1071" s="17" t="s">
        <v>236</v>
      </c>
      <c r="C1071" s="17" t="s">
        <v>269</v>
      </c>
      <c r="D1071" s="17" t="s">
        <v>835</v>
      </c>
      <c r="E1071" s="17" t="s">
        <v>239</v>
      </c>
      <c r="F1071" s="17" t="s">
        <v>68</v>
      </c>
      <c r="G1071" s="17" t="s">
        <v>836</v>
      </c>
      <c r="H1071" s="18">
        <v>640</v>
      </c>
      <c r="I1071" s="18">
        <v>117.87</v>
      </c>
      <c r="J1071" s="7" t="str">
        <f>IFERROR(_xlfn.XLOOKUP(F1071,ccustos!A:A,ccustos!B:B),"Sem termo")</f>
        <v>DEINFRA</v>
      </c>
    </row>
    <row r="1072" spans="1:10" ht="36.75" customHeight="1" x14ac:dyDescent="0.25">
      <c r="A1072" s="14">
        <v>11617</v>
      </c>
      <c r="B1072" s="7" t="s">
        <v>236</v>
      </c>
      <c r="C1072" s="7" t="s">
        <v>471</v>
      </c>
      <c r="D1072" s="7" t="s">
        <v>837</v>
      </c>
      <c r="E1072" s="7" t="s">
        <v>250</v>
      </c>
      <c r="F1072" s="7" t="s">
        <v>6</v>
      </c>
      <c r="G1072" s="7" t="s">
        <v>828</v>
      </c>
      <c r="H1072" s="15">
        <v>900</v>
      </c>
      <c r="I1072" s="15">
        <v>228.67</v>
      </c>
      <c r="J1072" s="7" t="str">
        <f>IFERROR(_xlfn.XLOOKUP(F1072,ccustos!A:A,ccustos!B:B),"Sem termo")</f>
        <v>SEPAT</v>
      </c>
    </row>
    <row r="1073" spans="1:10" ht="25.5" customHeight="1" x14ac:dyDescent="0.25">
      <c r="A1073" s="16">
        <v>11618</v>
      </c>
      <c r="B1073" s="17" t="s">
        <v>236</v>
      </c>
      <c r="C1073" s="17" t="s">
        <v>269</v>
      </c>
      <c r="D1073" s="17" t="s">
        <v>838</v>
      </c>
      <c r="E1073" s="17" t="s">
        <v>250</v>
      </c>
      <c r="F1073" s="17" t="s">
        <v>68</v>
      </c>
      <c r="G1073" s="17" t="s">
        <v>828</v>
      </c>
      <c r="H1073" s="18">
        <v>180</v>
      </c>
      <c r="I1073" s="18">
        <v>107.29</v>
      </c>
      <c r="J1073" s="7" t="str">
        <f>IFERROR(_xlfn.XLOOKUP(F1073,ccustos!A:A,ccustos!B:B),"Sem termo")</f>
        <v>DEINFRA</v>
      </c>
    </row>
    <row r="1074" spans="1:10" ht="36.75" customHeight="1" x14ac:dyDescent="0.25">
      <c r="A1074" s="14">
        <v>11619</v>
      </c>
      <c r="B1074" s="7" t="s">
        <v>236</v>
      </c>
      <c r="C1074" s="7" t="s">
        <v>269</v>
      </c>
      <c r="D1074" s="7" t="s">
        <v>839</v>
      </c>
      <c r="E1074" s="7" t="s">
        <v>250</v>
      </c>
      <c r="F1074" s="7" t="s">
        <v>68</v>
      </c>
      <c r="G1074" s="7" t="s">
        <v>828</v>
      </c>
      <c r="H1074" s="15">
        <v>180</v>
      </c>
      <c r="I1074" s="15">
        <v>107.29</v>
      </c>
      <c r="J1074" s="7" t="str">
        <f>IFERROR(_xlfn.XLOOKUP(F1074,ccustos!A:A,ccustos!B:B),"Sem termo")</f>
        <v>DEINFRA</v>
      </c>
    </row>
    <row r="1075" spans="1:10" ht="25.5" customHeight="1" x14ac:dyDescent="0.25">
      <c r="A1075" s="16">
        <v>11620</v>
      </c>
      <c r="B1075" s="17" t="s">
        <v>236</v>
      </c>
      <c r="C1075" s="17" t="s">
        <v>387</v>
      </c>
      <c r="D1075" s="17" t="s">
        <v>778</v>
      </c>
      <c r="E1075" s="17" t="s">
        <v>250</v>
      </c>
      <c r="F1075" s="17" t="s">
        <v>72</v>
      </c>
      <c r="G1075" s="17" t="s">
        <v>389</v>
      </c>
      <c r="H1075" s="18">
        <v>720</v>
      </c>
      <c r="I1075" s="18">
        <v>357.02</v>
      </c>
      <c r="J1075" s="7" t="str">
        <f>IFERROR(_xlfn.XLOOKUP(F1075,ccustos!A:A,ccustos!B:B),"Sem termo")</f>
        <v>SEPAT</v>
      </c>
    </row>
    <row r="1076" spans="1:10" ht="36.75" customHeight="1" x14ac:dyDescent="0.25">
      <c r="A1076" s="14">
        <v>11621</v>
      </c>
      <c r="B1076" s="7" t="s">
        <v>236</v>
      </c>
      <c r="C1076" s="7" t="s">
        <v>337</v>
      </c>
      <c r="D1076" s="7" t="s">
        <v>349</v>
      </c>
      <c r="E1076" s="7" t="s">
        <v>239</v>
      </c>
      <c r="F1076" s="7" t="s">
        <v>0</v>
      </c>
      <c r="G1076" s="7" t="s">
        <v>350</v>
      </c>
      <c r="H1076" s="15">
        <v>227.27</v>
      </c>
      <c r="I1076" s="15">
        <v>498</v>
      </c>
      <c r="J1076" s="7" t="str">
        <f>IFERROR(_xlfn.XLOOKUP(F1076,ccustos!A:A,ccustos!B:B),"Sem termo")</f>
        <v>SEPAT</v>
      </c>
    </row>
    <row r="1077" spans="1:10" ht="36.75" customHeight="1" x14ac:dyDescent="0.25">
      <c r="A1077" s="16">
        <v>11622</v>
      </c>
      <c r="B1077" s="17" t="s">
        <v>236</v>
      </c>
      <c r="C1077" s="17" t="s">
        <v>241</v>
      </c>
      <c r="D1077" s="17" t="s">
        <v>840</v>
      </c>
      <c r="E1077" s="17" t="s">
        <v>239</v>
      </c>
      <c r="F1077" s="17" t="s">
        <v>48</v>
      </c>
      <c r="G1077" s="17" t="s">
        <v>331</v>
      </c>
      <c r="H1077" s="18">
        <v>446</v>
      </c>
      <c r="I1077" s="18">
        <v>332.24</v>
      </c>
      <c r="J1077" s="7" t="str">
        <f>IFERROR(_xlfn.XLOOKUP(F1077,ccustos!A:A,ccustos!B:B),"Sem termo")</f>
        <v>DEPES</v>
      </c>
    </row>
    <row r="1078" spans="1:10" ht="25.5" customHeight="1" x14ac:dyDescent="0.25">
      <c r="A1078" s="14">
        <v>11623</v>
      </c>
      <c r="B1078" s="7" t="s">
        <v>236</v>
      </c>
      <c r="C1078" s="7" t="s">
        <v>237</v>
      </c>
      <c r="D1078" s="7" t="s">
        <v>597</v>
      </c>
      <c r="E1078" s="7" t="s">
        <v>239</v>
      </c>
      <c r="F1078" s="7" t="s">
        <v>0</v>
      </c>
      <c r="G1078" s="7" t="s">
        <v>280</v>
      </c>
      <c r="H1078" s="15">
        <v>565.47</v>
      </c>
      <c r="I1078" s="15">
        <v>173.7</v>
      </c>
      <c r="J1078" s="7" t="str">
        <f>IFERROR(_xlfn.XLOOKUP(F1078,ccustos!A:A,ccustos!B:B),"Sem termo")</f>
        <v>SEPAT</v>
      </c>
    </row>
    <row r="1079" spans="1:10" ht="25.5" customHeight="1" x14ac:dyDescent="0.25">
      <c r="A1079" s="16">
        <v>11627</v>
      </c>
      <c r="B1079" s="17" t="s">
        <v>236</v>
      </c>
      <c r="C1079" s="17" t="s">
        <v>399</v>
      </c>
      <c r="D1079" s="17" t="s">
        <v>841</v>
      </c>
      <c r="E1079" s="17" t="s">
        <v>239</v>
      </c>
      <c r="F1079" s="17" t="s">
        <v>3</v>
      </c>
      <c r="G1079" s="17" t="s">
        <v>842</v>
      </c>
      <c r="H1079" s="18">
        <v>45</v>
      </c>
      <c r="I1079" s="18">
        <v>78.98</v>
      </c>
      <c r="J1079" s="7" t="str">
        <f>IFERROR(_xlfn.XLOOKUP(F1079,ccustos!A:A,ccustos!B:B),"Sem termo")</f>
        <v>SETRAN</v>
      </c>
    </row>
    <row r="1080" spans="1:10" ht="36.75" customHeight="1" x14ac:dyDescent="0.25">
      <c r="A1080" s="14">
        <v>11628</v>
      </c>
      <c r="B1080" s="7" t="s">
        <v>236</v>
      </c>
      <c r="C1080" s="7" t="s">
        <v>399</v>
      </c>
      <c r="D1080" s="7" t="s">
        <v>841</v>
      </c>
      <c r="E1080" s="7" t="s">
        <v>239</v>
      </c>
      <c r="F1080" s="7" t="s">
        <v>3</v>
      </c>
      <c r="G1080" s="7" t="s">
        <v>843</v>
      </c>
      <c r="H1080" s="15">
        <v>45</v>
      </c>
      <c r="I1080" s="15">
        <v>78.98</v>
      </c>
      <c r="J1080" s="7" t="str">
        <f>IFERROR(_xlfn.XLOOKUP(F1080,ccustos!A:A,ccustos!B:B),"Sem termo")</f>
        <v>SETRAN</v>
      </c>
    </row>
    <row r="1081" spans="1:10" ht="36.75" customHeight="1" x14ac:dyDescent="0.25">
      <c r="A1081" s="16">
        <v>11629</v>
      </c>
      <c r="B1081" s="17" t="s">
        <v>236</v>
      </c>
      <c r="C1081" s="17" t="s">
        <v>399</v>
      </c>
      <c r="D1081" s="17" t="s">
        <v>841</v>
      </c>
      <c r="E1081" s="17" t="s">
        <v>239</v>
      </c>
      <c r="F1081" s="17" t="s">
        <v>3</v>
      </c>
      <c r="G1081" s="17" t="s">
        <v>842</v>
      </c>
      <c r="H1081" s="18">
        <v>45</v>
      </c>
      <c r="I1081" s="18">
        <v>93.09</v>
      </c>
      <c r="J1081" s="7" t="str">
        <f>IFERROR(_xlfn.XLOOKUP(F1081,ccustos!A:A,ccustos!B:B),"Sem termo")</f>
        <v>SETRAN</v>
      </c>
    </row>
    <row r="1082" spans="1:10" ht="36.75" customHeight="1" x14ac:dyDescent="0.25">
      <c r="A1082" s="14">
        <v>11630</v>
      </c>
      <c r="B1082" s="7" t="s">
        <v>236</v>
      </c>
      <c r="C1082" s="7" t="s">
        <v>306</v>
      </c>
      <c r="D1082" s="7" t="s">
        <v>369</v>
      </c>
      <c r="E1082" s="7" t="s">
        <v>239</v>
      </c>
      <c r="F1082" s="7" t="s">
        <v>205</v>
      </c>
      <c r="G1082" s="7" t="s">
        <v>308</v>
      </c>
      <c r="H1082" s="15">
        <v>447.96</v>
      </c>
      <c r="I1082" s="15">
        <v>195.89</v>
      </c>
      <c r="J1082" s="7" t="str">
        <f>IFERROR(_xlfn.XLOOKUP(F1082,ccustos!A:A,ccustos!B:B),"Sem termo")</f>
        <v>CCOM</v>
      </c>
    </row>
    <row r="1083" spans="1:10" ht="36.75" customHeight="1" x14ac:dyDescent="0.25">
      <c r="A1083" s="16">
        <v>11631</v>
      </c>
      <c r="B1083" s="17" t="s">
        <v>236</v>
      </c>
      <c r="C1083" s="17" t="s">
        <v>306</v>
      </c>
      <c r="D1083" s="17" t="s">
        <v>369</v>
      </c>
      <c r="E1083" s="17" t="s">
        <v>239</v>
      </c>
      <c r="F1083" s="17" t="s">
        <v>205</v>
      </c>
      <c r="G1083" s="17" t="s">
        <v>289</v>
      </c>
      <c r="H1083" s="18">
        <v>444.97</v>
      </c>
      <c r="I1083" s="18">
        <v>180.41</v>
      </c>
      <c r="J1083" s="7" t="str">
        <f>IFERROR(_xlfn.XLOOKUP(F1083,ccustos!A:A,ccustos!B:B),"Sem termo")</f>
        <v>CCOM</v>
      </c>
    </row>
    <row r="1084" spans="1:10" ht="36.75" customHeight="1" x14ac:dyDescent="0.25">
      <c r="A1084" s="14">
        <v>11632</v>
      </c>
      <c r="B1084" s="7" t="s">
        <v>236</v>
      </c>
      <c r="C1084" s="7" t="s">
        <v>241</v>
      </c>
      <c r="D1084" s="7" t="s">
        <v>309</v>
      </c>
      <c r="E1084" s="7" t="s">
        <v>239</v>
      </c>
      <c r="F1084" s="7" t="s">
        <v>0</v>
      </c>
      <c r="G1084" s="7" t="s">
        <v>289</v>
      </c>
      <c r="H1084" s="15">
        <v>330.02</v>
      </c>
      <c r="I1084" s="15">
        <v>188.94</v>
      </c>
      <c r="J1084" s="7" t="str">
        <f>IFERROR(_xlfn.XLOOKUP(F1084,ccustos!A:A,ccustos!B:B),"Sem termo")</f>
        <v>SEPAT</v>
      </c>
    </row>
    <row r="1085" spans="1:10" ht="36.75" customHeight="1" x14ac:dyDescent="0.25">
      <c r="A1085" s="16">
        <v>11633</v>
      </c>
      <c r="B1085" s="17" t="s">
        <v>236</v>
      </c>
      <c r="C1085" s="17" t="s">
        <v>337</v>
      </c>
      <c r="D1085" s="17" t="s">
        <v>346</v>
      </c>
      <c r="E1085" s="17" t="s">
        <v>239</v>
      </c>
      <c r="F1085" s="17" t="s">
        <v>205</v>
      </c>
      <c r="G1085" s="17" t="s">
        <v>331</v>
      </c>
      <c r="H1085" s="18">
        <v>298</v>
      </c>
      <c r="I1085" s="18">
        <v>213.43</v>
      </c>
      <c r="J1085" s="7" t="str">
        <f>IFERROR(_xlfn.XLOOKUP(F1085,ccustos!A:A,ccustos!B:B),"Sem termo")</f>
        <v>CCOM</v>
      </c>
    </row>
    <row r="1086" spans="1:10" ht="25.5" customHeight="1" x14ac:dyDescent="0.25">
      <c r="A1086" s="14">
        <v>11634</v>
      </c>
      <c r="B1086" s="7" t="s">
        <v>236</v>
      </c>
      <c r="C1086" s="7" t="s">
        <v>337</v>
      </c>
      <c r="D1086" s="7" t="s">
        <v>349</v>
      </c>
      <c r="E1086" s="7" t="s">
        <v>239</v>
      </c>
      <c r="F1086" s="7" t="s">
        <v>205</v>
      </c>
      <c r="G1086" s="7" t="s">
        <v>350</v>
      </c>
      <c r="H1086" s="15">
        <v>227.27</v>
      </c>
      <c r="I1086" s="15">
        <v>498</v>
      </c>
      <c r="J1086" s="7" t="str">
        <f>IFERROR(_xlfn.XLOOKUP(F1086,ccustos!A:A,ccustos!B:B),"Sem termo")</f>
        <v>CCOM</v>
      </c>
    </row>
    <row r="1087" spans="1:10" ht="25.5" customHeight="1" x14ac:dyDescent="0.25">
      <c r="A1087" s="16">
        <v>11638</v>
      </c>
      <c r="B1087" s="17" t="s">
        <v>236</v>
      </c>
      <c r="C1087" s="17" t="s">
        <v>844</v>
      </c>
      <c r="D1087" s="17" t="s">
        <v>845</v>
      </c>
      <c r="E1087" s="17" t="s">
        <v>250</v>
      </c>
      <c r="F1087" s="17" t="s">
        <v>256</v>
      </c>
      <c r="G1087" s="17" t="s">
        <v>382</v>
      </c>
      <c r="H1087" s="18">
        <v>5650</v>
      </c>
      <c r="I1087" s="18">
        <v>2153.3200000000002</v>
      </c>
      <c r="J1087" s="7" t="str">
        <f>IFERROR(_xlfn.XLOOKUP(F1087,ccustos!A:A,ccustos!B:B),"Sem termo")</f>
        <v>Sem termo</v>
      </c>
    </row>
    <row r="1088" spans="1:10" ht="25.5" customHeight="1" x14ac:dyDescent="0.25">
      <c r="A1088" s="14">
        <v>11641</v>
      </c>
      <c r="B1088" s="7" t="s">
        <v>236</v>
      </c>
      <c r="C1088" s="7" t="s">
        <v>237</v>
      </c>
      <c r="D1088" s="7" t="s">
        <v>563</v>
      </c>
      <c r="E1088" s="7" t="s">
        <v>239</v>
      </c>
      <c r="F1088" s="7" t="s">
        <v>205</v>
      </c>
      <c r="G1088" s="7" t="s">
        <v>343</v>
      </c>
      <c r="H1088" s="15">
        <v>222.3</v>
      </c>
      <c r="I1088" s="15">
        <v>173.7</v>
      </c>
      <c r="J1088" s="7" t="str">
        <f>IFERROR(_xlfn.XLOOKUP(F1088,ccustos!A:A,ccustos!B:B),"Sem termo")</f>
        <v>CCOM</v>
      </c>
    </row>
    <row r="1089" spans="1:10" ht="36.75" customHeight="1" x14ac:dyDescent="0.25">
      <c r="A1089" s="16">
        <v>11649</v>
      </c>
      <c r="B1089" s="17" t="s">
        <v>236</v>
      </c>
      <c r="C1089" s="17" t="s">
        <v>237</v>
      </c>
      <c r="D1089" s="17" t="s">
        <v>846</v>
      </c>
      <c r="E1089" s="17" t="s">
        <v>239</v>
      </c>
      <c r="F1089" s="17" t="s">
        <v>83</v>
      </c>
      <c r="G1089" s="17" t="s">
        <v>409</v>
      </c>
      <c r="H1089" s="18">
        <v>711</v>
      </c>
      <c r="I1089" s="18">
        <v>724.91</v>
      </c>
      <c r="J1089" s="7" t="str">
        <f>IFERROR(_xlfn.XLOOKUP(F1089,ccustos!A:A,ccustos!B:B),"Sem termo")</f>
        <v>GABIN</v>
      </c>
    </row>
    <row r="1090" spans="1:10" ht="36.75" customHeight="1" x14ac:dyDescent="0.25">
      <c r="A1090" s="14">
        <v>11650</v>
      </c>
      <c r="B1090" s="7" t="s">
        <v>236</v>
      </c>
      <c r="C1090" s="7" t="s">
        <v>237</v>
      </c>
      <c r="D1090" s="7" t="s">
        <v>847</v>
      </c>
      <c r="E1090" s="7" t="s">
        <v>239</v>
      </c>
      <c r="F1090" s="7" t="s">
        <v>0</v>
      </c>
      <c r="G1090" s="7" t="s">
        <v>278</v>
      </c>
      <c r="H1090" s="15">
        <v>354.2</v>
      </c>
      <c r="I1090" s="15">
        <v>356.01</v>
      </c>
      <c r="J1090" s="7" t="str">
        <f>IFERROR(_xlfn.XLOOKUP(F1090,ccustos!A:A,ccustos!B:B),"Sem termo")</f>
        <v>SEPAT</v>
      </c>
    </row>
    <row r="1091" spans="1:10" ht="36.75" customHeight="1" x14ac:dyDescent="0.25">
      <c r="A1091" s="16">
        <v>11651</v>
      </c>
      <c r="B1091" s="17" t="s">
        <v>236</v>
      </c>
      <c r="C1091" s="17" t="s">
        <v>237</v>
      </c>
      <c r="D1091" s="17" t="s">
        <v>848</v>
      </c>
      <c r="E1091" s="17" t="s">
        <v>239</v>
      </c>
      <c r="F1091" s="17" t="s">
        <v>0</v>
      </c>
      <c r="G1091" s="17" t="s">
        <v>409</v>
      </c>
      <c r="H1091" s="18">
        <v>711</v>
      </c>
      <c r="I1091" s="18">
        <v>724.91</v>
      </c>
      <c r="J1091" s="7" t="str">
        <f>IFERROR(_xlfn.XLOOKUP(F1091,ccustos!A:A,ccustos!B:B),"Sem termo")</f>
        <v>SEPAT</v>
      </c>
    </row>
    <row r="1092" spans="1:10" ht="25.5" customHeight="1" x14ac:dyDescent="0.25">
      <c r="A1092" s="14">
        <v>11656</v>
      </c>
      <c r="B1092" s="7" t="s">
        <v>236</v>
      </c>
      <c r="C1092" s="7" t="s">
        <v>241</v>
      </c>
      <c r="D1092" s="7" t="s">
        <v>362</v>
      </c>
      <c r="E1092" s="7" t="s">
        <v>239</v>
      </c>
      <c r="F1092" s="7" t="s">
        <v>186</v>
      </c>
      <c r="G1092" s="7" t="s">
        <v>331</v>
      </c>
      <c r="H1092" s="15">
        <v>232</v>
      </c>
      <c r="I1092" s="15">
        <v>95.8</v>
      </c>
      <c r="J1092" s="7" t="str">
        <f>IFERROR(_xlfn.XLOOKUP(F1092,ccustos!A:A,ccustos!B:B),"Sem termo")</f>
        <v>CGGE</v>
      </c>
    </row>
    <row r="1093" spans="1:10" ht="25.5" customHeight="1" x14ac:dyDescent="0.25">
      <c r="A1093" s="16">
        <v>11657</v>
      </c>
      <c r="B1093" s="17" t="s">
        <v>236</v>
      </c>
      <c r="C1093" s="17" t="s">
        <v>241</v>
      </c>
      <c r="D1093" s="17" t="s">
        <v>354</v>
      </c>
      <c r="E1093" s="17" t="s">
        <v>239</v>
      </c>
      <c r="F1093" s="17" t="s">
        <v>186</v>
      </c>
      <c r="G1093" s="17" t="s">
        <v>339</v>
      </c>
      <c r="H1093" s="18">
        <v>238</v>
      </c>
      <c r="I1093" s="18">
        <v>141.34</v>
      </c>
      <c r="J1093" s="7" t="str">
        <f>IFERROR(_xlfn.XLOOKUP(F1093,ccustos!A:A,ccustos!B:B),"Sem termo")</f>
        <v>CGGE</v>
      </c>
    </row>
    <row r="1094" spans="1:10" ht="25.5" customHeight="1" x14ac:dyDescent="0.25">
      <c r="A1094" s="14">
        <v>11658</v>
      </c>
      <c r="B1094" s="7" t="s">
        <v>236</v>
      </c>
      <c r="C1094" s="7" t="s">
        <v>241</v>
      </c>
      <c r="D1094" s="7" t="s">
        <v>354</v>
      </c>
      <c r="E1094" s="7" t="s">
        <v>239</v>
      </c>
      <c r="F1094" s="7" t="s">
        <v>50</v>
      </c>
      <c r="G1094" s="7" t="s">
        <v>339</v>
      </c>
      <c r="H1094" s="15">
        <v>238</v>
      </c>
      <c r="I1094" s="15">
        <v>141.63</v>
      </c>
      <c r="J1094" s="7" t="str">
        <f>IFERROR(_xlfn.XLOOKUP(F1094,ccustos!A:A,ccustos!B:B),"Sem termo")</f>
        <v>SEPAT</v>
      </c>
    </row>
    <row r="1095" spans="1:10" ht="36.75" customHeight="1" x14ac:dyDescent="0.25">
      <c r="A1095" s="16">
        <v>11659</v>
      </c>
      <c r="B1095" s="17" t="s">
        <v>236</v>
      </c>
      <c r="C1095" s="17" t="s">
        <v>241</v>
      </c>
      <c r="D1095" s="17" t="s">
        <v>362</v>
      </c>
      <c r="E1095" s="17" t="s">
        <v>239</v>
      </c>
      <c r="F1095" s="17" t="s">
        <v>205</v>
      </c>
      <c r="G1095" s="17" t="s">
        <v>331</v>
      </c>
      <c r="H1095" s="18">
        <v>232</v>
      </c>
      <c r="I1095" s="18">
        <v>83.15</v>
      </c>
      <c r="J1095" s="7" t="str">
        <f>IFERROR(_xlfn.XLOOKUP(F1095,ccustos!A:A,ccustos!B:B),"Sem termo")</f>
        <v>CCOM</v>
      </c>
    </row>
    <row r="1096" spans="1:10" ht="25.5" customHeight="1" x14ac:dyDescent="0.25">
      <c r="A1096" s="14">
        <v>11660</v>
      </c>
      <c r="B1096" s="7" t="s">
        <v>236</v>
      </c>
      <c r="C1096" s="7" t="s">
        <v>241</v>
      </c>
      <c r="D1096" s="7" t="s">
        <v>354</v>
      </c>
      <c r="E1096" s="7" t="s">
        <v>239</v>
      </c>
      <c r="F1096" s="7" t="s">
        <v>6</v>
      </c>
      <c r="G1096" s="7" t="s">
        <v>243</v>
      </c>
      <c r="H1096" s="15">
        <v>0.1</v>
      </c>
      <c r="I1096" s="15">
        <v>424.03</v>
      </c>
      <c r="J1096" s="7" t="str">
        <f>IFERROR(_xlfn.XLOOKUP(F1096,ccustos!A:A,ccustos!B:B),"Sem termo")</f>
        <v>SEPAT</v>
      </c>
    </row>
    <row r="1097" spans="1:10" ht="36.75" customHeight="1" x14ac:dyDescent="0.25">
      <c r="A1097" s="16">
        <v>11662</v>
      </c>
      <c r="B1097" s="17" t="s">
        <v>236</v>
      </c>
      <c r="C1097" s="17" t="s">
        <v>241</v>
      </c>
      <c r="D1097" s="17" t="s">
        <v>362</v>
      </c>
      <c r="E1097" s="17" t="s">
        <v>239</v>
      </c>
      <c r="F1097" s="17" t="s">
        <v>6</v>
      </c>
      <c r="G1097" s="17" t="s">
        <v>331</v>
      </c>
      <c r="H1097" s="18">
        <v>232</v>
      </c>
      <c r="I1097" s="18">
        <v>95.8</v>
      </c>
      <c r="J1097" s="7" t="str">
        <f>IFERROR(_xlfn.XLOOKUP(F1097,ccustos!A:A,ccustos!B:B),"Sem termo")</f>
        <v>SEPAT</v>
      </c>
    </row>
    <row r="1098" spans="1:10" ht="25.5" customHeight="1" x14ac:dyDescent="0.25">
      <c r="A1098" s="14">
        <v>11663</v>
      </c>
      <c r="B1098" s="7" t="s">
        <v>236</v>
      </c>
      <c r="C1098" s="7" t="s">
        <v>241</v>
      </c>
      <c r="D1098" s="7" t="s">
        <v>354</v>
      </c>
      <c r="E1098" s="7" t="s">
        <v>239</v>
      </c>
      <c r="F1098" s="7" t="s">
        <v>22</v>
      </c>
      <c r="G1098" s="7" t="s">
        <v>339</v>
      </c>
      <c r="H1098" s="15">
        <v>238</v>
      </c>
      <c r="I1098" s="15">
        <v>141.34</v>
      </c>
      <c r="J1098" s="7" t="str">
        <f>IFERROR(_xlfn.XLOOKUP(F1098,ccustos!A:A,ccustos!B:B),"Sem termo")</f>
        <v>COTEC</v>
      </c>
    </row>
    <row r="1099" spans="1:10" ht="25.5" customHeight="1" x14ac:dyDescent="0.25">
      <c r="A1099" s="16">
        <v>11664</v>
      </c>
      <c r="B1099" s="17" t="s">
        <v>236</v>
      </c>
      <c r="C1099" s="17" t="s">
        <v>325</v>
      </c>
      <c r="D1099" s="17" t="s">
        <v>849</v>
      </c>
      <c r="E1099" s="17" t="s">
        <v>239</v>
      </c>
      <c r="F1099" s="17" t="s">
        <v>18</v>
      </c>
      <c r="G1099" s="17" t="s">
        <v>688</v>
      </c>
      <c r="H1099" s="18">
        <v>3431.82</v>
      </c>
      <c r="I1099" s="18">
        <v>1125.3399999999999</v>
      </c>
      <c r="J1099" s="7" t="str">
        <f>IFERROR(_xlfn.XLOOKUP(F1099,ccustos!A:A,ccustos!B:B),"Sem termo")</f>
        <v>DEINFRA</v>
      </c>
    </row>
    <row r="1100" spans="1:10" ht="25.5" customHeight="1" x14ac:dyDescent="0.25">
      <c r="A1100" s="14">
        <v>11665</v>
      </c>
      <c r="B1100" s="7" t="s">
        <v>236</v>
      </c>
      <c r="C1100" s="7" t="s">
        <v>325</v>
      </c>
      <c r="D1100" s="7" t="s">
        <v>850</v>
      </c>
      <c r="E1100" s="7" t="s">
        <v>239</v>
      </c>
      <c r="F1100" s="7" t="s">
        <v>18</v>
      </c>
      <c r="G1100" s="7" t="s">
        <v>688</v>
      </c>
      <c r="H1100" s="15">
        <v>3431.82</v>
      </c>
      <c r="I1100" s="15">
        <v>889.83</v>
      </c>
      <c r="J1100" s="7" t="str">
        <f>IFERROR(_xlfn.XLOOKUP(F1100,ccustos!A:A,ccustos!B:B),"Sem termo")</f>
        <v>DEINFRA</v>
      </c>
    </row>
    <row r="1101" spans="1:10" ht="25.5" customHeight="1" x14ac:dyDescent="0.25">
      <c r="A1101" s="16">
        <v>11666</v>
      </c>
      <c r="B1101" s="17" t="s">
        <v>236</v>
      </c>
      <c r="C1101" s="17" t="s">
        <v>325</v>
      </c>
      <c r="D1101" s="17" t="s">
        <v>851</v>
      </c>
      <c r="E1101" s="17" t="s">
        <v>239</v>
      </c>
      <c r="F1101" s="17" t="s">
        <v>18</v>
      </c>
      <c r="G1101" s="17" t="s">
        <v>688</v>
      </c>
      <c r="H1101" s="18">
        <v>3431.82</v>
      </c>
      <c r="I1101" s="18">
        <v>1178.29</v>
      </c>
      <c r="J1101" s="7" t="str">
        <f>IFERROR(_xlfn.XLOOKUP(F1101,ccustos!A:A,ccustos!B:B),"Sem termo")</f>
        <v>DEINFRA</v>
      </c>
    </row>
    <row r="1102" spans="1:10" ht="25.5" customHeight="1" x14ac:dyDescent="0.25">
      <c r="A1102" s="14">
        <v>11667</v>
      </c>
      <c r="B1102" s="7" t="s">
        <v>236</v>
      </c>
      <c r="C1102" s="7" t="s">
        <v>325</v>
      </c>
      <c r="D1102" s="7" t="s">
        <v>850</v>
      </c>
      <c r="E1102" s="7" t="s">
        <v>239</v>
      </c>
      <c r="F1102" s="7" t="s">
        <v>18</v>
      </c>
      <c r="G1102" s="7" t="s">
        <v>688</v>
      </c>
      <c r="H1102" s="15">
        <v>3431.82</v>
      </c>
      <c r="I1102" s="15">
        <v>1220.95</v>
      </c>
      <c r="J1102" s="7" t="str">
        <f>IFERROR(_xlfn.XLOOKUP(F1102,ccustos!A:A,ccustos!B:B),"Sem termo")</f>
        <v>DEINFRA</v>
      </c>
    </row>
    <row r="1103" spans="1:10" ht="25.5" customHeight="1" x14ac:dyDescent="0.25">
      <c r="A1103" s="16">
        <v>11668</v>
      </c>
      <c r="B1103" s="17" t="s">
        <v>236</v>
      </c>
      <c r="C1103" s="17" t="s">
        <v>852</v>
      </c>
      <c r="D1103" s="17" t="s">
        <v>853</v>
      </c>
      <c r="E1103" s="17" t="s">
        <v>239</v>
      </c>
      <c r="F1103" s="17" t="s">
        <v>45</v>
      </c>
      <c r="G1103" s="17" t="s">
        <v>688</v>
      </c>
      <c r="H1103" s="18">
        <v>17931.34</v>
      </c>
      <c r="I1103" s="18">
        <v>4116.09</v>
      </c>
      <c r="J1103" s="7" t="str">
        <f>IFERROR(_xlfn.XLOOKUP(F1103,ccustos!A:A,ccustos!B:B),"Sem termo")</f>
        <v>SEPAT</v>
      </c>
    </row>
    <row r="1104" spans="1:10" ht="25.5" customHeight="1" x14ac:dyDescent="0.25">
      <c r="A1104" s="14">
        <v>11669</v>
      </c>
      <c r="B1104" s="7" t="s">
        <v>236</v>
      </c>
      <c r="C1104" s="7" t="s">
        <v>852</v>
      </c>
      <c r="D1104" s="7" t="s">
        <v>853</v>
      </c>
      <c r="E1104" s="7" t="s">
        <v>239</v>
      </c>
      <c r="F1104" s="7" t="s">
        <v>45</v>
      </c>
      <c r="G1104" s="7" t="s">
        <v>688</v>
      </c>
      <c r="H1104" s="15">
        <v>17931.34</v>
      </c>
      <c r="I1104" s="15">
        <v>1589.41</v>
      </c>
      <c r="J1104" s="7" t="str">
        <f>IFERROR(_xlfn.XLOOKUP(F1104,ccustos!A:A,ccustos!B:B),"Sem termo")</f>
        <v>SEPAT</v>
      </c>
    </row>
    <row r="1105" spans="1:10" ht="25.5" customHeight="1" x14ac:dyDescent="0.25">
      <c r="A1105" s="16">
        <v>11670</v>
      </c>
      <c r="B1105" s="17" t="s">
        <v>236</v>
      </c>
      <c r="C1105" s="17" t="s">
        <v>241</v>
      </c>
      <c r="D1105" s="17" t="s">
        <v>854</v>
      </c>
      <c r="E1105" s="17" t="s">
        <v>239</v>
      </c>
      <c r="F1105" s="17" t="s">
        <v>18</v>
      </c>
      <c r="G1105" s="17" t="s">
        <v>688</v>
      </c>
      <c r="H1105" s="18">
        <v>4075.5</v>
      </c>
      <c r="I1105" s="18">
        <v>1812.12</v>
      </c>
      <c r="J1105" s="7" t="str">
        <f>IFERROR(_xlfn.XLOOKUP(F1105,ccustos!A:A,ccustos!B:B),"Sem termo")</f>
        <v>DEINFRA</v>
      </c>
    </row>
    <row r="1106" spans="1:10" ht="25.5" customHeight="1" x14ac:dyDescent="0.25">
      <c r="A1106" s="14">
        <v>11671</v>
      </c>
      <c r="B1106" s="7" t="s">
        <v>236</v>
      </c>
      <c r="C1106" s="7" t="s">
        <v>241</v>
      </c>
      <c r="D1106" s="7" t="s">
        <v>854</v>
      </c>
      <c r="E1106" s="7" t="s">
        <v>239</v>
      </c>
      <c r="F1106" s="7" t="s">
        <v>45</v>
      </c>
      <c r="G1106" s="7" t="s">
        <v>688</v>
      </c>
      <c r="H1106" s="15">
        <v>4075.5</v>
      </c>
      <c r="I1106" s="15">
        <v>1812.12</v>
      </c>
      <c r="J1106" s="7" t="str">
        <f>IFERROR(_xlfn.XLOOKUP(F1106,ccustos!A:A,ccustos!B:B),"Sem termo")</f>
        <v>SEPAT</v>
      </c>
    </row>
    <row r="1107" spans="1:10" ht="25.5" customHeight="1" x14ac:dyDescent="0.25">
      <c r="A1107" s="16">
        <v>11672</v>
      </c>
      <c r="B1107" s="17" t="s">
        <v>236</v>
      </c>
      <c r="C1107" s="17" t="s">
        <v>237</v>
      </c>
      <c r="D1107" s="17" t="s">
        <v>855</v>
      </c>
      <c r="E1107" s="17" t="s">
        <v>239</v>
      </c>
      <c r="F1107" s="17" t="s">
        <v>63</v>
      </c>
      <c r="G1107" s="17" t="s">
        <v>856</v>
      </c>
      <c r="H1107" s="18">
        <v>5571.21</v>
      </c>
      <c r="I1107" s="18">
        <v>1328.3</v>
      </c>
      <c r="J1107" s="7" t="str">
        <f>IFERROR(_xlfn.XLOOKUP(F1107,ccustos!A:A,ccustos!B:B),"Sem termo")</f>
        <v>SEPAT</v>
      </c>
    </row>
    <row r="1108" spans="1:10" ht="25.5" customHeight="1" x14ac:dyDescent="0.25">
      <c r="A1108" s="14">
        <v>11673</v>
      </c>
      <c r="B1108" s="7" t="s">
        <v>236</v>
      </c>
      <c r="C1108" s="7" t="s">
        <v>237</v>
      </c>
      <c r="D1108" s="7" t="s">
        <v>855</v>
      </c>
      <c r="E1108" s="7" t="s">
        <v>239</v>
      </c>
      <c r="F1108" s="7" t="s">
        <v>63</v>
      </c>
      <c r="G1108" s="7" t="s">
        <v>856</v>
      </c>
      <c r="H1108" s="15">
        <v>5571.21</v>
      </c>
      <c r="I1108" s="15">
        <v>1328.3</v>
      </c>
      <c r="J1108" s="7" t="str">
        <f>IFERROR(_xlfn.XLOOKUP(F1108,ccustos!A:A,ccustos!B:B),"Sem termo")</f>
        <v>SEPAT</v>
      </c>
    </row>
    <row r="1109" spans="1:10" ht="36.75" customHeight="1" x14ac:dyDescent="0.25">
      <c r="A1109" s="16">
        <v>11674</v>
      </c>
      <c r="B1109" s="17" t="s">
        <v>236</v>
      </c>
      <c r="C1109" s="17" t="s">
        <v>237</v>
      </c>
      <c r="D1109" s="17" t="s">
        <v>855</v>
      </c>
      <c r="E1109" s="17" t="s">
        <v>239</v>
      </c>
      <c r="F1109" s="17" t="s">
        <v>63</v>
      </c>
      <c r="G1109" s="17" t="s">
        <v>856</v>
      </c>
      <c r="H1109" s="18">
        <v>5571.21</v>
      </c>
      <c r="I1109" s="18">
        <v>1328.3</v>
      </c>
      <c r="J1109" s="7" t="str">
        <f>IFERROR(_xlfn.XLOOKUP(F1109,ccustos!A:A,ccustos!B:B),"Sem termo")</f>
        <v>SEPAT</v>
      </c>
    </row>
    <row r="1110" spans="1:10" ht="25.5" customHeight="1" x14ac:dyDescent="0.25">
      <c r="A1110" s="14">
        <v>11675</v>
      </c>
      <c r="B1110" s="7" t="s">
        <v>236</v>
      </c>
      <c r="C1110" s="7" t="s">
        <v>237</v>
      </c>
      <c r="D1110" s="7" t="s">
        <v>855</v>
      </c>
      <c r="E1110" s="7" t="s">
        <v>239</v>
      </c>
      <c r="F1110" s="7" t="s">
        <v>63</v>
      </c>
      <c r="G1110" s="7" t="s">
        <v>856</v>
      </c>
      <c r="H1110" s="15">
        <v>5571.21</v>
      </c>
      <c r="I1110" s="15">
        <v>1328.3</v>
      </c>
      <c r="J1110" s="7" t="str">
        <f>IFERROR(_xlfn.XLOOKUP(F1110,ccustos!A:A,ccustos!B:B),"Sem termo")</f>
        <v>SEPAT</v>
      </c>
    </row>
    <row r="1111" spans="1:10" ht="36.75" customHeight="1" x14ac:dyDescent="0.25">
      <c r="A1111" s="16">
        <v>11676</v>
      </c>
      <c r="B1111" s="17" t="s">
        <v>236</v>
      </c>
      <c r="C1111" s="17" t="s">
        <v>237</v>
      </c>
      <c r="D1111" s="17" t="s">
        <v>855</v>
      </c>
      <c r="E1111" s="17" t="s">
        <v>239</v>
      </c>
      <c r="F1111" s="17" t="s">
        <v>63</v>
      </c>
      <c r="G1111" s="17" t="s">
        <v>856</v>
      </c>
      <c r="H1111" s="18">
        <v>5571.21</v>
      </c>
      <c r="I1111" s="18">
        <v>1328.3</v>
      </c>
      <c r="J1111" s="7" t="str">
        <f>IFERROR(_xlfn.XLOOKUP(F1111,ccustos!A:A,ccustos!B:B),"Sem termo")</f>
        <v>SEPAT</v>
      </c>
    </row>
    <row r="1112" spans="1:10" ht="25.5" customHeight="1" x14ac:dyDescent="0.25">
      <c r="A1112" s="14">
        <v>11677</v>
      </c>
      <c r="B1112" s="7" t="s">
        <v>236</v>
      </c>
      <c r="C1112" s="7" t="s">
        <v>237</v>
      </c>
      <c r="D1112" s="7" t="s">
        <v>855</v>
      </c>
      <c r="E1112" s="7" t="s">
        <v>239</v>
      </c>
      <c r="F1112" s="7" t="s">
        <v>63</v>
      </c>
      <c r="G1112" s="7" t="s">
        <v>856</v>
      </c>
      <c r="H1112" s="15">
        <v>5571.21</v>
      </c>
      <c r="I1112" s="15">
        <v>1328.3</v>
      </c>
      <c r="J1112" s="7" t="str">
        <f>IFERROR(_xlfn.XLOOKUP(F1112,ccustos!A:A,ccustos!B:B),"Sem termo")</f>
        <v>SEPAT</v>
      </c>
    </row>
    <row r="1113" spans="1:10" ht="25.5" customHeight="1" x14ac:dyDescent="0.25">
      <c r="A1113" s="16">
        <v>11678</v>
      </c>
      <c r="B1113" s="17" t="s">
        <v>236</v>
      </c>
      <c r="C1113" s="17" t="s">
        <v>237</v>
      </c>
      <c r="D1113" s="17" t="s">
        <v>855</v>
      </c>
      <c r="E1113" s="17" t="s">
        <v>239</v>
      </c>
      <c r="F1113" s="17" t="s">
        <v>63</v>
      </c>
      <c r="G1113" s="17" t="s">
        <v>856</v>
      </c>
      <c r="H1113" s="18">
        <v>5571.21</v>
      </c>
      <c r="I1113" s="18">
        <v>1328.3</v>
      </c>
      <c r="J1113" s="7" t="str">
        <f>IFERROR(_xlfn.XLOOKUP(F1113,ccustos!A:A,ccustos!B:B),"Sem termo")</f>
        <v>SEPAT</v>
      </c>
    </row>
    <row r="1114" spans="1:10" ht="25.5" customHeight="1" x14ac:dyDescent="0.25">
      <c r="A1114" s="14">
        <v>11679</v>
      </c>
      <c r="B1114" s="7" t="s">
        <v>236</v>
      </c>
      <c r="C1114" s="7" t="s">
        <v>237</v>
      </c>
      <c r="D1114" s="7" t="s">
        <v>855</v>
      </c>
      <c r="E1114" s="7" t="s">
        <v>239</v>
      </c>
      <c r="F1114" s="7" t="s">
        <v>63</v>
      </c>
      <c r="G1114" s="7" t="s">
        <v>856</v>
      </c>
      <c r="H1114" s="15">
        <v>5571.21</v>
      </c>
      <c r="I1114" s="15">
        <v>1328.3</v>
      </c>
      <c r="J1114" s="7" t="str">
        <f>IFERROR(_xlfn.XLOOKUP(F1114,ccustos!A:A,ccustos!B:B),"Sem termo")</f>
        <v>SEPAT</v>
      </c>
    </row>
    <row r="1115" spans="1:10" ht="25.5" customHeight="1" x14ac:dyDescent="0.25">
      <c r="A1115" s="16">
        <v>11680</v>
      </c>
      <c r="B1115" s="17" t="s">
        <v>236</v>
      </c>
      <c r="C1115" s="17" t="s">
        <v>237</v>
      </c>
      <c r="D1115" s="17" t="s">
        <v>855</v>
      </c>
      <c r="E1115" s="17" t="s">
        <v>239</v>
      </c>
      <c r="F1115" s="17" t="s">
        <v>63</v>
      </c>
      <c r="G1115" s="17" t="s">
        <v>856</v>
      </c>
      <c r="H1115" s="18">
        <v>5571.21</v>
      </c>
      <c r="I1115" s="18">
        <v>1328.3</v>
      </c>
      <c r="J1115" s="7" t="str">
        <f>IFERROR(_xlfn.XLOOKUP(F1115,ccustos!A:A,ccustos!B:B),"Sem termo")</f>
        <v>SEPAT</v>
      </c>
    </row>
    <row r="1116" spans="1:10" ht="36.75" customHeight="1" x14ac:dyDescent="0.25">
      <c r="A1116" s="14">
        <v>11681</v>
      </c>
      <c r="B1116" s="7" t="s">
        <v>236</v>
      </c>
      <c r="C1116" s="7" t="s">
        <v>387</v>
      </c>
      <c r="D1116" s="7" t="s">
        <v>857</v>
      </c>
      <c r="E1116" s="7" t="s">
        <v>250</v>
      </c>
      <c r="F1116" s="7" t="s">
        <v>4</v>
      </c>
      <c r="G1116" s="7" t="s">
        <v>389</v>
      </c>
      <c r="H1116" s="15">
        <v>720</v>
      </c>
      <c r="I1116" s="15">
        <v>350.07</v>
      </c>
      <c r="J1116" s="7" t="str">
        <f>IFERROR(_xlfn.XLOOKUP(F1116,ccustos!A:A,ccustos!B:B),"Sem termo")</f>
        <v>SEPAT</v>
      </c>
    </row>
    <row r="1117" spans="1:10" ht="36.75" customHeight="1" x14ac:dyDescent="0.25">
      <c r="A1117" s="16">
        <v>11682</v>
      </c>
      <c r="B1117" s="17" t="s">
        <v>236</v>
      </c>
      <c r="C1117" s="17" t="s">
        <v>237</v>
      </c>
      <c r="D1117" s="17" t="s">
        <v>855</v>
      </c>
      <c r="E1117" s="17" t="s">
        <v>239</v>
      </c>
      <c r="F1117" s="17" t="s">
        <v>63</v>
      </c>
      <c r="G1117" s="17" t="s">
        <v>856</v>
      </c>
      <c r="H1117" s="18">
        <v>5571.2</v>
      </c>
      <c r="I1117" s="18">
        <v>1328.3</v>
      </c>
      <c r="J1117" s="7" t="str">
        <f>IFERROR(_xlfn.XLOOKUP(F1117,ccustos!A:A,ccustos!B:B),"Sem termo")</f>
        <v>SEPAT</v>
      </c>
    </row>
    <row r="1118" spans="1:10" ht="25.5" customHeight="1" x14ac:dyDescent="0.25">
      <c r="A1118" s="14">
        <v>11683</v>
      </c>
      <c r="B1118" s="7" t="s">
        <v>236</v>
      </c>
      <c r="C1118" s="7" t="s">
        <v>237</v>
      </c>
      <c r="D1118" s="7" t="s">
        <v>379</v>
      </c>
      <c r="E1118" s="7" t="s">
        <v>239</v>
      </c>
      <c r="F1118" s="7" t="s">
        <v>14</v>
      </c>
      <c r="G1118" s="7" t="s">
        <v>350</v>
      </c>
      <c r="H1118" s="15">
        <v>180</v>
      </c>
      <c r="I1118" s="15">
        <v>405.3</v>
      </c>
      <c r="J1118" s="7" t="str">
        <f>IFERROR(_xlfn.XLOOKUP(F1118,ccustos!A:A,ccustos!B:B),"Sem termo")</f>
        <v>SEPAT</v>
      </c>
    </row>
    <row r="1119" spans="1:10" ht="36.75" customHeight="1" x14ac:dyDescent="0.25">
      <c r="A1119" s="16">
        <v>11684</v>
      </c>
      <c r="B1119" s="17" t="s">
        <v>236</v>
      </c>
      <c r="C1119" s="17" t="s">
        <v>237</v>
      </c>
      <c r="D1119" s="17" t="s">
        <v>855</v>
      </c>
      <c r="E1119" s="17" t="s">
        <v>239</v>
      </c>
      <c r="F1119" s="17" t="s">
        <v>63</v>
      </c>
      <c r="G1119" s="17" t="s">
        <v>856</v>
      </c>
      <c r="H1119" s="18">
        <v>5571.2</v>
      </c>
      <c r="I1119" s="18">
        <v>1328.3</v>
      </c>
      <c r="J1119" s="7" t="str">
        <f>IFERROR(_xlfn.XLOOKUP(F1119,ccustos!A:A,ccustos!B:B),"Sem termo")</f>
        <v>SEPAT</v>
      </c>
    </row>
    <row r="1120" spans="1:10" ht="36.75" customHeight="1" x14ac:dyDescent="0.25">
      <c r="A1120" s="14">
        <v>11685</v>
      </c>
      <c r="B1120" s="7" t="s">
        <v>236</v>
      </c>
      <c r="C1120" s="7" t="s">
        <v>237</v>
      </c>
      <c r="D1120" s="7" t="s">
        <v>855</v>
      </c>
      <c r="E1120" s="7" t="s">
        <v>239</v>
      </c>
      <c r="F1120" s="7" t="s">
        <v>63</v>
      </c>
      <c r="G1120" s="7" t="s">
        <v>856</v>
      </c>
      <c r="H1120" s="15">
        <v>5571.2</v>
      </c>
      <c r="I1120" s="15">
        <v>1328.3</v>
      </c>
      <c r="J1120" s="7" t="str">
        <f>IFERROR(_xlfn.XLOOKUP(F1120,ccustos!A:A,ccustos!B:B),"Sem termo")</f>
        <v>SEPAT</v>
      </c>
    </row>
    <row r="1121" spans="1:10" ht="36.75" customHeight="1" x14ac:dyDescent="0.25">
      <c r="A1121" s="16">
        <v>11686</v>
      </c>
      <c r="B1121" s="17" t="s">
        <v>236</v>
      </c>
      <c r="C1121" s="17" t="s">
        <v>237</v>
      </c>
      <c r="D1121" s="17" t="s">
        <v>855</v>
      </c>
      <c r="E1121" s="17" t="s">
        <v>239</v>
      </c>
      <c r="F1121" s="17" t="s">
        <v>63</v>
      </c>
      <c r="G1121" s="17" t="s">
        <v>856</v>
      </c>
      <c r="H1121" s="18">
        <v>5571.2</v>
      </c>
      <c r="I1121" s="18">
        <v>1328.3</v>
      </c>
      <c r="J1121" s="7" t="str">
        <f>IFERROR(_xlfn.XLOOKUP(F1121,ccustos!A:A,ccustos!B:B),"Sem termo")</f>
        <v>SEPAT</v>
      </c>
    </row>
    <row r="1122" spans="1:10" ht="25.5" customHeight="1" x14ac:dyDescent="0.25">
      <c r="A1122" s="14">
        <v>11687</v>
      </c>
      <c r="B1122" s="7" t="s">
        <v>236</v>
      </c>
      <c r="C1122" s="7" t="s">
        <v>237</v>
      </c>
      <c r="D1122" s="7" t="s">
        <v>855</v>
      </c>
      <c r="E1122" s="7" t="s">
        <v>239</v>
      </c>
      <c r="F1122" s="7" t="s">
        <v>63</v>
      </c>
      <c r="G1122" s="7" t="s">
        <v>856</v>
      </c>
      <c r="H1122" s="15">
        <v>5571.2</v>
      </c>
      <c r="I1122" s="15">
        <v>1328.3</v>
      </c>
      <c r="J1122" s="7" t="str">
        <f>IFERROR(_xlfn.XLOOKUP(F1122,ccustos!A:A,ccustos!B:B),"Sem termo")</f>
        <v>SEPAT</v>
      </c>
    </row>
    <row r="1123" spans="1:10" ht="25.5" customHeight="1" x14ac:dyDescent="0.25">
      <c r="A1123" s="16">
        <v>11688</v>
      </c>
      <c r="B1123" s="17" t="s">
        <v>236</v>
      </c>
      <c r="C1123" s="17" t="s">
        <v>241</v>
      </c>
      <c r="D1123" s="17" t="s">
        <v>858</v>
      </c>
      <c r="E1123" s="17" t="s">
        <v>239</v>
      </c>
      <c r="F1123" s="17" t="s">
        <v>58</v>
      </c>
      <c r="G1123" s="17" t="s">
        <v>331</v>
      </c>
      <c r="H1123" s="18">
        <v>0.01</v>
      </c>
      <c r="I1123" s="18">
        <v>141.34</v>
      </c>
      <c r="J1123" s="7" t="str">
        <f>IFERROR(_xlfn.XLOOKUP(F1123,ccustos!A:A,ccustos!B:B),"Sem termo")</f>
        <v>SEPAT</v>
      </c>
    </row>
    <row r="1124" spans="1:10" ht="25.5" customHeight="1" x14ac:dyDescent="0.25">
      <c r="A1124" s="14">
        <v>11689</v>
      </c>
      <c r="B1124" s="7" t="s">
        <v>236</v>
      </c>
      <c r="C1124" s="7" t="s">
        <v>237</v>
      </c>
      <c r="D1124" s="7" t="s">
        <v>277</v>
      </c>
      <c r="E1124" s="7" t="s">
        <v>239</v>
      </c>
      <c r="F1124" s="7" t="s">
        <v>205</v>
      </c>
      <c r="G1124" s="7" t="s">
        <v>278</v>
      </c>
      <c r="H1124" s="15">
        <v>201.3</v>
      </c>
      <c r="I1124" s="15">
        <v>173.7</v>
      </c>
      <c r="J1124" s="7" t="str">
        <f>IFERROR(_xlfn.XLOOKUP(F1124,ccustos!A:A,ccustos!B:B),"Sem termo")</f>
        <v>CCOM</v>
      </c>
    </row>
    <row r="1125" spans="1:10" ht="25.5" customHeight="1" x14ac:dyDescent="0.25">
      <c r="A1125" s="16">
        <v>11691</v>
      </c>
      <c r="B1125" s="17" t="s">
        <v>236</v>
      </c>
      <c r="C1125" s="17" t="s">
        <v>237</v>
      </c>
      <c r="D1125" s="17" t="s">
        <v>277</v>
      </c>
      <c r="E1125" s="17" t="s">
        <v>239</v>
      </c>
      <c r="F1125" s="17" t="s">
        <v>205</v>
      </c>
      <c r="G1125" s="17" t="s">
        <v>278</v>
      </c>
      <c r="H1125" s="18">
        <v>201.3</v>
      </c>
      <c r="I1125" s="18">
        <v>173.7</v>
      </c>
      <c r="J1125" s="7" t="str">
        <f>IFERROR(_xlfn.XLOOKUP(F1125,ccustos!A:A,ccustos!B:B),"Sem termo")</f>
        <v>CCOM</v>
      </c>
    </row>
    <row r="1126" spans="1:10" ht="25.5" customHeight="1" x14ac:dyDescent="0.25">
      <c r="A1126" s="14">
        <v>11692</v>
      </c>
      <c r="B1126" s="7" t="s">
        <v>236</v>
      </c>
      <c r="C1126" s="7" t="s">
        <v>241</v>
      </c>
      <c r="D1126" s="7" t="s">
        <v>354</v>
      </c>
      <c r="E1126" s="7" t="s">
        <v>239</v>
      </c>
      <c r="F1126" s="7" t="s">
        <v>6</v>
      </c>
      <c r="G1126" s="7" t="s">
        <v>331</v>
      </c>
      <c r="H1126" s="15">
        <v>232</v>
      </c>
      <c r="I1126" s="15">
        <v>141.34</v>
      </c>
      <c r="J1126" s="7" t="str">
        <f>IFERROR(_xlfn.XLOOKUP(F1126,ccustos!A:A,ccustos!B:B),"Sem termo")</f>
        <v>SEPAT</v>
      </c>
    </row>
    <row r="1127" spans="1:10" ht="36.75" customHeight="1" x14ac:dyDescent="0.25">
      <c r="A1127" s="16">
        <v>11693</v>
      </c>
      <c r="B1127" s="17" t="s">
        <v>236</v>
      </c>
      <c r="C1127" s="17" t="s">
        <v>241</v>
      </c>
      <c r="D1127" s="17" t="s">
        <v>362</v>
      </c>
      <c r="E1127" s="17" t="s">
        <v>239</v>
      </c>
      <c r="F1127" s="17" t="s">
        <v>6</v>
      </c>
      <c r="G1127" s="17" t="s">
        <v>331</v>
      </c>
      <c r="H1127" s="18">
        <v>232</v>
      </c>
      <c r="I1127" s="18">
        <v>95.8</v>
      </c>
      <c r="J1127" s="7" t="str">
        <f>IFERROR(_xlfn.XLOOKUP(F1127,ccustos!A:A,ccustos!B:B),"Sem termo")</f>
        <v>SEPAT</v>
      </c>
    </row>
    <row r="1128" spans="1:10" ht="25.5" customHeight="1" x14ac:dyDescent="0.25">
      <c r="A1128" s="14">
        <v>11695</v>
      </c>
      <c r="B1128" s="7" t="s">
        <v>236</v>
      </c>
      <c r="C1128" s="7" t="s">
        <v>241</v>
      </c>
      <c r="D1128" s="7" t="s">
        <v>354</v>
      </c>
      <c r="E1128" s="7" t="s">
        <v>239</v>
      </c>
      <c r="F1128" s="7" t="s">
        <v>205</v>
      </c>
      <c r="G1128" s="7" t="s">
        <v>339</v>
      </c>
      <c r="H1128" s="15">
        <v>238</v>
      </c>
      <c r="I1128" s="15">
        <v>141.34</v>
      </c>
      <c r="J1128" s="7" t="str">
        <f>IFERROR(_xlfn.XLOOKUP(F1128,ccustos!A:A,ccustos!B:B),"Sem termo")</f>
        <v>CCOM</v>
      </c>
    </row>
    <row r="1129" spans="1:10" ht="25.5" customHeight="1" x14ac:dyDescent="0.25">
      <c r="A1129" s="16">
        <v>11696</v>
      </c>
      <c r="B1129" s="17" t="s">
        <v>236</v>
      </c>
      <c r="C1129" s="17" t="s">
        <v>241</v>
      </c>
      <c r="D1129" s="17" t="s">
        <v>354</v>
      </c>
      <c r="E1129" s="17" t="s">
        <v>239</v>
      </c>
      <c r="F1129" s="17" t="s">
        <v>27</v>
      </c>
      <c r="G1129" s="17" t="s">
        <v>339</v>
      </c>
      <c r="H1129" s="18">
        <v>238</v>
      </c>
      <c r="I1129" s="18">
        <v>0</v>
      </c>
      <c r="J1129" s="7" t="str">
        <f>IFERROR(_xlfn.XLOOKUP(F1129,ccustos!A:A,ccustos!B:B),"Sem termo")</f>
        <v>CCI</v>
      </c>
    </row>
    <row r="1130" spans="1:10" ht="25.5" customHeight="1" x14ac:dyDescent="0.25">
      <c r="A1130" s="14">
        <v>11697</v>
      </c>
      <c r="B1130" s="7" t="s">
        <v>236</v>
      </c>
      <c r="C1130" s="7" t="s">
        <v>300</v>
      </c>
      <c r="D1130" s="7" t="s">
        <v>859</v>
      </c>
      <c r="E1130" s="7" t="s">
        <v>239</v>
      </c>
      <c r="F1130" s="7" t="s">
        <v>63</v>
      </c>
      <c r="G1130" s="7" t="s">
        <v>409</v>
      </c>
      <c r="H1130" s="15">
        <v>496</v>
      </c>
      <c r="I1130" s="15">
        <v>365.87</v>
      </c>
      <c r="J1130" s="7" t="str">
        <f>IFERROR(_xlfn.XLOOKUP(F1130,ccustos!A:A,ccustos!B:B),"Sem termo")</f>
        <v>SEPAT</v>
      </c>
    </row>
    <row r="1131" spans="1:10" ht="25.5" customHeight="1" x14ac:dyDescent="0.25">
      <c r="A1131" s="16">
        <v>11698</v>
      </c>
      <c r="B1131" s="17" t="s">
        <v>236</v>
      </c>
      <c r="C1131" s="17" t="s">
        <v>300</v>
      </c>
      <c r="D1131" s="17" t="s">
        <v>859</v>
      </c>
      <c r="E1131" s="17" t="s">
        <v>239</v>
      </c>
      <c r="F1131" s="17" t="s">
        <v>63</v>
      </c>
      <c r="G1131" s="17" t="s">
        <v>409</v>
      </c>
      <c r="H1131" s="18">
        <v>496</v>
      </c>
      <c r="I1131" s="18">
        <v>365.87</v>
      </c>
      <c r="J1131" s="7" t="str">
        <f>IFERROR(_xlfn.XLOOKUP(F1131,ccustos!A:A,ccustos!B:B),"Sem termo")</f>
        <v>SEPAT</v>
      </c>
    </row>
    <row r="1132" spans="1:10" ht="25.5" customHeight="1" x14ac:dyDescent="0.25">
      <c r="A1132" s="14">
        <v>11699</v>
      </c>
      <c r="B1132" s="7" t="s">
        <v>236</v>
      </c>
      <c r="C1132" s="7" t="s">
        <v>300</v>
      </c>
      <c r="D1132" s="7" t="s">
        <v>859</v>
      </c>
      <c r="E1132" s="7" t="s">
        <v>239</v>
      </c>
      <c r="F1132" s="7" t="s">
        <v>63</v>
      </c>
      <c r="G1132" s="7" t="s">
        <v>409</v>
      </c>
      <c r="H1132" s="15">
        <v>496</v>
      </c>
      <c r="I1132" s="15">
        <v>365.87</v>
      </c>
      <c r="J1132" s="7" t="str">
        <f>IFERROR(_xlfn.XLOOKUP(F1132,ccustos!A:A,ccustos!B:B),"Sem termo")</f>
        <v>SEPAT</v>
      </c>
    </row>
    <row r="1133" spans="1:10" ht="25.5" customHeight="1" x14ac:dyDescent="0.25">
      <c r="A1133" s="16">
        <v>11700</v>
      </c>
      <c r="B1133" s="17" t="s">
        <v>236</v>
      </c>
      <c r="C1133" s="17" t="s">
        <v>300</v>
      </c>
      <c r="D1133" s="17" t="s">
        <v>859</v>
      </c>
      <c r="E1133" s="17" t="s">
        <v>239</v>
      </c>
      <c r="F1133" s="17" t="s">
        <v>63</v>
      </c>
      <c r="G1133" s="17" t="s">
        <v>409</v>
      </c>
      <c r="H1133" s="18">
        <v>496</v>
      </c>
      <c r="I1133" s="18">
        <v>365.87</v>
      </c>
      <c r="J1133" s="7" t="str">
        <f>IFERROR(_xlfn.XLOOKUP(F1133,ccustos!A:A,ccustos!B:B),"Sem termo")</f>
        <v>SEPAT</v>
      </c>
    </row>
    <row r="1134" spans="1:10" ht="36.75" customHeight="1" x14ac:dyDescent="0.25">
      <c r="A1134" s="14">
        <v>11713</v>
      </c>
      <c r="B1134" s="7" t="s">
        <v>236</v>
      </c>
      <c r="C1134" s="7" t="s">
        <v>387</v>
      </c>
      <c r="D1134" s="7" t="s">
        <v>860</v>
      </c>
      <c r="E1134" s="7" t="s">
        <v>250</v>
      </c>
      <c r="F1134" s="7" t="s">
        <v>69</v>
      </c>
      <c r="G1134" s="7" t="s">
        <v>389</v>
      </c>
      <c r="H1134" s="15">
        <v>720</v>
      </c>
      <c r="I1134" s="15">
        <v>320.14</v>
      </c>
      <c r="J1134" s="7" t="str">
        <f>IFERROR(_xlfn.XLOOKUP(F1134,ccustos!A:A,ccustos!B:B),"Sem termo")</f>
        <v>SEPAT</v>
      </c>
    </row>
    <row r="1135" spans="1:10" ht="36.75" customHeight="1" x14ac:dyDescent="0.25">
      <c r="A1135" s="16">
        <v>11714</v>
      </c>
      <c r="B1135" s="17" t="s">
        <v>236</v>
      </c>
      <c r="C1135" s="17" t="s">
        <v>241</v>
      </c>
      <c r="D1135" s="17" t="s">
        <v>861</v>
      </c>
      <c r="E1135" s="17" t="s">
        <v>239</v>
      </c>
      <c r="F1135" s="17" t="s">
        <v>0</v>
      </c>
      <c r="G1135" s="17" t="s">
        <v>443</v>
      </c>
      <c r="H1135" s="18">
        <v>95.58</v>
      </c>
      <c r="I1135" s="18">
        <v>141.34</v>
      </c>
      <c r="J1135" s="7" t="str">
        <f>IFERROR(_xlfn.XLOOKUP(F1135,ccustos!A:A,ccustos!B:B),"Sem termo")</f>
        <v>SEPAT</v>
      </c>
    </row>
    <row r="1136" spans="1:10" ht="36.75" customHeight="1" x14ac:dyDescent="0.25">
      <c r="A1136" s="14">
        <v>11715</v>
      </c>
      <c r="B1136" s="7" t="s">
        <v>236</v>
      </c>
      <c r="C1136" s="7" t="s">
        <v>306</v>
      </c>
      <c r="D1136" s="7" t="s">
        <v>862</v>
      </c>
      <c r="E1136" s="7" t="s">
        <v>239</v>
      </c>
      <c r="F1136" s="7" t="s">
        <v>0</v>
      </c>
      <c r="G1136" s="7" t="s">
        <v>289</v>
      </c>
      <c r="H1136" s="15">
        <v>879.52</v>
      </c>
      <c r="I1136" s="15">
        <v>154.72999999999999</v>
      </c>
      <c r="J1136" s="7" t="str">
        <f>IFERROR(_xlfn.XLOOKUP(F1136,ccustos!A:A,ccustos!B:B),"Sem termo")</f>
        <v>SEPAT</v>
      </c>
    </row>
    <row r="1137" spans="1:10" ht="25.5" customHeight="1" x14ac:dyDescent="0.25">
      <c r="A1137" s="16">
        <v>11716</v>
      </c>
      <c r="B1137" s="17" t="s">
        <v>236</v>
      </c>
      <c r="C1137" s="17" t="s">
        <v>306</v>
      </c>
      <c r="D1137" s="17" t="s">
        <v>863</v>
      </c>
      <c r="E1137" s="17" t="s">
        <v>239</v>
      </c>
      <c r="F1137" s="17" t="s">
        <v>65</v>
      </c>
      <c r="G1137" s="17" t="s">
        <v>331</v>
      </c>
      <c r="H1137" s="18">
        <v>339</v>
      </c>
      <c r="I1137" s="18">
        <v>127.1</v>
      </c>
      <c r="J1137" s="7" t="str">
        <f>IFERROR(_xlfn.XLOOKUP(F1137,ccustos!A:A,ccustos!B:B),"Sem termo")</f>
        <v>DEINFRA</v>
      </c>
    </row>
    <row r="1138" spans="1:10" ht="25.5" customHeight="1" x14ac:dyDescent="0.25">
      <c r="A1138" s="14">
        <v>11717</v>
      </c>
      <c r="B1138" s="7" t="s">
        <v>236</v>
      </c>
      <c r="C1138" s="7" t="s">
        <v>306</v>
      </c>
      <c r="D1138" s="7" t="s">
        <v>864</v>
      </c>
      <c r="E1138" s="7" t="s">
        <v>239</v>
      </c>
      <c r="F1138" s="7" t="s">
        <v>22</v>
      </c>
      <c r="G1138" s="7" t="s">
        <v>308</v>
      </c>
      <c r="H1138" s="15">
        <v>310.75</v>
      </c>
      <c r="I1138" s="15">
        <v>127.1</v>
      </c>
      <c r="J1138" s="7" t="str">
        <f>IFERROR(_xlfn.XLOOKUP(F1138,ccustos!A:A,ccustos!B:B),"Sem termo")</f>
        <v>COTEC</v>
      </c>
    </row>
    <row r="1139" spans="1:10" ht="36.75" customHeight="1" x14ac:dyDescent="0.25">
      <c r="A1139" s="16">
        <v>11718</v>
      </c>
      <c r="B1139" s="17" t="s">
        <v>236</v>
      </c>
      <c r="C1139" s="17" t="s">
        <v>337</v>
      </c>
      <c r="D1139" s="17" t="s">
        <v>865</v>
      </c>
      <c r="E1139" s="17" t="s">
        <v>239</v>
      </c>
      <c r="F1139" s="17" t="s">
        <v>185</v>
      </c>
      <c r="G1139" s="17" t="s">
        <v>289</v>
      </c>
      <c r="H1139" s="18">
        <v>227.17</v>
      </c>
      <c r="I1139" s="18">
        <v>213.43</v>
      </c>
      <c r="J1139" s="7" t="str">
        <f>IFERROR(_xlfn.XLOOKUP(F1139,ccustos!A:A,ccustos!B:B),"Sem termo")</f>
        <v>CGGE</v>
      </c>
    </row>
    <row r="1140" spans="1:10" ht="25.5" customHeight="1" x14ac:dyDescent="0.25">
      <c r="A1140" s="14">
        <v>11719</v>
      </c>
      <c r="B1140" s="7" t="s">
        <v>236</v>
      </c>
      <c r="C1140" s="7" t="s">
        <v>313</v>
      </c>
      <c r="D1140" s="7" t="s">
        <v>373</v>
      </c>
      <c r="E1140" s="7" t="s">
        <v>250</v>
      </c>
      <c r="F1140" s="7" t="s">
        <v>60</v>
      </c>
      <c r="G1140" s="7" t="s">
        <v>315</v>
      </c>
      <c r="H1140" s="15">
        <v>620</v>
      </c>
      <c r="I1140" s="15">
        <v>196.91</v>
      </c>
      <c r="J1140" s="7" t="str">
        <f>IFERROR(_xlfn.XLOOKUP(F1140,ccustos!A:A,ccustos!B:B),"Sem termo")</f>
        <v>DEGEP</v>
      </c>
    </row>
    <row r="1141" spans="1:10" ht="25.5" customHeight="1" x14ac:dyDescent="0.25">
      <c r="A1141" s="16">
        <v>11720</v>
      </c>
      <c r="B1141" s="17" t="s">
        <v>236</v>
      </c>
      <c r="C1141" s="17" t="s">
        <v>337</v>
      </c>
      <c r="D1141" s="17" t="s">
        <v>865</v>
      </c>
      <c r="E1141" s="17" t="s">
        <v>239</v>
      </c>
      <c r="F1141" s="17" t="s">
        <v>26</v>
      </c>
      <c r="G1141" s="17" t="s">
        <v>409</v>
      </c>
      <c r="H1141" s="18">
        <v>185</v>
      </c>
      <c r="I1141" s="18">
        <v>498</v>
      </c>
      <c r="J1141" s="7" t="str">
        <f>IFERROR(_xlfn.XLOOKUP(F1141,ccustos!A:A,ccustos!B:B),"Sem termo")</f>
        <v>COLOG</v>
      </c>
    </row>
    <row r="1142" spans="1:10" ht="25.5" customHeight="1" x14ac:dyDescent="0.25">
      <c r="A1142" s="14">
        <v>11724</v>
      </c>
      <c r="B1142" s="7" t="s">
        <v>236</v>
      </c>
      <c r="C1142" s="7" t="s">
        <v>237</v>
      </c>
      <c r="D1142" s="7" t="s">
        <v>372</v>
      </c>
      <c r="E1142" s="7" t="s">
        <v>239</v>
      </c>
      <c r="F1142" s="7" t="s">
        <v>35</v>
      </c>
      <c r="G1142" s="7" t="s">
        <v>280</v>
      </c>
      <c r="H1142" s="15">
        <v>310.76</v>
      </c>
      <c r="I1142" s="15">
        <v>149.01</v>
      </c>
      <c r="J1142" s="7" t="str">
        <f>IFERROR(_xlfn.XLOOKUP(F1142,ccustos!A:A,ccustos!B:B),"Sem termo")</f>
        <v>DEINFRA</v>
      </c>
    </row>
    <row r="1143" spans="1:10" ht="36.75" customHeight="1" x14ac:dyDescent="0.25">
      <c r="A1143" s="16">
        <v>11725</v>
      </c>
      <c r="B1143" s="17" t="s">
        <v>236</v>
      </c>
      <c r="C1143" s="17" t="s">
        <v>237</v>
      </c>
      <c r="D1143" s="17" t="s">
        <v>866</v>
      </c>
      <c r="E1143" s="17" t="s">
        <v>239</v>
      </c>
      <c r="F1143" s="17" t="s">
        <v>0</v>
      </c>
      <c r="G1143" s="17" t="s">
        <v>278</v>
      </c>
      <c r="H1143" s="18">
        <v>122.87</v>
      </c>
      <c r="I1143" s="18">
        <v>149.01</v>
      </c>
      <c r="J1143" s="7" t="str">
        <f>IFERROR(_xlfn.XLOOKUP(F1143,ccustos!A:A,ccustos!B:B),"Sem termo")</f>
        <v>SEPAT</v>
      </c>
    </row>
    <row r="1144" spans="1:10" ht="36.75" customHeight="1" x14ac:dyDescent="0.25">
      <c r="A1144" s="14">
        <v>11726</v>
      </c>
      <c r="B1144" s="7" t="s">
        <v>236</v>
      </c>
      <c r="C1144" s="7" t="s">
        <v>241</v>
      </c>
      <c r="D1144" s="7" t="s">
        <v>867</v>
      </c>
      <c r="E1144" s="7" t="s">
        <v>239</v>
      </c>
      <c r="F1144" s="7" t="s">
        <v>47</v>
      </c>
      <c r="G1144" s="7" t="s">
        <v>345</v>
      </c>
      <c r="H1144" s="15">
        <v>1819.94</v>
      </c>
      <c r="I1144" s="15">
        <v>228.01</v>
      </c>
      <c r="J1144" s="7" t="str">
        <f>IFERROR(_xlfn.XLOOKUP(F1144,ccustos!A:A,ccustos!B:B),"Sem termo")</f>
        <v>CDPROF</v>
      </c>
    </row>
    <row r="1145" spans="1:10" ht="25.5" customHeight="1" x14ac:dyDescent="0.25">
      <c r="A1145" s="16">
        <v>11728</v>
      </c>
      <c r="B1145" s="17" t="s">
        <v>236</v>
      </c>
      <c r="C1145" s="17" t="s">
        <v>237</v>
      </c>
      <c r="D1145" s="17" t="s">
        <v>569</v>
      </c>
      <c r="E1145" s="17" t="s">
        <v>239</v>
      </c>
      <c r="F1145" s="17" t="s">
        <v>0</v>
      </c>
      <c r="G1145" s="17" t="s">
        <v>305</v>
      </c>
      <c r="H1145" s="18">
        <v>284.27999999999997</v>
      </c>
      <c r="I1145" s="18">
        <v>173.7</v>
      </c>
      <c r="J1145" s="7" t="str">
        <f>IFERROR(_xlfn.XLOOKUP(F1145,ccustos!A:A,ccustos!B:B),"Sem termo")</f>
        <v>SEPAT</v>
      </c>
    </row>
    <row r="1146" spans="1:10" ht="25.5" customHeight="1" x14ac:dyDescent="0.25">
      <c r="A1146" s="14">
        <v>11729</v>
      </c>
      <c r="B1146" s="7" t="s">
        <v>236</v>
      </c>
      <c r="C1146" s="7" t="s">
        <v>237</v>
      </c>
      <c r="D1146" s="7" t="s">
        <v>279</v>
      </c>
      <c r="E1146" s="7" t="s">
        <v>239</v>
      </c>
      <c r="F1146" s="7" t="s">
        <v>18</v>
      </c>
      <c r="G1146" s="7" t="s">
        <v>278</v>
      </c>
      <c r="H1146" s="15">
        <v>354.2</v>
      </c>
      <c r="I1146" s="15">
        <v>173.7</v>
      </c>
      <c r="J1146" s="7" t="str">
        <f>IFERROR(_xlfn.XLOOKUP(F1146,ccustos!A:A,ccustos!B:B),"Sem termo")</f>
        <v>DEINFRA</v>
      </c>
    </row>
    <row r="1147" spans="1:10" ht="25.5" customHeight="1" x14ac:dyDescent="0.25">
      <c r="A1147" s="16">
        <v>11734</v>
      </c>
      <c r="B1147" s="17" t="s">
        <v>236</v>
      </c>
      <c r="C1147" s="17" t="s">
        <v>237</v>
      </c>
      <c r="D1147" s="17" t="s">
        <v>341</v>
      </c>
      <c r="E1147" s="17" t="s">
        <v>239</v>
      </c>
      <c r="F1147" s="17" t="s">
        <v>0</v>
      </c>
      <c r="G1147" s="17" t="s">
        <v>280</v>
      </c>
      <c r="H1147" s="18">
        <v>565.46</v>
      </c>
      <c r="I1147" s="18">
        <v>173.7</v>
      </c>
      <c r="J1147" s="7" t="str">
        <f>IFERROR(_xlfn.XLOOKUP(F1147,ccustos!A:A,ccustos!B:B),"Sem termo")</f>
        <v>SEPAT</v>
      </c>
    </row>
    <row r="1148" spans="1:10" ht="25.5" customHeight="1" x14ac:dyDescent="0.25">
      <c r="A1148" s="14">
        <v>11736</v>
      </c>
      <c r="B1148" s="7" t="s">
        <v>236</v>
      </c>
      <c r="C1148" s="7" t="s">
        <v>241</v>
      </c>
      <c r="D1148" s="7" t="s">
        <v>789</v>
      </c>
      <c r="E1148" s="7" t="s">
        <v>239</v>
      </c>
      <c r="F1148" s="7" t="s">
        <v>26</v>
      </c>
      <c r="G1148" s="7" t="s">
        <v>331</v>
      </c>
      <c r="H1148" s="15">
        <v>446</v>
      </c>
      <c r="I1148" s="15">
        <v>238.18</v>
      </c>
      <c r="J1148" s="7" t="str">
        <f>IFERROR(_xlfn.XLOOKUP(F1148,ccustos!A:A,ccustos!B:B),"Sem termo")</f>
        <v>COLOG</v>
      </c>
    </row>
    <row r="1149" spans="1:10" ht="36.75" customHeight="1" x14ac:dyDescent="0.25">
      <c r="A1149" s="16">
        <v>11737</v>
      </c>
      <c r="B1149" s="17" t="s">
        <v>236</v>
      </c>
      <c r="C1149" s="17" t="s">
        <v>333</v>
      </c>
      <c r="D1149" s="17" t="s">
        <v>868</v>
      </c>
      <c r="E1149" s="17" t="s">
        <v>335</v>
      </c>
      <c r="F1149" s="17" t="s">
        <v>30</v>
      </c>
      <c r="G1149" s="17" t="s">
        <v>348</v>
      </c>
      <c r="H1149" s="18">
        <v>618.41999999999996</v>
      </c>
      <c r="I1149" s="18">
        <v>125.33</v>
      </c>
      <c r="J1149" s="7" t="str">
        <f>IFERROR(_xlfn.XLOOKUP(F1149,ccustos!A:A,ccustos!B:B),"Sem termo")</f>
        <v>COFIS</v>
      </c>
    </row>
    <row r="1150" spans="1:10" ht="25.5" customHeight="1" x14ac:dyDescent="0.25">
      <c r="A1150" s="14">
        <v>11739</v>
      </c>
      <c r="B1150" s="7" t="s">
        <v>236</v>
      </c>
      <c r="C1150" s="7" t="s">
        <v>237</v>
      </c>
      <c r="D1150" s="7" t="s">
        <v>869</v>
      </c>
      <c r="E1150" s="7" t="s">
        <v>239</v>
      </c>
      <c r="F1150" s="7" t="s">
        <v>0</v>
      </c>
      <c r="G1150" s="7" t="s">
        <v>278</v>
      </c>
      <c r="H1150" s="15">
        <v>354.2</v>
      </c>
      <c r="I1150" s="15">
        <v>173.7</v>
      </c>
      <c r="J1150" s="7" t="str">
        <f>IFERROR(_xlfn.XLOOKUP(F1150,ccustos!A:A,ccustos!B:B),"Sem termo")</f>
        <v>SEPAT</v>
      </c>
    </row>
    <row r="1151" spans="1:10" ht="36.75" customHeight="1" x14ac:dyDescent="0.25">
      <c r="A1151" s="16">
        <v>11740</v>
      </c>
      <c r="B1151" s="17" t="s">
        <v>236</v>
      </c>
      <c r="C1151" s="17" t="s">
        <v>316</v>
      </c>
      <c r="D1151" s="17" t="s">
        <v>870</v>
      </c>
      <c r="E1151" s="17" t="s">
        <v>318</v>
      </c>
      <c r="F1151" s="17" t="s">
        <v>213</v>
      </c>
      <c r="G1151" s="17" t="s">
        <v>409</v>
      </c>
      <c r="H1151" s="18">
        <v>560</v>
      </c>
      <c r="I1151" s="18">
        <v>363.29</v>
      </c>
      <c r="J1151" s="7" t="str">
        <f>IFERROR(_xlfn.XLOOKUP(F1151,ccustos!A:A,ccustos!B:B),"Sem termo")</f>
        <v>DIEPG</v>
      </c>
    </row>
    <row r="1152" spans="1:10" ht="25.5" customHeight="1" x14ac:dyDescent="0.25">
      <c r="A1152" s="14">
        <v>11741</v>
      </c>
      <c r="B1152" s="7" t="s">
        <v>236</v>
      </c>
      <c r="C1152" s="7" t="s">
        <v>269</v>
      </c>
      <c r="D1152" s="7" t="s">
        <v>469</v>
      </c>
      <c r="E1152" s="7" t="s">
        <v>239</v>
      </c>
      <c r="F1152" s="7" t="s">
        <v>20</v>
      </c>
      <c r="G1152" s="7" t="s">
        <v>470</v>
      </c>
      <c r="H1152" s="15">
        <v>420</v>
      </c>
      <c r="I1152" s="15">
        <v>178.81</v>
      </c>
      <c r="J1152" s="7" t="str">
        <f>IFERROR(_xlfn.XLOOKUP(F1152,ccustos!A:A,ccustos!B:B),"Sem termo")</f>
        <v>CGTI</v>
      </c>
    </row>
    <row r="1153" spans="1:10" ht="36.75" customHeight="1" x14ac:dyDescent="0.25">
      <c r="A1153" s="16">
        <v>11754</v>
      </c>
      <c r="B1153" s="17" t="s">
        <v>236</v>
      </c>
      <c r="C1153" s="17" t="s">
        <v>471</v>
      </c>
      <c r="D1153" s="17" t="s">
        <v>871</v>
      </c>
      <c r="E1153" s="17" t="s">
        <v>335</v>
      </c>
      <c r="F1153" s="17" t="s">
        <v>6</v>
      </c>
      <c r="G1153" s="17" t="s">
        <v>872</v>
      </c>
      <c r="H1153" s="18">
        <v>8995</v>
      </c>
      <c r="I1153" s="18">
        <v>1714.08</v>
      </c>
      <c r="J1153" s="7" t="str">
        <f>IFERROR(_xlfn.XLOOKUP(F1153,ccustos!A:A,ccustos!B:B),"Sem termo")</f>
        <v>SEPAT</v>
      </c>
    </row>
    <row r="1154" spans="1:10" ht="36.75" customHeight="1" x14ac:dyDescent="0.25">
      <c r="A1154" s="14">
        <v>11757</v>
      </c>
      <c r="B1154" s="7" t="s">
        <v>236</v>
      </c>
      <c r="C1154" s="7" t="s">
        <v>471</v>
      </c>
      <c r="D1154" s="7" t="s">
        <v>558</v>
      </c>
      <c r="E1154" s="7" t="s">
        <v>335</v>
      </c>
      <c r="F1154" s="7" t="s">
        <v>6</v>
      </c>
      <c r="G1154" s="7" t="s">
        <v>409</v>
      </c>
      <c r="H1154" s="15">
        <v>735</v>
      </c>
      <c r="I1154" s="15">
        <v>327.27</v>
      </c>
      <c r="J1154" s="7" t="str">
        <f>IFERROR(_xlfn.XLOOKUP(F1154,ccustos!A:A,ccustos!B:B),"Sem termo")</f>
        <v>SEPAT</v>
      </c>
    </row>
    <row r="1155" spans="1:10" ht="36.75" customHeight="1" x14ac:dyDescent="0.25">
      <c r="A1155" s="16">
        <v>11759</v>
      </c>
      <c r="B1155" s="17" t="s">
        <v>236</v>
      </c>
      <c r="C1155" s="17" t="s">
        <v>337</v>
      </c>
      <c r="D1155" s="17" t="s">
        <v>346</v>
      </c>
      <c r="E1155" s="17" t="s">
        <v>239</v>
      </c>
      <c r="F1155" s="17" t="s">
        <v>6</v>
      </c>
      <c r="G1155" s="17" t="s">
        <v>331</v>
      </c>
      <c r="H1155" s="18">
        <v>298</v>
      </c>
      <c r="I1155" s="18">
        <v>213.43</v>
      </c>
      <c r="J1155" s="7" t="str">
        <f>IFERROR(_xlfn.XLOOKUP(F1155,ccustos!A:A,ccustos!B:B),"Sem termo")</f>
        <v>SEPAT</v>
      </c>
    </row>
    <row r="1156" spans="1:10" ht="25.5" customHeight="1" x14ac:dyDescent="0.25">
      <c r="A1156" s="14">
        <v>11760</v>
      </c>
      <c r="B1156" s="7" t="s">
        <v>236</v>
      </c>
      <c r="C1156" s="7" t="s">
        <v>337</v>
      </c>
      <c r="D1156" s="7" t="s">
        <v>349</v>
      </c>
      <c r="E1156" s="7" t="s">
        <v>239</v>
      </c>
      <c r="F1156" s="7" t="s">
        <v>26</v>
      </c>
      <c r="G1156" s="7" t="s">
        <v>350</v>
      </c>
      <c r="H1156" s="15">
        <v>227.27</v>
      </c>
      <c r="I1156" s="15">
        <v>498</v>
      </c>
      <c r="J1156" s="7" t="str">
        <f>IFERROR(_xlfn.XLOOKUP(F1156,ccustos!A:A,ccustos!B:B),"Sem termo")</f>
        <v>COLOG</v>
      </c>
    </row>
    <row r="1157" spans="1:10" ht="36.75" customHeight="1" x14ac:dyDescent="0.25">
      <c r="A1157" s="16">
        <v>11761</v>
      </c>
      <c r="B1157" s="17" t="s">
        <v>236</v>
      </c>
      <c r="C1157" s="17" t="s">
        <v>269</v>
      </c>
      <c r="D1157" s="17" t="s">
        <v>469</v>
      </c>
      <c r="E1157" s="17" t="s">
        <v>239</v>
      </c>
      <c r="F1157" s="17" t="s">
        <v>20</v>
      </c>
      <c r="G1157" s="17" t="s">
        <v>470</v>
      </c>
      <c r="H1157" s="18">
        <v>420</v>
      </c>
      <c r="I1157" s="18">
        <v>178.81</v>
      </c>
      <c r="J1157" s="7" t="str">
        <f>IFERROR(_xlfn.XLOOKUP(F1157,ccustos!A:A,ccustos!B:B),"Sem termo")</f>
        <v>CGTI</v>
      </c>
    </row>
    <row r="1158" spans="1:10" ht="25.5" customHeight="1" x14ac:dyDescent="0.25">
      <c r="A1158" s="14">
        <v>11762</v>
      </c>
      <c r="B1158" s="7" t="s">
        <v>236</v>
      </c>
      <c r="C1158" s="7" t="s">
        <v>269</v>
      </c>
      <c r="D1158" s="7" t="s">
        <v>873</v>
      </c>
      <c r="E1158" s="7" t="s">
        <v>239</v>
      </c>
      <c r="F1158" s="7" t="s">
        <v>20</v>
      </c>
      <c r="G1158" s="7" t="s">
        <v>874</v>
      </c>
      <c r="H1158" s="15">
        <v>2791.55</v>
      </c>
      <c r="I1158" s="15">
        <v>130.84</v>
      </c>
      <c r="J1158" s="7" t="str">
        <f>IFERROR(_xlfn.XLOOKUP(F1158,ccustos!A:A,ccustos!B:B),"Sem termo")</f>
        <v>CGTI</v>
      </c>
    </row>
    <row r="1159" spans="1:10" ht="25.5" customHeight="1" x14ac:dyDescent="0.25">
      <c r="A1159" s="16">
        <v>11763</v>
      </c>
      <c r="B1159" s="17" t="s">
        <v>236</v>
      </c>
      <c r="C1159" s="17" t="s">
        <v>269</v>
      </c>
      <c r="D1159" s="17" t="s">
        <v>875</v>
      </c>
      <c r="E1159" s="17" t="s">
        <v>239</v>
      </c>
      <c r="F1159" s="17" t="s">
        <v>20</v>
      </c>
      <c r="G1159" s="17" t="s">
        <v>409</v>
      </c>
      <c r="H1159" s="18">
        <v>312</v>
      </c>
      <c r="I1159" s="18">
        <v>286.08999999999997</v>
      </c>
      <c r="J1159" s="7" t="str">
        <f>IFERROR(_xlfn.XLOOKUP(F1159,ccustos!A:A,ccustos!B:B),"Sem termo")</f>
        <v>CGTI</v>
      </c>
    </row>
    <row r="1160" spans="1:10" ht="36.75" customHeight="1" x14ac:dyDescent="0.25">
      <c r="A1160" s="14">
        <v>11764</v>
      </c>
      <c r="B1160" s="7" t="s">
        <v>236</v>
      </c>
      <c r="C1160" s="7" t="s">
        <v>269</v>
      </c>
      <c r="D1160" s="7" t="s">
        <v>876</v>
      </c>
      <c r="E1160" s="7" t="s">
        <v>239</v>
      </c>
      <c r="F1160" s="7" t="s">
        <v>20</v>
      </c>
      <c r="G1160" s="7" t="s">
        <v>877</v>
      </c>
      <c r="H1160" s="15">
        <v>569.52</v>
      </c>
      <c r="I1160" s="15">
        <v>159.94</v>
      </c>
      <c r="J1160" s="7" t="str">
        <f>IFERROR(_xlfn.XLOOKUP(F1160,ccustos!A:A,ccustos!B:B),"Sem termo")</f>
        <v>CGTI</v>
      </c>
    </row>
    <row r="1161" spans="1:10" ht="36.75" customHeight="1" x14ac:dyDescent="0.25">
      <c r="A1161" s="16">
        <v>11765</v>
      </c>
      <c r="B1161" s="17" t="s">
        <v>236</v>
      </c>
      <c r="C1161" s="17" t="s">
        <v>269</v>
      </c>
      <c r="D1161" s="17" t="s">
        <v>875</v>
      </c>
      <c r="E1161" s="17" t="s">
        <v>239</v>
      </c>
      <c r="F1161" s="17" t="s">
        <v>20</v>
      </c>
      <c r="G1161" s="17" t="s">
        <v>409</v>
      </c>
      <c r="H1161" s="18">
        <v>312</v>
      </c>
      <c r="I1161" s="18">
        <v>286.08999999999997</v>
      </c>
      <c r="J1161" s="7" t="str">
        <f>IFERROR(_xlfn.XLOOKUP(F1161,ccustos!A:A,ccustos!B:B),"Sem termo")</f>
        <v>CGTI</v>
      </c>
    </row>
    <row r="1162" spans="1:10" ht="25.5" customHeight="1" x14ac:dyDescent="0.25">
      <c r="A1162" s="14">
        <v>11778</v>
      </c>
      <c r="B1162" s="7" t="s">
        <v>236</v>
      </c>
      <c r="C1162" s="7" t="s">
        <v>878</v>
      </c>
      <c r="D1162" s="7" t="s">
        <v>879</v>
      </c>
      <c r="E1162" s="7" t="s">
        <v>335</v>
      </c>
      <c r="F1162" s="7" t="s">
        <v>192</v>
      </c>
      <c r="G1162" s="7" t="s">
        <v>880</v>
      </c>
      <c r="H1162" s="15">
        <v>17104</v>
      </c>
      <c r="I1162" s="15">
        <v>221.43</v>
      </c>
      <c r="J1162" s="7" t="str">
        <f>IFERROR(_xlfn.XLOOKUP(F1162,ccustos!A:A,ccustos!B:B),"Sem termo")</f>
        <v>SEPAT</v>
      </c>
    </row>
    <row r="1163" spans="1:10" ht="25.5" customHeight="1" x14ac:dyDescent="0.25">
      <c r="A1163" s="16">
        <v>11779</v>
      </c>
      <c r="B1163" s="17" t="s">
        <v>236</v>
      </c>
      <c r="C1163" s="17" t="s">
        <v>881</v>
      </c>
      <c r="D1163" s="17" t="s">
        <v>882</v>
      </c>
      <c r="E1163" s="17" t="s">
        <v>335</v>
      </c>
      <c r="F1163" s="17" t="s">
        <v>78</v>
      </c>
      <c r="G1163" s="17" t="s">
        <v>883</v>
      </c>
      <c r="H1163" s="18">
        <v>12410</v>
      </c>
      <c r="I1163" s="18">
        <v>6061.92</v>
      </c>
      <c r="J1163" s="7" t="str">
        <f>IFERROR(_xlfn.XLOOKUP(F1163,ccustos!A:A,ccustos!B:B),"Sem termo")</f>
        <v>CGTI</v>
      </c>
    </row>
    <row r="1164" spans="1:10" ht="25.5" customHeight="1" x14ac:dyDescent="0.25">
      <c r="A1164" s="14">
        <v>11780</v>
      </c>
      <c r="B1164" s="7" t="s">
        <v>236</v>
      </c>
      <c r="C1164" s="7" t="s">
        <v>881</v>
      </c>
      <c r="D1164" s="7" t="s">
        <v>882</v>
      </c>
      <c r="E1164" s="7" t="s">
        <v>335</v>
      </c>
      <c r="F1164" s="7" t="s">
        <v>20</v>
      </c>
      <c r="G1164" s="7" t="s">
        <v>883</v>
      </c>
      <c r="H1164" s="15">
        <v>12410</v>
      </c>
      <c r="I1164" s="15">
        <v>6061.92</v>
      </c>
      <c r="J1164" s="7" t="str">
        <f>IFERROR(_xlfn.XLOOKUP(F1164,ccustos!A:A,ccustos!B:B),"Sem termo")</f>
        <v>CGTI</v>
      </c>
    </row>
    <row r="1165" spans="1:10" ht="25.5" customHeight="1" x14ac:dyDescent="0.25">
      <c r="A1165" s="16">
        <v>11781</v>
      </c>
      <c r="B1165" s="17" t="s">
        <v>236</v>
      </c>
      <c r="C1165" s="17" t="s">
        <v>881</v>
      </c>
      <c r="D1165" s="17" t="s">
        <v>882</v>
      </c>
      <c r="E1165" s="17" t="s">
        <v>335</v>
      </c>
      <c r="F1165" s="17" t="s">
        <v>78</v>
      </c>
      <c r="G1165" s="17" t="s">
        <v>883</v>
      </c>
      <c r="H1165" s="18">
        <v>12410</v>
      </c>
      <c r="I1165" s="18">
        <v>6061.92</v>
      </c>
      <c r="J1165" s="7" t="str">
        <f>IFERROR(_xlfn.XLOOKUP(F1165,ccustos!A:A,ccustos!B:B),"Sem termo")</f>
        <v>CGTI</v>
      </c>
    </row>
    <row r="1166" spans="1:10" ht="25.5" customHeight="1" x14ac:dyDescent="0.25">
      <c r="A1166" s="14">
        <v>11786</v>
      </c>
      <c r="B1166" s="7" t="s">
        <v>236</v>
      </c>
      <c r="C1166" s="7" t="s">
        <v>471</v>
      </c>
      <c r="D1166" s="7" t="s">
        <v>884</v>
      </c>
      <c r="E1166" s="7" t="s">
        <v>335</v>
      </c>
      <c r="F1166" s="7" t="s">
        <v>6</v>
      </c>
      <c r="G1166" s="7" t="s">
        <v>409</v>
      </c>
      <c r="H1166" s="15">
        <v>735</v>
      </c>
      <c r="I1166" s="15">
        <v>327.27</v>
      </c>
      <c r="J1166" s="7" t="str">
        <f>IFERROR(_xlfn.XLOOKUP(F1166,ccustos!A:A,ccustos!B:B),"Sem termo")</f>
        <v>SEPAT</v>
      </c>
    </row>
    <row r="1167" spans="1:10" ht="36.75" customHeight="1" x14ac:dyDescent="0.25">
      <c r="A1167" s="16">
        <v>11787</v>
      </c>
      <c r="B1167" s="17" t="s">
        <v>236</v>
      </c>
      <c r="C1167" s="17" t="s">
        <v>471</v>
      </c>
      <c r="D1167" s="17" t="s">
        <v>885</v>
      </c>
      <c r="E1167" s="17" t="s">
        <v>335</v>
      </c>
      <c r="F1167" s="17" t="s">
        <v>6</v>
      </c>
      <c r="G1167" s="17" t="s">
        <v>409</v>
      </c>
      <c r="H1167" s="18">
        <v>630</v>
      </c>
      <c r="I1167" s="18">
        <v>250.27</v>
      </c>
      <c r="J1167" s="7" t="str">
        <f>IFERROR(_xlfn.XLOOKUP(F1167,ccustos!A:A,ccustos!B:B),"Sem termo")</f>
        <v>SEPAT</v>
      </c>
    </row>
    <row r="1168" spans="1:10" ht="25.5" customHeight="1" x14ac:dyDescent="0.25">
      <c r="A1168" s="14">
        <v>11788</v>
      </c>
      <c r="B1168" s="7" t="s">
        <v>236</v>
      </c>
      <c r="C1168" s="7" t="s">
        <v>471</v>
      </c>
      <c r="D1168" s="7" t="s">
        <v>886</v>
      </c>
      <c r="E1168" s="7" t="s">
        <v>335</v>
      </c>
      <c r="F1168" s="7" t="s">
        <v>20</v>
      </c>
      <c r="G1168" s="7" t="s">
        <v>887</v>
      </c>
      <c r="H1168" s="15">
        <v>23000</v>
      </c>
      <c r="I1168" s="15">
        <v>1181.47</v>
      </c>
      <c r="J1168" s="7" t="str">
        <f>IFERROR(_xlfn.XLOOKUP(F1168,ccustos!A:A,ccustos!B:B),"Sem termo")</f>
        <v>CGTI</v>
      </c>
    </row>
    <row r="1169" spans="1:10" ht="25.5" customHeight="1" x14ac:dyDescent="0.25">
      <c r="A1169" s="16">
        <v>11789</v>
      </c>
      <c r="B1169" s="17" t="s">
        <v>236</v>
      </c>
      <c r="C1169" s="17" t="s">
        <v>471</v>
      </c>
      <c r="D1169" s="17" t="s">
        <v>472</v>
      </c>
      <c r="E1169" s="17" t="s">
        <v>335</v>
      </c>
      <c r="F1169" s="17" t="s">
        <v>37</v>
      </c>
      <c r="G1169" s="17" t="s">
        <v>473</v>
      </c>
      <c r="H1169" s="18">
        <v>1650</v>
      </c>
      <c r="I1169" s="18">
        <v>314.42</v>
      </c>
      <c r="J1169" s="7" t="str">
        <f>IFERROR(_xlfn.XLOOKUP(F1169,ccustos!A:A,ccustos!B:B),"Sem termo")</f>
        <v>PROJUR</v>
      </c>
    </row>
    <row r="1170" spans="1:10" ht="25.5" customHeight="1" x14ac:dyDescent="0.25">
      <c r="A1170" s="14">
        <v>11790</v>
      </c>
      <c r="B1170" s="7" t="s">
        <v>236</v>
      </c>
      <c r="C1170" s="7" t="s">
        <v>471</v>
      </c>
      <c r="D1170" s="7" t="s">
        <v>888</v>
      </c>
      <c r="E1170" s="7" t="s">
        <v>335</v>
      </c>
      <c r="F1170" s="7" t="s">
        <v>20</v>
      </c>
      <c r="G1170" s="7" t="s">
        <v>889</v>
      </c>
      <c r="H1170" s="15">
        <v>2109</v>
      </c>
      <c r="I1170" s="15">
        <v>401.89</v>
      </c>
      <c r="J1170" s="7" t="str">
        <f>IFERROR(_xlfn.XLOOKUP(F1170,ccustos!A:A,ccustos!B:B),"Sem termo")</f>
        <v>CGTI</v>
      </c>
    </row>
    <row r="1171" spans="1:10" ht="36.75" customHeight="1" x14ac:dyDescent="0.25">
      <c r="A1171" s="16">
        <v>11791</v>
      </c>
      <c r="B1171" s="17" t="s">
        <v>236</v>
      </c>
      <c r="C1171" s="17" t="s">
        <v>471</v>
      </c>
      <c r="D1171" s="17" t="s">
        <v>888</v>
      </c>
      <c r="E1171" s="17" t="s">
        <v>335</v>
      </c>
      <c r="F1171" s="17" t="s">
        <v>20</v>
      </c>
      <c r="G1171" s="17" t="s">
        <v>889</v>
      </c>
      <c r="H1171" s="18">
        <v>2109</v>
      </c>
      <c r="I1171" s="18">
        <v>401.89</v>
      </c>
      <c r="J1171" s="7" t="str">
        <f>IFERROR(_xlfn.XLOOKUP(F1171,ccustos!A:A,ccustos!B:B),"Sem termo")</f>
        <v>CGTI</v>
      </c>
    </row>
    <row r="1172" spans="1:10" ht="36.75" customHeight="1" x14ac:dyDescent="0.25">
      <c r="A1172" s="14">
        <v>11795</v>
      </c>
      <c r="B1172" s="7" t="s">
        <v>236</v>
      </c>
      <c r="C1172" s="7" t="s">
        <v>306</v>
      </c>
      <c r="D1172" s="7" t="s">
        <v>512</v>
      </c>
      <c r="E1172" s="7" t="s">
        <v>239</v>
      </c>
      <c r="F1172" s="7" t="s">
        <v>205</v>
      </c>
      <c r="G1172" s="7" t="s">
        <v>339</v>
      </c>
      <c r="H1172" s="15">
        <v>238.22</v>
      </c>
      <c r="I1172" s="15">
        <v>127.1</v>
      </c>
      <c r="J1172" s="7" t="str">
        <f>IFERROR(_xlfn.XLOOKUP(F1172,ccustos!A:A,ccustos!B:B),"Sem termo")</f>
        <v>CCOM</v>
      </c>
    </row>
    <row r="1173" spans="1:10" ht="36.75" customHeight="1" x14ac:dyDescent="0.25">
      <c r="A1173" s="16">
        <v>11796</v>
      </c>
      <c r="B1173" s="17" t="s">
        <v>236</v>
      </c>
      <c r="C1173" s="17" t="s">
        <v>327</v>
      </c>
      <c r="D1173" s="17" t="s">
        <v>890</v>
      </c>
      <c r="E1173" s="17" t="s">
        <v>239</v>
      </c>
      <c r="F1173" s="17" t="s">
        <v>47</v>
      </c>
      <c r="G1173" s="17" t="s">
        <v>331</v>
      </c>
      <c r="H1173" s="18">
        <v>5357</v>
      </c>
      <c r="I1173" s="18">
        <v>693.63</v>
      </c>
      <c r="J1173" s="7" t="str">
        <f>IFERROR(_xlfn.XLOOKUP(F1173,ccustos!A:A,ccustos!B:B),"Sem termo")</f>
        <v>CDPROF</v>
      </c>
    </row>
    <row r="1174" spans="1:10" ht="25.5" customHeight="1" x14ac:dyDescent="0.25">
      <c r="A1174" s="14">
        <v>11797</v>
      </c>
      <c r="B1174" s="7" t="s">
        <v>236</v>
      </c>
      <c r="C1174" s="7" t="s">
        <v>294</v>
      </c>
      <c r="D1174" s="7" t="s">
        <v>891</v>
      </c>
      <c r="E1174" s="7" t="s">
        <v>239</v>
      </c>
      <c r="F1174" s="7" t="s">
        <v>20</v>
      </c>
      <c r="G1174" s="7" t="s">
        <v>589</v>
      </c>
      <c r="H1174" s="15">
        <v>928</v>
      </c>
      <c r="I1174" s="15">
        <v>338.77</v>
      </c>
      <c r="J1174" s="7" t="str">
        <f>IFERROR(_xlfn.XLOOKUP(F1174,ccustos!A:A,ccustos!B:B),"Sem termo")</f>
        <v>CGTI</v>
      </c>
    </row>
    <row r="1175" spans="1:10" ht="25.5" customHeight="1" x14ac:dyDescent="0.25">
      <c r="A1175" s="16">
        <v>11800</v>
      </c>
      <c r="B1175" s="17" t="s">
        <v>236</v>
      </c>
      <c r="C1175" s="17" t="s">
        <v>306</v>
      </c>
      <c r="D1175" s="17" t="s">
        <v>892</v>
      </c>
      <c r="E1175" s="17" t="s">
        <v>239</v>
      </c>
      <c r="F1175" s="17" t="s">
        <v>0</v>
      </c>
      <c r="G1175" s="17" t="s">
        <v>243</v>
      </c>
      <c r="H1175" s="18">
        <v>0.1</v>
      </c>
      <c r="I1175" s="18">
        <v>464.2</v>
      </c>
      <c r="J1175" s="7" t="str">
        <f>IFERROR(_xlfn.XLOOKUP(F1175,ccustos!A:A,ccustos!B:B),"Sem termo")</f>
        <v>SEPAT</v>
      </c>
    </row>
    <row r="1176" spans="1:10" ht="25.5" customHeight="1" x14ac:dyDescent="0.25">
      <c r="A1176" s="14">
        <v>11801</v>
      </c>
      <c r="B1176" s="7" t="s">
        <v>236</v>
      </c>
      <c r="C1176" s="7" t="s">
        <v>300</v>
      </c>
      <c r="D1176" s="7" t="s">
        <v>893</v>
      </c>
      <c r="E1176" s="7" t="s">
        <v>239</v>
      </c>
      <c r="F1176" s="7" t="s">
        <v>63</v>
      </c>
      <c r="G1176" s="7" t="s">
        <v>409</v>
      </c>
      <c r="H1176" s="15">
        <v>384</v>
      </c>
      <c r="I1176" s="15">
        <v>365.87</v>
      </c>
      <c r="J1176" s="7" t="str">
        <f>IFERROR(_xlfn.XLOOKUP(F1176,ccustos!A:A,ccustos!B:B),"Sem termo")</f>
        <v>SEPAT</v>
      </c>
    </row>
    <row r="1177" spans="1:10" ht="36.75" customHeight="1" x14ac:dyDescent="0.25">
      <c r="A1177" s="16">
        <v>11804</v>
      </c>
      <c r="B1177" s="17" t="s">
        <v>236</v>
      </c>
      <c r="C1177" s="17" t="s">
        <v>237</v>
      </c>
      <c r="D1177" s="17" t="s">
        <v>277</v>
      </c>
      <c r="E1177" s="17" t="s">
        <v>239</v>
      </c>
      <c r="F1177" s="17" t="s">
        <v>0</v>
      </c>
      <c r="G1177" s="17" t="s">
        <v>278</v>
      </c>
      <c r="H1177" s="18">
        <v>201.3</v>
      </c>
      <c r="I1177" s="18">
        <v>173.7</v>
      </c>
      <c r="J1177" s="7" t="str">
        <f>IFERROR(_xlfn.XLOOKUP(F1177,ccustos!A:A,ccustos!B:B),"Sem termo")</f>
        <v>SEPAT</v>
      </c>
    </row>
    <row r="1178" spans="1:10" ht="25.5" customHeight="1" x14ac:dyDescent="0.25">
      <c r="A1178" s="14">
        <v>11805</v>
      </c>
      <c r="B1178" s="7" t="s">
        <v>236</v>
      </c>
      <c r="C1178" s="7" t="s">
        <v>237</v>
      </c>
      <c r="D1178" s="7" t="s">
        <v>277</v>
      </c>
      <c r="E1178" s="7" t="s">
        <v>239</v>
      </c>
      <c r="F1178" s="7" t="s">
        <v>0</v>
      </c>
      <c r="G1178" s="7" t="s">
        <v>278</v>
      </c>
      <c r="H1178" s="15">
        <v>201.3</v>
      </c>
      <c r="I1178" s="15">
        <v>173.7</v>
      </c>
      <c r="J1178" s="7" t="str">
        <f>IFERROR(_xlfn.XLOOKUP(F1178,ccustos!A:A,ccustos!B:B),"Sem termo")</f>
        <v>SEPAT</v>
      </c>
    </row>
    <row r="1179" spans="1:10" ht="25.5" customHeight="1" x14ac:dyDescent="0.25">
      <c r="A1179" s="16">
        <v>11806</v>
      </c>
      <c r="B1179" s="17" t="s">
        <v>236</v>
      </c>
      <c r="C1179" s="17" t="s">
        <v>237</v>
      </c>
      <c r="D1179" s="17" t="s">
        <v>277</v>
      </c>
      <c r="E1179" s="17" t="s">
        <v>239</v>
      </c>
      <c r="F1179" s="17" t="s">
        <v>14</v>
      </c>
      <c r="G1179" s="17" t="s">
        <v>278</v>
      </c>
      <c r="H1179" s="18">
        <v>201.3</v>
      </c>
      <c r="I1179" s="18">
        <v>173.7</v>
      </c>
      <c r="J1179" s="7" t="str">
        <f>IFERROR(_xlfn.XLOOKUP(F1179,ccustos!A:A,ccustos!B:B),"Sem termo")</f>
        <v>SEPAT</v>
      </c>
    </row>
    <row r="1180" spans="1:10" ht="25.5" customHeight="1" x14ac:dyDescent="0.25">
      <c r="A1180" s="14">
        <v>11808</v>
      </c>
      <c r="B1180" s="7" t="s">
        <v>236</v>
      </c>
      <c r="C1180" s="7" t="s">
        <v>237</v>
      </c>
      <c r="D1180" s="7" t="s">
        <v>277</v>
      </c>
      <c r="E1180" s="7" t="s">
        <v>239</v>
      </c>
      <c r="F1180" s="7" t="s">
        <v>0</v>
      </c>
      <c r="G1180" s="7" t="s">
        <v>278</v>
      </c>
      <c r="H1180" s="15">
        <v>201.3</v>
      </c>
      <c r="I1180" s="15">
        <v>173.7</v>
      </c>
      <c r="J1180" s="7" t="str">
        <f>IFERROR(_xlfn.XLOOKUP(F1180,ccustos!A:A,ccustos!B:B),"Sem termo")</f>
        <v>SEPAT</v>
      </c>
    </row>
    <row r="1181" spans="1:10" ht="25.5" customHeight="1" x14ac:dyDescent="0.25">
      <c r="A1181" s="16">
        <v>11810</v>
      </c>
      <c r="B1181" s="17" t="s">
        <v>236</v>
      </c>
      <c r="C1181" s="17" t="s">
        <v>237</v>
      </c>
      <c r="D1181" s="17" t="s">
        <v>379</v>
      </c>
      <c r="E1181" s="17" t="s">
        <v>239</v>
      </c>
      <c r="F1181" s="17" t="s">
        <v>13</v>
      </c>
      <c r="G1181" s="17" t="s">
        <v>350</v>
      </c>
      <c r="H1181" s="18">
        <v>180</v>
      </c>
      <c r="I1181" s="18">
        <v>405.3</v>
      </c>
      <c r="J1181" s="7" t="str">
        <f>IFERROR(_xlfn.XLOOKUP(F1181,ccustos!A:A,ccustos!B:B),"Sem termo")</f>
        <v>SEPROT</v>
      </c>
    </row>
    <row r="1182" spans="1:10" ht="25.5" customHeight="1" x14ac:dyDescent="0.25">
      <c r="A1182" s="14">
        <v>11811</v>
      </c>
      <c r="B1182" s="7" t="s">
        <v>236</v>
      </c>
      <c r="C1182" s="7" t="s">
        <v>237</v>
      </c>
      <c r="D1182" s="7" t="s">
        <v>379</v>
      </c>
      <c r="E1182" s="7" t="s">
        <v>239</v>
      </c>
      <c r="F1182" s="7" t="s">
        <v>14</v>
      </c>
      <c r="G1182" s="7" t="s">
        <v>350</v>
      </c>
      <c r="H1182" s="15">
        <v>180</v>
      </c>
      <c r="I1182" s="15">
        <v>405.3</v>
      </c>
      <c r="J1182" s="7" t="str">
        <f>IFERROR(_xlfn.XLOOKUP(F1182,ccustos!A:A,ccustos!B:B),"Sem termo")</f>
        <v>SEPAT</v>
      </c>
    </row>
    <row r="1183" spans="1:10" ht="25.5" customHeight="1" x14ac:dyDescent="0.25">
      <c r="A1183" s="16">
        <v>11812</v>
      </c>
      <c r="B1183" s="17" t="s">
        <v>236</v>
      </c>
      <c r="C1183" s="17" t="s">
        <v>237</v>
      </c>
      <c r="D1183" s="17" t="s">
        <v>277</v>
      </c>
      <c r="E1183" s="17" t="s">
        <v>239</v>
      </c>
      <c r="F1183" s="17" t="s">
        <v>14</v>
      </c>
      <c r="G1183" s="17" t="s">
        <v>278</v>
      </c>
      <c r="H1183" s="18">
        <v>201.3</v>
      </c>
      <c r="I1183" s="18">
        <v>173.7</v>
      </c>
      <c r="J1183" s="7" t="str">
        <f>IFERROR(_xlfn.XLOOKUP(F1183,ccustos!A:A,ccustos!B:B),"Sem termo")</f>
        <v>SEPAT</v>
      </c>
    </row>
    <row r="1184" spans="1:10" ht="36.75" customHeight="1" x14ac:dyDescent="0.25">
      <c r="A1184" s="14">
        <v>11813</v>
      </c>
      <c r="B1184" s="7" t="s">
        <v>236</v>
      </c>
      <c r="C1184" s="7" t="s">
        <v>237</v>
      </c>
      <c r="D1184" s="7" t="s">
        <v>277</v>
      </c>
      <c r="E1184" s="7" t="s">
        <v>239</v>
      </c>
      <c r="F1184" s="7" t="s">
        <v>0</v>
      </c>
      <c r="G1184" s="7" t="s">
        <v>278</v>
      </c>
      <c r="H1184" s="15">
        <v>201.3</v>
      </c>
      <c r="I1184" s="15">
        <v>173.7</v>
      </c>
      <c r="J1184" s="7" t="str">
        <f>IFERROR(_xlfn.XLOOKUP(F1184,ccustos!A:A,ccustos!B:B),"Sem termo")</f>
        <v>SEPAT</v>
      </c>
    </row>
    <row r="1185" spans="1:10" ht="25.5" customHeight="1" x14ac:dyDescent="0.25">
      <c r="A1185" s="16">
        <v>11814</v>
      </c>
      <c r="B1185" s="17" t="s">
        <v>236</v>
      </c>
      <c r="C1185" s="17" t="s">
        <v>237</v>
      </c>
      <c r="D1185" s="17" t="s">
        <v>277</v>
      </c>
      <c r="E1185" s="17" t="s">
        <v>239</v>
      </c>
      <c r="F1185" s="17" t="s">
        <v>211</v>
      </c>
      <c r="G1185" s="17" t="s">
        <v>278</v>
      </c>
      <c r="H1185" s="18">
        <v>201.3</v>
      </c>
      <c r="I1185" s="18">
        <v>173.7</v>
      </c>
      <c r="J1185" s="7" t="str">
        <f>IFERROR(_xlfn.XLOOKUP(F1185,ccustos!A:A,ccustos!B:B),"Sem termo")</f>
        <v>DIGEO</v>
      </c>
    </row>
    <row r="1186" spans="1:10" ht="25.5" customHeight="1" x14ac:dyDescent="0.25">
      <c r="A1186" s="14">
        <v>11816</v>
      </c>
      <c r="B1186" s="7" t="s">
        <v>236</v>
      </c>
      <c r="C1186" s="7" t="s">
        <v>237</v>
      </c>
      <c r="D1186" s="7" t="s">
        <v>277</v>
      </c>
      <c r="E1186" s="7" t="s">
        <v>239</v>
      </c>
      <c r="F1186" s="7" t="s">
        <v>14</v>
      </c>
      <c r="G1186" s="7" t="s">
        <v>278</v>
      </c>
      <c r="H1186" s="15">
        <v>201.3</v>
      </c>
      <c r="I1186" s="15">
        <v>173.7</v>
      </c>
      <c r="J1186" s="7" t="str">
        <f>IFERROR(_xlfn.XLOOKUP(F1186,ccustos!A:A,ccustos!B:B),"Sem termo")</f>
        <v>SEPAT</v>
      </c>
    </row>
    <row r="1187" spans="1:10" ht="25.5" customHeight="1" x14ac:dyDescent="0.25">
      <c r="A1187" s="16">
        <v>11819</v>
      </c>
      <c r="B1187" s="17" t="s">
        <v>236</v>
      </c>
      <c r="C1187" s="17" t="s">
        <v>237</v>
      </c>
      <c r="D1187" s="17" t="s">
        <v>277</v>
      </c>
      <c r="E1187" s="17" t="s">
        <v>239</v>
      </c>
      <c r="F1187" s="17" t="s">
        <v>0</v>
      </c>
      <c r="G1187" s="17" t="s">
        <v>278</v>
      </c>
      <c r="H1187" s="18">
        <v>201.3</v>
      </c>
      <c r="I1187" s="18">
        <v>173.7</v>
      </c>
      <c r="J1187" s="7" t="str">
        <f>IFERROR(_xlfn.XLOOKUP(F1187,ccustos!A:A,ccustos!B:B),"Sem termo")</f>
        <v>SEPAT</v>
      </c>
    </row>
    <row r="1188" spans="1:10" ht="25.5" customHeight="1" x14ac:dyDescent="0.25">
      <c r="A1188" s="14">
        <v>11820</v>
      </c>
      <c r="B1188" s="7" t="s">
        <v>236</v>
      </c>
      <c r="C1188" s="7" t="s">
        <v>237</v>
      </c>
      <c r="D1188" s="7" t="s">
        <v>894</v>
      </c>
      <c r="E1188" s="7" t="s">
        <v>239</v>
      </c>
      <c r="F1188" s="7" t="s">
        <v>0</v>
      </c>
      <c r="G1188" s="7" t="s">
        <v>278</v>
      </c>
      <c r="H1188" s="15">
        <v>201.3</v>
      </c>
      <c r="I1188" s="15">
        <v>173.7</v>
      </c>
      <c r="J1188" s="7" t="str">
        <f>IFERROR(_xlfn.XLOOKUP(F1188,ccustos!A:A,ccustos!B:B),"Sem termo")</f>
        <v>SEPAT</v>
      </c>
    </row>
    <row r="1189" spans="1:10" ht="25.5" customHeight="1" x14ac:dyDescent="0.25">
      <c r="A1189" s="16">
        <v>11821</v>
      </c>
      <c r="B1189" s="17" t="s">
        <v>236</v>
      </c>
      <c r="C1189" s="17" t="s">
        <v>237</v>
      </c>
      <c r="D1189" s="17" t="s">
        <v>277</v>
      </c>
      <c r="E1189" s="17" t="s">
        <v>239</v>
      </c>
      <c r="F1189" s="17" t="s">
        <v>0</v>
      </c>
      <c r="G1189" s="17" t="s">
        <v>278</v>
      </c>
      <c r="H1189" s="18">
        <v>201.3</v>
      </c>
      <c r="I1189" s="18">
        <v>173.7</v>
      </c>
      <c r="J1189" s="7" t="str">
        <f>IFERROR(_xlfn.XLOOKUP(F1189,ccustos!A:A,ccustos!B:B),"Sem termo")</f>
        <v>SEPAT</v>
      </c>
    </row>
    <row r="1190" spans="1:10" ht="25.5" customHeight="1" x14ac:dyDescent="0.25">
      <c r="A1190" s="14">
        <v>11822</v>
      </c>
      <c r="B1190" s="7" t="s">
        <v>236</v>
      </c>
      <c r="C1190" s="7" t="s">
        <v>895</v>
      </c>
      <c r="D1190" s="7" t="s">
        <v>896</v>
      </c>
      <c r="E1190" s="7" t="s">
        <v>239</v>
      </c>
      <c r="F1190" s="7" t="s">
        <v>63</v>
      </c>
      <c r="G1190" s="7" t="s">
        <v>897</v>
      </c>
      <c r="H1190" s="15">
        <v>90</v>
      </c>
      <c r="I1190" s="15">
        <v>208.28</v>
      </c>
      <c r="J1190" s="7" t="str">
        <f>IFERROR(_xlfn.XLOOKUP(F1190,ccustos!A:A,ccustos!B:B),"Sem termo")</f>
        <v>SEPAT</v>
      </c>
    </row>
    <row r="1191" spans="1:10" ht="36.75" customHeight="1" x14ac:dyDescent="0.25">
      <c r="A1191" s="16">
        <v>11825</v>
      </c>
      <c r="B1191" s="17" t="s">
        <v>236</v>
      </c>
      <c r="C1191" s="17" t="s">
        <v>898</v>
      </c>
      <c r="D1191" s="17" t="s">
        <v>899</v>
      </c>
      <c r="E1191" s="17" t="s">
        <v>250</v>
      </c>
      <c r="F1191" s="17" t="s">
        <v>63</v>
      </c>
      <c r="G1191" s="17" t="s">
        <v>900</v>
      </c>
      <c r="H1191" s="18">
        <v>57000</v>
      </c>
      <c r="I1191" s="18">
        <v>34.06</v>
      </c>
      <c r="J1191" s="7" t="str">
        <f>IFERROR(_xlfn.XLOOKUP(F1191,ccustos!A:A,ccustos!B:B),"Sem termo")</f>
        <v>SEPAT</v>
      </c>
    </row>
    <row r="1192" spans="1:10" ht="36.75" customHeight="1" x14ac:dyDescent="0.25">
      <c r="A1192" s="14">
        <v>11826</v>
      </c>
      <c r="B1192" s="7" t="s">
        <v>236</v>
      </c>
      <c r="C1192" s="7" t="s">
        <v>248</v>
      </c>
      <c r="D1192" s="7" t="s">
        <v>901</v>
      </c>
      <c r="E1192" s="7" t="s">
        <v>250</v>
      </c>
      <c r="F1192" s="7" t="s">
        <v>63</v>
      </c>
      <c r="G1192" s="7" t="s">
        <v>262</v>
      </c>
      <c r="H1192" s="15">
        <v>476</v>
      </c>
      <c r="I1192" s="15">
        <v>336.07</v>
      </c>
      <c r="J1192" s="7" t="str">
        <f>IFERROR(_xlfn.XLOOKUP(F1192,ccustos!A:A,ccustos!B:B),"Sem termo")</f>
        <v>SEPAT</v>
      </c>
    </row>
    <row r="1193" spans="1:10" ht="36.75" customHeight="1" x14ac:dyDescent="0.25">
      <c r="A1193" s="16">
        <v>11827</v>
      </c>
      <c r="B1193" s="17" t="s">
        <v>236</v>
      </c>
      <c r="C1193" s="17" t="s">
        <v>248</v>
      </c>
      <c r="D1193" s="17" t="s">
        <v>902</v>
      </c>
      <c r="E1193" s="17" t="s">
        <v>250</v>
      </c>
      <c r="F1193" s="17" t="s">
        <v>63</v>
      </c>
      <c r="G1193" s="17" t="s">
        <v>251</v>
      </c>
      <c r="H1193" s="18">
        <v>1600</v>
      </c>
      <c r="I1193" s="18">
        <v>640.28</v>
      </c>
      <c r="J1193" s="7" t="str">
        <f>IFERROR(_xlfn.XLOOKUP(F1193,ccustos!A:A,ccustos!B:B),"Sem termo")</f>
        <v>SEPAT</v>
      </c>
    </row>
    <row r="1194" spans="1:10" ht="36.75" customHeight="1" x14ac:dyDescent="0.25">
      <c r="A1194" s="14">
        <v>11829</v>
      </c>
      <c r="B1194" s="7" t="s">
        <v>236</v>
      </c>
      <c r="C1194" s="7" t="s">
        <v>241</v>
      </c>
      <c r="D1194" s="7" t="s">
        <v>903</v>
      </c>
      <c r="E1194" s="7" t="s">
        <v>239</v>
      </c>
      <c r="F1194" s="7" t="s">
        <v>63</v>
      </c>
      <c r="G1194" s="7" t="s">
        <v>904</v>
      </c>
      <c r="H1194" s="15">
        <v>14500</v>
      </c>
      <c r="I1194" s="15">
        <v>141.34</v>
      </c>
      <c r="J1194" s="7" t="str">
        <f>IFERROR(_xlfn.XLOOKUP(F1194,ccustos!A:A,ccustos!B:B),"Sem termo")</f>
        <v>SEPAT</v>
      </c>
    </row>
    <row r="1195" spans="1:10" ht="36.75" customHeight="1" x14ac:dyDescent="0.25">
      <c r="A1195" s="16">
        <v>11830</v>
      </c>
      <c r="B1195" s="17" t="s">
        <v>236</v>
      </c>
      <c r="C1195" s="17" t="s">
        <v>241</v>
      </c>
      <c r="D1195" s="17" t="s">
        <v>905</v>
      </c>
      <c r="E1195" s="17" t="s">
        <v>239</v>
      </c>
      <c r="F1195" s="17" t="s">
        <v>62</v>
      </c>
      <c r="G1195" s="17" t="s">
        <v>384</v>
      </c>
      <c r="H1195" s="18">
        <v>330</v>
      </c>
      <c r="I1195" s="18">
        <v>163.18</v>
      </c>
      <c r="J1195" s="7" t="str">
        <f>IFERROR(_xlfn.XLOOKUP(F1195,ccustos!A:A,ccustos!B:B),"Sem termo")</f>
        <v>SETRAN</v>
      </c>
    </row>
    <row r="1196" spans="1:10" ht="36.75" customHeight="1" x14ac:dyDescent="0.25">
      <c r="A1196" s="14">
        <v>11831</v>
      </c>
      <c r="B1196" s="7" t="s">
        <v>236</v>
      </c>
      <c r="C1196" s="7" t="s">
        <v>241</v>
      </c>
      <c r="D1196" s="7" t="s">
        <v>906</v>
      </c>
      <c r="E1196" s="7" t="s">
        <v>239</v>
      </c>
      <c r="F1196" s="7" t="s">
        <v>0</v>
      </c>
      <c r="G1196" s="7" t="s">
        <v>907</v>
      </c>
      <c r="H1196" s="15">
        <v>0.01</v>
      </c>
      <c r="I1196" s="15">
        <v>141.34</v>
      </c>
      <c r="J1196" s="7" t="str">
        <f>IFERROR(_xlfn.XLOOKUP(F1196,ccustos!A:A,ccustos!B:B),"Sem termo")</f>
        <v>SEPAT</v>
      </c>
    </row>
    <row r="1197" spans="1:10" ht="36.75" customHeight="1" x14ac:dyDescent="0.25">
      <c r="A1197" s="16">
        <v>11832</v>
      </c>
      <c r="B1197" s="17" t="s">
        <v>236</v>
      </c>
      <c r="C1197" s="17" t="s">
        <v>908</v>
      </c>
      <c r="D1197" s="17" t="s">
        <v>909</v>
      </c>
      <c r="E1197" s="17" t="s">
        <v>239</v>
      </c>
      <c r="F1197" s="17" t="s">
        <v>32</v>
      </c>
      <c r="G1197" s="17" t="s">
        <v>910</v>
      </c>
      <c r="H1197" s="18">
        <v>46</v>
      </c>
      <c r="I1197" s="18">
        <v>0</v>
      </c>
      <c r="J1197" s="7" t="str">
        <f>IFERROR(_xlfn.XLOOKUP(F1197,ccustos!A:A,ccustos!B:B),"Sem termo")</f>
        <v>DECONT</v>
      </c>
    </row>
    <row r="1198" spans="1:10" ht="36.75" customHeight="1" x14ac:dyDescent="0.25">
      <c r="A1198" s="14">
        <v>11834</v>
      </c>
      <c r="B1198" s="7" t="s">
        <v>236</v>
      </c>
      <c r="C1198" s="7" t="s">
        <v>399</v>
      </c>
      <c r="D1198" s="7" t="s">
        <v>911</v>
      </c>
      <c r="E1198" s="7" t="s">
        <v>239</v>
      </c>
      <c r="F1198" s="7" t="s">
        <v>6</v>
      </c>
      <c r="G1198" s="7" t="s">
        <v>244</v>
      </c>
      <c r="H1198" s="15">
        <v>0.01</v>
      </c>
      <c r="I1198" s="15">
        <v>93.09</v>
      </c>
      <c r="J1198" s="7" t="str">
        <f>IFERROR(_xlfn.XLOOKUP(F1198,ccustos!A:A,ccustos!B:B),"Sem termo")</f>
        <v>SEPAT</v>
      </c>
    </row>
    <row r="1199" spans="1:10" ht="36.75" customHeight="1" x14ac:dyDescent="0.25">
      <c r="A1199" s="16">
        <v>11835</v>
      </c>
      <c r="B1199" s="17" t="s">
        <v>236</v>
      </c>
      <c r="C1199" s="17" t="s">
        <v>399</v>
      </c>
      <c r="D1199" s="17" t="s">
        <v>912</v>
      </c>
      <c r="E1199" s="17" t="s">
        <v>239</v>
      </c>
      <c r="F1199" s="17" t="s">
        <v>6</v>
      </c>
      <c r="G1199" s="17" t="s">
        <v>913</v>
      </c>
      <c r="H1199" s="18">
        <v>7290</v>
      </c>
      <c r="I1199" s="18">
        <v>62.46</v>
      </c>
      <c r="J1199" s="7" t="str">
        <f>IFERROR(_xlfn.XLOOKUP(F1199,ccustos!A:A,ccustos!B:B),"Sem termo")</f>
        <v>SEPAT</v>
      </c>
    </row>
    <row r="1200" spans="1:10" ht="36.75" customHeight="1" x14ac:dyDescent="0.25">
      <c r="A1200" s="14">
        <v>11837</v>
      </c>
      <c r="B1200" s="7" t="s">
        <v>236</v>
      </c>
      <c r="C1200" s="7" t="s">
        <v>399</v>
      </c>
      <c r="D1200" s="7" t="s">
        <v>912</v>
      </c>
      <c r="E1200" s="7" t="s">
        <v>239</v>
      </c>
      <c r="F1200" s="7" t="s">
        <v>6</v>
      </c>
      <c r="G1200" s="7" t="s">
        <v>913</v>
      </c>
      <c r="H1200" s="15">
        <v>7290</v>
      </c>
      <c r="I1200" s="15">
        <v>23.02</v>
      </c>
      <c r="J1200" s="7" t="str">
        <f>IFERROR(_xlfn.XLOOKUP(F1200,ccustos!A:A,ccustos!B:B),"Sem termo")</f>
        <v>SEPAT</v>
      </c>
    </row>
    <row r="1201" spans="1:10" ht="36.75" customHeight="1" x14ac:dyDescent="0.25">
      <c r="A1201" s="16">
        <v>11839</v>
      </c>
      <c r="B1201" s="17" t="s">
        <v>236</v>
      </c>
      <c r="C1201" s="17" t="s">
        <v>399</v>
      </c>
      <c r="D1201" s="17" t="s">
        <v>824</v>
      </c>
      <c r="E1201" s="17" t="s">
        <v>239</v>
      </c>
      <c r="F1201" s="17" t="s">
        <v>6</v>
      </c>
      <c r="G1201" s="17" t="s">
        <v>913</v>
      </c>
      <c r="H1201" s="18">
        <v>7290</v>
      </c>
      <c r="I1201" s="18">
        <v>62.46</v>
      </c>
      <c r="J1201" s="7" t="str">
        <f>IFERROR(_xlfn.XLOOKUP(F1201,ccustos!A:A,ccustos!B:B),"Sem termo")</f>
        <v>SEPAT</v>
      </c>
    </row>
    <row r="1202" spans="1:10" ht="36.75" customHeight="1" x14ac:dyDescent="0.25">
      <c r="A1202" s="14">
        <v>11840</v>
      </c>
      <c r="B1202" s="7" t="s">
        <v>236</v>
      </c>
      <c r="C1202" s="7" t="s">
        <v>399</v>
      </c>
      <c r="D1202" s="7" t="s">
        <v>824</v>
      </c>
      <c r="E1202" s="7" t="s">
        <v>239</v>
      </c>
      <c r="F1202" s="7" t="s">
        <v>6</v>
      </c>
      <c r="G1202" s="7" t="s">
        <v>913</v>
      </c>
      <c r="H1202" s="15">
        <v>7290</v>
      </c>
      <c r="I1202" s="15">
        <v>62.46</v>
      </c>
      <c r="J1202" s="7" t="str">
        <f>IFERROR(_xlfn.XLOOKUP(F1202,ccustos!A:A,ccustos!B:B),"Sem termo")</f>
        <v>SEPAT</v>
      </c>
    </row>
    <row r="1203" spans="1:10" ht="36.75" customHeight="1" x14ac:dyDescent="0.25">
      <c r="A1203" s="16">
        <v>11841</v>
      </c>
      <c r="B1203" s="17" t="s">
        <v>236</v>
      </c>
      <c r="C1203" s="17" t="s">
        <v>399</v>
      </c>
      <c r="D1203" s="17" t="s">
        <v>841</v>
      </c>
      <c r="E1203" s="17" t="s">
        <v>239</v>
      </c>
      <c r="F1203" s="17" t="s">
        <v>56</v>
      </c>
      <c r="G1203" s="17" t="s">
        <v>843</v>
      </c>
      <c r="H1203" s="18">
        <v>45</v>
      </c>
      <c r="I1203" s="18">
        <v>93.09</v>
      </c>
      <c r="J1203" s="7" t="str">
        <f>IFERROR(_xlfn.XLOOKUP(F1203,ccustos!A:A,ccustos!B:B),"Sem termo")</f>
        <v>SEPROT</v>
      </c>
    </row>
    <row r="1204" spans="1:10" ht="36.75" customHeight="1" x14ac:dyDescent="0.25">
      <c r="A1204" s="14">
        <v>11842</v>
      </c>
      <c r="B1204" s="7" t="s">
        <v>236</v>
      </c>
      <c r="C1204" s="7" t="s">
        <v>399</v>
      </c>
      <c r="D1204" s="7" t="s">
        <v>914</v>
      </c>
      <c r="E1204" s="7" t="s">
        <v>239</v>
      </c>
      <c r="F1204" s="7" t="s">
        <v>8</v>
      </c>
      <c r="G1204" s="7" t="s">
        <v>243</v>
      </c>
      <c r="H1204" s="15">
        <v>0.1</v>
      </c>
      <c r="I1204" s="15">
        <v>465.41</v>
      </c>
      <c r="J1204" s="7" t="str">
        <f>IFERROR(_xlfn.XLOOKUP(F1204,ccustos!A:A,ccustos!B:B),"Sem termo")</f>
        <v>DEINFRA</v>
      </c>
    </row>
    <row r="1205" spans="1:10" ht="25.5" customHeight="1" x14ac:dyDescent="0.25">
      <c r="A1205" s="16">
        <v>11843</v>
      </c>
      <c r="B1205" s="17" t="s">
        <v>236</v>
      </c>
      <c r="C1205" s="17" t="s">
        <v>399</v>
      </c>
      <c r="D1205" s="17" t="s">
        <v>841</v>
      </c>
      <c r="E1205" s="17" t="s">
        <v>239</v>
      </c>
      <c r="F1205" s="17" t="s">
        <v>8</v>
      </c>
      <c r="G1205" s="17" t="s">
        <v>842</v>
      </c>
      <c r="H1205" s="18">
        <v>45</v>
      </c>
      <c r="I1205" s="18">
        <v>93.09</v>
      </c>
      <c r="J1205" s="7" t="str">
        <f>IFERROR(_xlfn.XLOOKUP(F1205,ccustos!A:A,ccustos!B:B),"Sem termo")</f>
        <v>DEINFRA</v>
      </c>
    </row>
    <row r="1206" spans="1:10" ht="25.5" customHeight="1" x14ac:dyDescent="0.25">
      <c r="A1206" s="14">
        <v>11845</v>
      </c>
      <c r="B1206" s="7" t="s">
        <v>236</v>
      </c>
      <c r="C1206" s="7" t="s">
        <v>399</v>
      </c>
      <c r="D1206" s="7" t="s">
        <v>841</v>
      </c>
      <c r="E1206" s="7" t="s">
        <v>239</v>
      </c>
      <c r="F1206" s="7" t="s">
        <v>56</v>
      </c>
      <c r="G1206" s="7" t="s">
        <v>842</v>
      </c>
      <c r="H1206" s="15">
        <v>45</v>
      </c>
      <c r="I1206" s="15">
        <v>93.09</v>
      </c>
      <c r="J1206" s="7" t="str">
        <f>IFERROR(_xlfn.XLOOKUP(F1206,ccustos!A:A,ccustos!B:B),"Sem termo")</f>
        <v>SEPROT</v>
      </c>
    </row>
    <row r="1207" spans="1:10" ht="36.75" customHeight="1" x14ac:dyDescent="0.25">
      <c r="A1207" s="16">
        <v>11846</v>
      </c>
      <c r="B1207" s="17" t="s">
        <v>236</v>
      </c>
      <c r="C1207" s="17" t="s">
        <v>399</v>
      </c>
      <c r="D1207" s="17" t="s">
        <v>841</v>
      </c>
      <c r="E1207" s="17" t="s">
        <v>239</v>
      </c>
      <c r="F1207" s="17" t="s">
        <v>56</v>
      </c>
      <c r="G1207" s="17" t="s">
        <v>842</v>
      </c>
      <c r="H1207" s="18">
        <v>45</v>
      </c>
      <c r="I1207" s="18">
        <v>93.09</v>
      </c>
      <c r="J1207" s="7" t="str">
        <f>IFERROR(_xlfn.XLOOKUP(F1207,ccustos!A:A,ccustos!B:B),"Sem termo")</f>
        <v>SEPROT</v>
      </c>
    </row>
    <row r="1208" spans="1:10" ht="36.75" customHeight="1" x14ac:dyDescent="0.25">
      <c r="A1208" s="14">
        <v>11847</v>
      </c>
      <c r="B1208" s="7" t="s">
        <v>236</v>
      </c>
      <c r="C1208" s="7" t="s">
        <v>399</v>
      </c>
      <c r="D1208" s="7" t="s">
        <v>841</v>
      </c>
      <c r="E1208" s="7" t="s">
        <v>239</v>
      </c>
      <c r="F1208" s="7" t="s">
        <v>0</v>
      </c>
      <c r="G1208" s="7" t="s">
        <v>843</v>
      </c>
      <c r="H1208" s="15">
        <v>45</v>
      </c>
      <c r="I1208" s="15">
        <v>23.02</v>
      </c>
      <c r="J1208" s="7" t="str">
        <f>IFERROR(_xlfn.XLOOKUP(F1208,ccustos!A:A,ccustos!B:B),"Sem termo")</f>
        <v>SEPAT</v>
      </c>
    </row>
    <row r="1209" spans="1:10" ht="36.75" customHeight="1" x14ac:dyDescent="0.25">
      <c r="A1209" s="16">
        <v>11848</v>
      </c>
      <c r="B1209" s="17" t="s">
        <v>236</v>
      </c>
      <c r="C1209" s="17" t="s">
        <v>399</v>
      </c>
      <c r="D1209" s="17" t="s">
        <v>841</v>
      </c>
      <c r="E1209" s="17" t="s">
        <v>239</v>
      </c>
      <c r="F1209" s="17" t="s">
        <v>56</v>
      </c>
      <c r="G1209" s="17" t="s">
        <v>842</v>
      </c>
      <c r="H1209" s="18">
        <v>45</v>
      </c>
      <c r="I1209" s="18">
        <v>93.09</v>
      </c>
      <c r="J1209" s="7" t="str">
        <f>IFERROR(_xlfn.XLOOKUP(F1209,ccustos!A:A,ccustos!B:B),"Sem termo")</f>
        <v>SEPROT</v>
      </c>
    </row>
    <row r="1210" spans="1:10" ht="36.75" customHeight="1" x14ac:dyDescent="0.25">
      <c r="A1210" s="14">
        <v>11849</v>
      </c>
      <c r="B1210" s="7" t="s">
        <v>236</v>
      </c>
      <c r="C1210" s="7" t="s">
        <v>399</v>
      </c>
      <c r="D1210" s="7" t="s">
        <v>915</v>
      </c>
      <c r="E1210" s="7" t="s">
        <v>239</v>
      </c>
      <c r="F1210" s="7" t="s">
        <v>56</v>
      </c>
      <c r="G1210" s="7" t="s">
        <v>916</v>
      </c>
      <c r="H1210" s="15">
        <v>137</v>
      </c>
      <c r="I1210" s="15">
        <v>93.09</v>
      </c>
      <c r="J1210" s="7" t="str">
        <f>IFERROR(_xlfn.XLOOKUP(F1210,ccustos!A:A,ccustos!B:B),"Sem termo")</f>
        <v>SEPROT</v>
      </c>
    </row>
    <row r="1211" spans="1:10" ht="25.5" customHeight="1" x14ac:dyDescent="0.25">
      <c r="A1211" s="16">
        <v>11850</v>
      </c>
      <c r="B1211" s="17" t="s">
        <v>236</v>
      </c>
      <c r="C1211" s="17" t="s">
        <v>399</v>
      </c>
      <c r="D1211" s="17" t="s">
        <v>915</v>
      </c>
      <c r="E1211" s="17" t="s">
        <v>239</v>
      </c>
      <c r="F1211" s="17" t="s">
        <v>56</v>
      </c>
      <c r="G1211" s="17" t="s">
        <v>916</v>
      </c>
      <c r="H1211" s="18">
        <v>137</v>
      </c>
      <c r="I1211" s="18">
        <v>93.09</v>
      </c>
      <c r="J1211" s="7" t="str">
        <f>IFERROR(_xlfn.XLOOKUP(F1211,ccustos!A:A,ccustos!B:B),"Sem termo")</f>
        <v>SEPROT</v>
      </c>
    </row>
    <row r="1212" spans="1:10" ht="25.5" customHeight="1" x14ac:dyDescent="0.25">
      <c r="A1212" s="14">
        <v>11851</v>
      </c>
      <c r="B1212" s="7" t="s">
        <v>236</v>
      </c>
      <c r="C1212" s="7" t="s">
        <v>399</v>
      </c>
      <c r="D1212" s="7" t="s">
        <v>915</v>
      </c>
      <c r="E1212" s="7" t="s">
        <v>239</v>
      </c>
      <c r="F1212" s="7" t="s">
        <v>56</v>
      </c>
      <c r="G1212" s="7" t="s">
        <v>916</v>
      </c>
      <c r="H1212" s="15">
        <v>137</v>
      </c>
      <c r="I1212" s="15">
        <v>93.09</v>
      </c>
      <c r="J1212" s="7" t="str">
        <f>IFERROR(_xlfn.XLOOKUP(F1212,ccustos!A:A,ccustos!B:B),"Sem termo")</f>
        <v>SEPROT</v>
      </c>
    </row>
    <row r="1213" spans="1:10" ht="25.5" customHeight="1" x14ac:dyDescent="0.25">
      <c r="A1213" s="16">
        <v>11852</v>
      </c>
      <c r="B1213" s="17" t="s">
        <v>236</v>
      </c>
      <c r="C1213" s="17" t="s">
        <v>399</v>
      </c>
      <c r="D1213" s="17" t="s">
        <v>915</v>
      </c>
      <c r="E1213" s="17" t="s">
        <v>239</v>
      </c>
      <c r="F1213" s="17" t="s">
        <v>56</v>
      </c>
      <c r="G1213" s="17" t="s">
        <v>916</v>
      </c>
      <c r="H1213" s="18">
        <v>137</v>
      </c>
      <c r="I1213" s="18">
        <v>93.09</v>
      </c>
      <c r="J1213" s="7" t="str">
        <f>IFERROR(_xlfn.XLOOKUP(F1213,ccustos!A:A,ccustos!B:B),"Sem termo")</f>
        <v>SEPROT</v>
      </c>
    </row>
    <row r="1214" spans="1:10" ht="36.75" customHeight="1" x14ac:dyDescent="0.25">
      <c r="A1214" s="14">
        <v>11853</v>
      </c>
      <c r="B1214" s="7" t="s">
        <v>236</v>
      </c>
      <c r="C1214" s="7" t="s">
        <v>399</v>
      </c>
      <c r="D1214" s="7" t="s">
        <v>912</v>
      </c>
      <c r="E1214" s="7" t="s">
        <v>239</v>
      </c>
      <c r="F1214" s="7" t="s">
        <v>6</v>
      </c>
      <c r="G1214" s="7" t="s">
        <v>913</v>
      </c>
      <c r="H1214" s="15">
        <v>7290</v>
      </c>
      <c r="I1214" s="15">
        <v>62.46</v>
      </c>
      <c r="J1214" s="7" t="str">
        <f>IFERROR(_xlfn.XLOOKUP(F1214,ccustos!A:A,ccustos!B:B),"Sem termo")</f>
        <v>SEPAT</v>
      </c>
    </row>
    <row r="1215" spans="1:10" ht="25.5" customHeight="1" x14ac:dyDescent="0.25">
      <c r="A1215" s="16">
        <v>11856</v>
      </c>
      <c r="B1215" s="17" t="s">
        <v>236</v>
      </c>
      <c r="C1215" s="17" t="s">
        <v>399</v>
      </c>
      <c r="D1215" s="17" t="s">
        <v>824</v>
      </c>
      <c r="E1215" s="17" t="s">
        <v>239</v>
      </c>
      <c r="F1215" s="17" t="s">
        <v>6</v>
      </c>
      <c r="G1215" s="17" t="s">
        <v>913</v>
      </c>
      <c r="H1215" s="18">
        <v>7290</v>
      </c>
      <c r="I1215" s="18">
        <v>53.99</v>
      </c>
      <c r="J1215" s="7" t="str">
        <f>IFERROR(_xlfn.XLOOKUP(F1215,ccustos!A:A,ccustos!B:B),"Sem termo")</f>
        <v>SEPAT</v>
      </c>
    </row>
    <row r="1216" spans="1:10" ht="25.5" customHeight="1" x14ac:dyDescent="0.25">
      <c r="A1216" s="14">
        <v>11858</v>
      </c>
      <c r="B1216" s="7" t="s">
        <v>236</v>
      </c>
      <c r="C1216" s="7" t="s">
        <v>399</v>
      </c>
      <c r="D1216" s="7" t="s">
        <v>912</v>
      </c>
      <c r="E1216" s="7" t="s">
        <v>239</v>
      </c>
      <c r="F1216" s="7" t="s">
        <v>6</v>
      </c>
      <c r="G1216" s="7" t="s">
        <v>913</v>
      </c>
      <c r="H1216" s="15">
        <v>7290</v>
      </c>
      <c r="I1216" s="15">
        <v>23.02</v>
      </c>
      <c r="J1216" s="7" t="str">
        <f>IFERROR(_xlfn.XLOOKUP(F1216,ccustos!A:A,ccustos!B:B),"Sem termo")</f>
        <v>SEPAT</v>
      </c>
    </row>
    <row r="1217" spans="1:10" ht="25.5" customHeight="1" x14ac:dyDescent="0.25">
      <c r="A1217" s="16">
        <v>11859</v>
      </c>
      <c r="B1217" s="17" t="s">
        <v>236</v>
      </c>
      <c r="C1217" s="17" t="s">
        <v>917</v>
      </c>
      <c r="D1217" s="17" t="s">
        <v>918</v>
      </c>
      <c r="E1217" s="17" t="s">
        <v>250</v>
      </c>
      <c r="F1217" s="17" t="s">
        <v>13</v>
      </c>
      <c r="G1217" s="17" t="s">
        <v>919</v>
      </c>
      <c r="H1217" s="18">
        <v>300</v>
      </c>
      <c r="I1217" s="18">
        <v>430.63</v>
      </c>
      <c r="J1217" s="7" t="str">
        <f>IFERROR(_xlfn.XLOOKUP(F1217,ccustos!A:A,ccustos!B:B),"Sem termo")</f>
        <v>SEPROT</v>
      </c>
    </row>
    <row r="1218" spans="1:10" ht="25.5" customHeight="1" x14ac:dyDescent="0.25">
      <c r="A1218" s="14">
        <v>11860</v>
      </c>
      <c r="B1218" s="7" t="s">
        <v>236</v>
      </c>
      <c r="C1218" s="7" t="s">
        <v>237</v>
      </c>
      <c r="D1218" s="7" t="s">
        <v>920</v>
      </c>
      <c r="E1218" s="7" t="s">
        <v>239</v>
      </c>
      <c r="F1218" s="7" t="s">
        <v>56</v>
      </c>
      <c r="G1218" s="7" t="s">
        <v>904</v>
      </c>
      <c r="H1218" s="15">
        <v>9750</v>
      </c>
      <c r="I1218" s="15">
        <v>149.01</v>
      </c>
      <c r="J1218" s="7" t="str">
        <f>IFERROR(_xlfn.XLOOKUP(F1218,ccustos!A:A,ccustos!B:B),"Sem termo")</f>
        <v>SEPROT</v>
      </c>
    </row>
    <row r="1219" spans="1:10" ht="36.75" customHeight="1" x14ac:dyDescent="0.25">
      <c r="A1219" s="16">
        <v>11862</v>
      </c>
      <c r="B1219" s="17" t="s">
        <v>236</v>
      </c>
      <c r="C1219" s="17" t="s">
        <v>399</v>
      </c>
      <c r="D1219" s="17" t="s">
        <v>915</v>
      </c>
      <c r="E1219" s="17" t="s">
        <v>239</v>
      </c>
      <c r="F1219" s="17" t="s">
        <v>56</v>
      </c>
      <c r="G1219" s="17" t="s">
        <v>916</v>
      </c>
      <c r="H1219" s="18">
        <v>137</v>
      </c>
      <c r="I1219" s="18">
        <v>93.09</v>
      </c>
      <c r="J1219" s="7" t="str">
        <f>IFERROR(_xlfn.XLOOKUP(F1219,ccustos!A:A,ccustos!B:B),"Sem termo")</f>
        <v>SEPROT</v>
      </c>
    </row>
    <row r="1220" spans="1:10" ht="36.75" customHeight="1" x14ac:dyDescent="0.25">
      <c r="A1220" s="14">
        <v>11863</v>
      </c>
      <c r="B1220" s="7" t="s">
        <v>236</v>
      </c>
      <c r="C1220" s="7" t="s">
        <v>399</v>
      </c>
      <c r="D1220" s="7" t="s">
        <v>914</v>
      </c>
      <c r="E1220" s="7" t="s">
        <v>239</v>
      </c>
      <c r="F1220" s="7" t="s">
        <v>56</v>
      </c>
      <c r="G1220" s="7" t="s">
        <v>243</v>
      </c>
      <c r="H1220" s="15">
        <v>0.1</v>
      </c>
      <c r="I1220" s="15">
        <v>465.41</v>
      </c>
      <c r="J1220" s="7" t="str">
        <f>IFERROR(_xlfn.XLOOKUP(F1220,ccustos!A:A,ccustos!B:B),"Sem termo")</f>
        <v>SEPROT</v>
      </c>
    </row>
    <row r="1221" spans="1:10" ht="36.75" customHeight="1" x14ac:dyDescent="0.25">
      <c r="A1221" s="16">
        <v>11864</v>
      </c>
      <c r="B1221" s="17" t="s">
        <v>236</v>
      </c>
      <c r="C1221" s="17" t="s">
        <v>399</v>
      </c>
      <c r="D1221" s="17" t="s">
        <v>915</v>
      </c>
      <c r="E1221" s="17" t="s">
        <v>239</v>
      </c>
      <c r="F1221" s="17" t="s">
        <v>56</v>
      </c>
      <c r="G1221" s="17" t="s">
        <v>916</v>
      </c>
      <c r="H1221" s="18">
        <v>137</v>
      </c>
      <c r="I1221" s="18">
        <v>93.09</v>
      </c>
      <c r="J1221" s="7" t="str">
        <f>IFERROR(_xlfn.XLOOKUP(F1221,ccustos!A:A,ccustos!B:B),"Sem termo")</f>
        <v>SEPROT</v>
      </c>
    </row>
    <row r="1222" spans="1:10" ht="36.75" customHeight="1" x14ac:dyDescent="0.25">
      <c r="A1222" s="14">
        <v>11865</v>
      </c>
      <c r="B1222" s="7" t="s">
        <v>236</v>
      </c>
      <c r="C1222" s="7" t="s">
        <v>399</v>
      </c>
      <c r="D1222" s="7" t="s">
        <v>921</v>
      </c>
      <c r="E1222" s="7" t="s">
        <v>239</v>
      </c>
      <c r="F1222" s="7" t="s">
        <v>56</v>
      </c>
      <c r="G1222" s="7" t="s">
        <v>393</v>
      </c>
      <c r="H1222" s="15">
        <v>1</v>
      </c>
      <c r="I1222" s="15">
        <v>45.52</v>
      </c>
      <c r="J1222" s="7" t="str">
        <f>IFERROR(_xlfn.XLOOKUP(F1222,ccustos!A:A,ccustos!B:B),"Sem termo")</f>
        <v>SEPROT</v>
      </c>
    </row>
    <row r="1223" spans="1:10" ht="36.75" customHeight="1" x14ac:dyDescent="0.25">
      <c r="A1223" s="16">
        <v>11866</v>
      </c>
      <c r="B1223" s="17" t="s">
        <v>236</v>
      </c>
      <c r="C1223" s="17" t="s">
        <v>399</v>
      </c>
      <c r="D1223" s="17" t="s">
        <v>921</v>
      </c>
      <c r="E1223" s="17" t="s">
        <v>239</v>
      </c>
      <c r="F1223" s="17" t="s">
        <v>56</v>
      </c>
      <c r="G1223" s="17" t="s">
        <v>393</v>
      </c>
      <c r="H1223" s="18">
        <v>1</v>
      </c>
      <c r="I1223" s="18">
        <v>45.52</v>
      </c>
      <c r="J1223" s="7" t="str">
        <f>IFERROR(_xlfn.XLOOKUP(F1223,ccustos!A:A,ccustos!B:B),"Sem termo")</f>
        <v>SEPROT</v>
      </c>
    </row>
    <row r="1224" spans="1:10" ht="36.75" customHeight="1" x14ac:dyDescent="0.25">
      <c r="A1224" s="14">
        <v>11867</v>
      </c>
      <c r="B1224" s="7" t="s">
        <v>236</v>
      </c>
      <c r="C1224" s="7" t="s">
        <v>399</v>
      </c>
      <c r="D1224" s="7" t="s">
        <v>922</v>
      </c>
      <c r="E1224" s="7" t="s">
        <v>239</v>
      </c>
      <c r="F1224" s="7" t="s">
        <v>56</v>
      </c>
      <c r="G1224" s="7" t="s">
        <v>393</v>
      </c>
      <c r="H1224" s="15">
        <v>1</v>
      </c>
      <c r="I1224" s="15">
        <v>45.52</v>
      </c>
      <c r="J1224" s="7" t="str">
        <f>IFERROR(_xlfn.XLOOKUP(F1224,ccustos!A:A,ccustos!B:B),"Sem termo")</f>
        <v>SEPROT</v>
      </c>
    </row>
    <row r="1225" spans="1:10" ht="25.5" customHeight="1" x14ac:dyDescent="0.25">
      <c r="A1225" s="16">
        <v>11868</v>
      </c>
      <c r="B1225" s="17" t="s">
        <v>236</v>
      </c>
      <c r="C1225" s="17" t="s">
        <v>399</v>
      </c>
      <c r="D1225" s="17" t="s">
        <v>921</v>
      </c>
      <c r="E1225" s="17" t="s">
        <v>239</v>
      </c>
      <c r="F1225" s="17" t="s">
        <v>56</v>
      </c>
      <c r="G1225" s="17" t="s">
        <v>393</v>
      </c>
      <c r="H1225" s="18">
        <v>1</v>
      </c>
      <c r="I1225" s="18">
        <v>45.52</v>
      </c>
      <c r="J1225" s="7" t="str">
        <f>IFERROR(_xlfn.XLOOKUP(F1225,ccustos!A:A,ccustos!B:B),"Sem termo")</f>
        <v>SEPROT</v>
      </c>
    </row>
    <row r="1226" spans="1:10" ht="36.75" customHeight="1" x14ac:dyDescent="0.25">
      <c r="A1226" s="14">
        <v>11869</v>
      </c>
      <c r="B1226" s="7" t="s">
        <v>236</v>
      </c>
      <c r="C1226" s="7" t="s">
        <v>399</v>
      </c>
      <c r="D1226" s="7" t="s">
        <v>921</v>
      </c>
      <c r="E1226" s="7" t="s">
        <v>239</v>
      </c>
      <c r="F1226" s="7" t="s">
        <v>56</v>
      </c>
      <c r="G1226" s="7" t="s">
        <v>393</v>
      </c>
      <c r="H1226" s="15">
        <v>1</v>
      </c>
      <c r="I1226" s="15">
        <v>45.52</v>
      </c>
      <c r="J1226" s="7" t="str">
        <f>IFERROR(_xlfn.XLOOKUP(F1226,ccustos!A:A,ccustos!B:B),"Sem termo")</f>
        <v>SEPROT</v>
      </c>
    </row>
    <row r="1227" spans="1:10" ht="36.75" customHeight="1" x14ac:dyDescent="0.25">
      <c r="A1227" s="16">
        <v>11870</v>
      </c>
      <c r="B1227" s="17" t="s">
        <v>236</v>
      </c>
      <c r="C1227" s="17" t="s">
        <v>237</v>
      </c>
      <c r="D1227" s="17" t="s">
        <v>923</v>
      </c>
      <c r="E1227" s="17" t="s">
        <v>239</v>
      </c>
      <c r="F1227" s="17" t="s">
        <v>0</v>
      </c>
      <c r="G1227" s="17" t="s">
        <v>246</v>
      </c>
      <c r="H1227" s="18">
        <v>0.01</v>
      </c>
      <c r="I1227" s="18">
        <v>173.7</v>
      </c>
      <c r="J1227" s="7" t="str">
        <f>IFERROR(_xlfn.XLOOKUP(F1227,ccustos!A:A,ccustos!B:B),"Sem termo")</f>
        <v>SEPAT</v>
      </c>
    </row>
    <row r="1228" spans="1:10" ht="36.75" customHeight="1" x14ac:dyDescent="0.25">
      <c r="A1228" s="14">
        <v>11871</v>
      </c>
      <c r="B1228" s="7" t="s">
        <v>236</v>
      </c>
      <c r="C1228" s="7" t="s">
        <v>306</v>
      </c>
      <c r="D1228" s="7" t="s">
        <v>924</v>
      </c>
      <c r="E1228" s="7" t="s">
        <v>239</v>
      </c>
      <c r="F1228" s="7" t="s">
        <v>8</v>
      </c>
      <c r="G1228" s="7" t="s">
        <v>828</v>
      </c>
      <c r="H1228" s="15">
        <v>407.4</v>
      </c>
      <c r="I1228" s="15">
        <v>160.28</v>
      </c>
      <c r="J1228" s="7" t="str">
        <f>IFERROR(_xlfn.XLOOKUP(F1228,ccustos!A:A,ccustos!B:B),"Sem termo")</f>
        <v>DEINFRA</v>
      </c>
    </row>
    <row r="1229" spans="1:10" ht="25.5" customHeight="1" x14ac:dyDescent="0.25">
      <c r="A1229" s="16">
        <v>11872</v>
      </c>
      <c r="B1229" s="17" t="s">
        <v>236</v>
      </c>
      <c r="C1229" s="17" t="s">
        <v>325</v>
      </c>
      <c r="D1229" s="17" t="s">
        <v>925</v>
      </c>
      <c r="E1229" s="17" t="s">
        <v>239</v>
      </c>
      <c r="F1229" s="17" t="s">
        <v>8</v>
      </c>
      <c r="G1229" s="17" t="s">
        <v>419</v>
      </c>
      <c r="H1229" s="18">
        <v>2110.6</v>
      </c>
      <c r="I1229" s="18">
        <v>328.67</v>
      </c>
      <c r="J1229" s="7" t="str">
        <f>IFERROR(_xlfn.XLOOKUP(F1229,ccustos!A:A,ccustos!B:B),"Sem termo")</f>
        <v>DEINFRA</v>
      </c>
    </row>
    <row r="1230" spans="1:10" ht="25.5" customHeight="1" x14ac:dyDescent="0.25">
      <c r="A1230" s="14">
        <v>11873</v>
      </c>
      <c r="B1230" s="7" t="s">
        <v>236</v>
      </c>
      <c r="C1230" s="7" t="s">
        <v>241</v>
      </c>
      <c r="D1230" s="7" t="s">
        <v>926</v>
      </c>
      <c r="E1230" s="7" t="s">
        <v>239</v>
      </c>
      <c r="F1230" s="7" t="s">
        <v>35</v>
      </c>
      <c r="G1230" s="7" t="s">
        <v>904</v>
      </c>
      <c r="H1230" s="15">
        <v>14500</v>
      </c>
      <c r="I1230" s="15">
        <v>141.34</v>
      </c>
      <c r="J1230" s="7" t="str">
        <f>IFERROR(_xlfn.XLOOKUP(F1230,ccustos!A:A,ccustos!B:B),"Sem termo")</f>
        <v>DEINFRA</v>
      </c>
    </row>
    <row r="1231" spans="1:10" ht="36.75" customHeight="1" x14ac:dyDescent="0.25">
      <c r="A1231" s="16">
        <v>11874</v>
      </c>
      <c r="B1231" s="17" t="s">
        <v>236</v>
      </c>
      <c r="C1231" s="17" t="s">
        <v>927</v>
      </c>
      <c r="D1231" s="17" t="s">
        <v>928</v>
      </c>
      <c r="E1231" s="17" t="s">
        <v>250</v>
      </c>
      <c r="F1231" s="17" t="s">
        <v>256</v>
      </c>
      <c r="G1231" s="17" t="s">
        <v>929</v>
      </c>
      <c r="H1231" s="18">
        <v>610</v>
      </c>
      <c r="I1231" s="18">
        <v>190.56</v>
      </c>
      <c r="J1231" s="7" t="str">
        <f>IFERROR(_xlfn.XLOOKUP(F1231,ccustos!A:A,ccustos!B:B),"Sem termo")</f>
        <v>Sem termo</v>
      </c>
    </row>
    <row r="1232" spans="1:10" ht="25.5" customHeight="1" x14ac:dyDescent="0.25">
      <c r="A1232" s="14">
        <v>11877</v>
      </c>
      <c r="B1232" s="7" t="s">
        <v>236</v>
      </c>
      <c r="C1232" s="7" t="s">
        <v>399</v>
      </c>
      <c r="D1232" s="7" t="s">
        <v>921</v>
      </c>
      <c r="E1232" s="7" t="s">
        <v>239</v>
      </c>
      <c r="F1232" s="7" t="s">
        <v>56</v>
      </c>
      <c r="G1232" s="7" t="s">
        <v>393</v>
      </c>
      <c r="H1232" s="15">
        <v>1</v>
      </c>
      <c r="I1232" s="15">
        <v>45.52</v>
      </c>
      <c r="J1232" s="7" t="str">
        <f>IFERROR(_xlfn.XLOOKUP(F1232,ccustos!A:A,ccustos!B:B),"Sem termo")</f>
        <v>SEPROT</v>
      </c>
    </row>
    <row r="1233" spans="1:10" ht="25.5" customHeight="1" x14ac:dyDescent="0.25">
      <c r="A1233" s="16">
        <v>11878</v>
      </c>
      <c r="B1233" s="17" t="s">
        <v>236</v>
      </c>
      <c r="C1233" s="17" t="s">
        <v>241</v>
      </c>
      <c r="D1233" s="17" t="s">
        <v>596</v>
      </c>
      <c r="E1233" s="17" t="s">
        <v>239</v>
      </c>
      <c r="F1233" s="17" t="s">
        <v>256</v>
      </c>
      <c r="G1233" s="17" t="s">
        <v>308</v>
      </c>
      <c r="H1233" s="18">
        <v>695.75</v>
      </c>
      <c r="I1233" s="18">
        <v>192.97</v>
      </c>
      <c r="J1233" s="7" t="str">
        <f>IFERROR(_xlfn.XLOOKUP(F1233,ccustos!A:A,ccustos!B:B),"Sem termo")</f>
        <v>Sem termo</v>
      </c>
    </row>
    <row r="1234" spans="1:10" ht="36.75" customHeight="1" x14ac:dyDescent="0.25">
      <c r="A1234" s="14">
        <v>11879</v>
      </c>
      <c r="B1234" s="7" t="s">
        <v>236</v>
      </c>
      <c r="C1234" s="7" t="s">
        <v>337</v>
      </c>
      <c r="D1234" s="7" t="s">
        <v>338</v>
      </c>
      <c r="E1234" s="7" t="s">
        <v>239</v>
      </c>
      <c r="F1234" s="7" t="s">
        <v>185</v>
      </c>
      <c r="G1234" s="7" t="s">
        <v>339</v>
      </c>
      <c r="H1234" s="15">
        <v>237</v>
      </c>
      <c r="I1234" s="15">
        <v>213.43</v>
      </c>
      <c r="J1234" s="7" t="str">
        <f>IFERROR(_xlfn.XLOOKUP(F1234,ccustos!A:A,ccustos!B:B),"Sem termo")</f>
        <v>CGGE</v>
      </c>
    </row>
    <row r="1235" spans="1:10" ht="36.75" customHeight="1" x14ac:dyDescent="0.25">
      <c r="A1235" s="16">
        <v>11880</v>
      </c>
      <c r="B1235" s="17" t="s">
        <v>236</v>
      </c>
      <c r="C1235" s="17" t="s">
        <v>237</v>
      </c>
      <c r="D1235" s="17" t="s">
        <v>930</v>
      </c>
      <c r="E1235" s="17" t="s">
        <v>239</v>
      </c>
      <c r="F1235" s="17" t="s">
        <v>63</v>
      </c>
      <c r="G1235" s="17" t="s">
        <v>278</v>
      </c>
      <c r="H1235" s="18">
        <v>354.2</v>
      </c>
      <c r="I1235" s="18">
        <v>173.7</v>
      </c>
      <c r="J1235" s="7" t="str">
        <f>IFERROR(_xlfn.XLOOKUP(F1235,ccustos!A:A,ccustos!B:B),"Sem termo")</f>
        <v>SEPAT</v>
      </c>
    </row>
    <row r="1236" spans="1:10" ht="36.75" customHeight="1" x14ac:dyDescent="0.25">
      <c r="A1236" s="14">
        <v>11883</v>
      </c>
      <c r="B1236" s="7" t="s">
        <v>236</v>
      </c>
      <c r="C1236" s="7" t="s">
        <v>237</v>
      </c>
      <c r="D1236" s="7" t="s">
        <v>535</v>
      </c>
      <c r="E1236" s="7" t="s">
        <v>239</v>
      </c>
      <c r="F1236" s="7" t="s">
        <v>68</v>
      </c>
      <c r="G1236" s="7" t="s">
        <v>343</v>
      </c>
      <c r="H1236" s="15">
        <v>222.3</v>
      </c>
      <c r="I1236" s="15">
        <v>173.7</v>
      </c>
      <c r="J1236" s="7" t="str">
        <f>IFERROR(_xlfn.XLOOKUP(F1236,ccustos!A:A,ccustos!B:B),"Sem termo")</f>
        <v>DEINFRA</v>
      </c>
    </row>
    <row r="1237" spans="1:10" ht="36.75" customHeight="1" x14ac:dyDescent="0.25">
      <c r="A1237" s="16">
        <v>11884</v>
      </c>
      <c r="B1237" s="17" t="s">
        <v>236</v>
      </c>
      <c r="C1237" s="17" t="s">
        <v>241</v>
      </c>
      <c r="D1237" s="17" t="s">
        <v>931</v>
      </c>
      <c r="E1237" s="17" t="s">
        <v>239</v>
      </c>
      <c r="F1237" s="17" t="s">
        <v>56</v>
      </c>
      <c r="G1237" s="17" t="s">
        <v>748</v>
      </c>
      <c r="H1237" s="18">
        <v>59</v>
      </c>
      <c r="I1237" s="18">
        <v>141.34</v>
      </c>
      <c r="J1237" s="7" t="str">
        <f>IFERROR(_xlfn.XLOOKUP(F1237,ccustos!A:A,ccustos!B:B),"Sem termo")</f>
        <v>SEPROT</v>
      </c>
    </row>
    <row r="1238" spans="1:10" ht="36.75" customHeight="1" x14ac:dyDescent="0.25">
      <c r="A1238" s="14">
        <v>11886</v>
      </c>
      <c r="B1238" s="7" t="s">
        <v>236</v>
      </c>
      <c r="C1238" s="7" t="s">
        <v>932</v>
      </c>
      <c r="D1238" s="7" t="s">
        <v>933</v>
      </c>
      <c r="E1238" s="7" t="s">
        <v>250</v>
      </c>
      <c r="F1238" s="7" t="s">
        <v>8</v>
      </c>
      <c r="G1238" s="7" t="s">
        <v>934</v>
      </c>
      <c r="H1238" s="15">
        <v>273.14999999999998</v>
      </c>
      <c r="I1238" s="15">
        <v>196.81</v>
      </c>
      <c r="J1238" s="7" t="str">
        <f>IFERROR(_xlfn.XLOOKUP(F1238,ccustos!A:A,ccustos!B:B),"Sem termo")</f>
        <v>DEINFRA</v>
      </c>
    </row>
    <row r="1239" spans="1:10" ht="36.75" customHeight="1" x14ac:dyDescent="0.25">
      <c r="A1239" s="16">
        <v>11887</v>
      </c>
      <c r="B1239" s="17" t="s">
        <v>236</v>
      </c>
      <c r="C1239" s="17" t="s">
        <v>935</v>
      </c>
      <c r="D1239" s="17" t="s">
        <v>936</v>
      </c>
      <c r="E1239" s="17" t="s">
        <v>250</v>
      </c>
      <c r="F1239" s="17" t="s">
        <v>8</v>
      </c>
      <c r="G1239" s="17" t="s">
        <v>386</v>
      </c>
      <c r="H1239" s="18">
        <v>894.6</v>
      </c>
      <c r="I1239" s="18">
        <v>81.09</v>
      </c>
      <c r="J1239" s="7" t="str">
        <f>IFERROR(_xlfn.XLOOKUP(F1239,ccustos!A:A,ccustos!B:B),"Sem termo")</f>
        <v>DEINFRA</v>
      </c>
    </row>
    <row r="1240" spans="1:10" ht="25.5" customHeight="1" x14ac:dyDescent="0.25">
      <c r="A1240" s="14">
        <v>11888</v>
      </c>
      <c r="B1240" s="7" t="s">
        <v>236</v>
      </c>
      <c r="C1240" s="7" t="s">
        <v>306</v>
      </c>
      <c r="D1240" s="7" t="s">
        <v>937</v>
      </c>
      <c r="E1240" s="7" t="s">
        <v>239</v>
      </c>
      <c r="F1240" s="7" t="s">
        <v>8</v>
      </c>
      <c r="G1240" s="7" t="s">
        <v>938</v>
      </c>
      <c r="H1240" s="15">
        <v>23150.89</v>
      </c>
      <c r="I1240" s="15">
        <v>154.72999999999999</v>
      </c>
      <c r="J1240" s="7" t="str">
        <f>IFERROR(_xlfn.XLOOKUP(F1240,ccustos!A:A,ccustos!B:B),"Sem termo")</f>
        <v>DEINFRA</v>
      </c>
    </row>
    <row r="1241" spans="1:10" ht="36.75" customHeight="1" x14ac:dyDescent="0.25">
      <c r="A1241" s="16">
        <v>11889</v>
      </c>
      <c r="B1241" s="17" t="s">
        <v>236</v>
      </c>
      <c r="C1241" s="17" t="s">
        <v>306</v>
      </c>
      <c r="D1241" s="17" t="s">
        <v>939</v>
      </c>
      <c r="E1241" s="17" t="s">
        <v>239</v>
      </c>
      <c r="F1241" s="17" t="s">
        <v>8</v>
      </c>
      <c r="G1241" s="17" t="s">
        <v>291</v>
      </c>
      <c r="H1241" s="18">
        <v>269.86</v>
      </c>
      <c r="I1241" s="18">
        <v>154.72999999999999</v>
      </c>
      <c r="J1241" s="7" t="str">
        <f>IFERROR(_xlfn.XLOOKUP(F1241,ccustos!A:A,ccustos!B:B),"Sem termo")</f>
        <v>DEINFRA</v>
      </c>
    </row>
    <row r="1242" spans="1:10" ht="36.75" customHeight="1" x14ac:dyDescent="0.25">
      <c r="A1242" s="14">
        <v>11890</v>
      </c>
      <c r="B1242" s="7" t="s">
        <v>236</v>
      </c>
      <c r="C1242" s="7" t="s">
        <v>306</v>
      </c>
      <c r="D1242" s="7" t="s">
        <v>940</v>
      </c>
      <c r="E1242" s="7" t="s">
        <v>239</v>
      </c>
      <c r="F1242" s="7" t="s">
        <v>8</v>
      </c>
      <c r="G1242" s="7" t="s">
        <v>291</v>
      </c>
      <c r="H1242" s="15">
        <v>269.86</v>
      </c>
      <c r="I1242" s="15">
        <v>157.81</v>
      </c>
      <c r="J1242" s="7" t="str">
        <f>IFERROR(_xlfn.XLOOKUP(F1242,ccustos!A:A,ccustos!B:B),"Sem termo")</f>
        <v>DEINFRA</v>
      </c>
    </row>
    <row r="1243" spans="1:10" ht="36.75" customHeight="1" x14ac:dyDescent="0.25">
      <c r="A1243" s="16">
        <v>11891</v>
      </c>
      <c r="B1243" s="17" t="s">
        <v>236</v>
      </c>
      <c r="C1243" s="17" t="s">
        <v>306</v>
      </c>
      <c r="D1243" s="17" t="s">
        <v>941</v>
      </c>
      <c r="E1243" s="17" t="s">
        <v>239</v>
      </c>
      <c r="F1243" s="17" t="s">
        <v>8</v>
      </c>
      <c r="G1243" s="17" t="s">
        <v>386</v>
      </c>
      <c r="H1243" s="18">
        <v>308.10000000000002</v>
      </c>
      <c r="I1243" s="18">
        <v>103.79</v>
      </c>
      <c r="J1243" s="7" t="str">
        <f>IFERROR(_xlfn.XLOOKUP(F1243,ccustos!A:A,ccustos!B:B),"Sem termo")</f>
        <v>DEINFRA</v>
      </c>
    </row>
    <row r="1244" spans="1:10" ht="25.5" customHeight="1" x14ac:dyDescent="0.25">
      <c r="A1244" s="14">
        <v>11892</v>
      </c>
      <c r="B1244" s="7" t="s">
        <v>236</v>
      </c>
      <c r="C1244" s="7" t="s">
        <v>927</v>
      </c>
      <c r="D1244" s="7" t="s">
        <v>942</v>
      </c>
      <c r="E1244" s="7" t="s">
        <v>250</v>
      </c>
      <c r="F1244" s="7" t="s">
        <v>256</v>
      </c>
      <c r="G1244" s="7" t="s">
        <v>943</v>
      </c>
      <c r="H1244" s="15">
        <v>695</v>
      </c>
      <c r="I1244" s="15">
        <v>190.56</v>
      </c>
      <c r="J1244" s="7" t="str">
        <f>IFERROR(_xlfn.XLOOKUP(F1244,ccustos!A:A,ccustos!B:B),"Sem termo")</f>
        <v>Sem termo</v>
      </c>
    </row>
    <row r="1245" spans="1:10" ht="25.5" customHeight="1" x14ac:dyDescent="0.25">
      <c r="A1245" s="16">
        <v>11894</v>
      </c>
      <c r="B1245" s="17" t="s">
        <v>236</v>
      </c>
      <c r="C1245" s="17" t="s">
        <v>399</v>
      </c>
      <c r="D1245" s="17" t="s">
        <v>912</v>
      </c>
      <c r="E1245" s="17" t="s">
        <v>239</v>
      </c>
      <c r="F1245" s="17" t="s">
        <v>6</v>
      </c>
      <c r="G1245" s="17" t="s">
        <v>913</v>
      </c>
      <c r="H1245" s="18">
        <v>7290</v>
      </c>
      <c r="I1245" s="18">
        <v>23.02</v>
      </c>
      <c r="J1245" s="7" t="str">
        <f>IFERROR(_xlfn.XLOOKUP(F1245,ccustos!A:A,ccustos!B:B),"Sem termo")</f>
        <v>SEPAT</v>
      </c>
    </row>
    <row r="1246" spans="1:10" ht="25.5" customHeight="1" x14ac:dyDescent="0.25">
      <c r="A1246" s="14">
        <v>11897</v>
      </c>
      <c r="B1246" s="7" t="s">
        <v>236</v>
      </c>
      <c r="C1246" s="7" t="s">
        <v>399</v>
      </c>
      <c r="D1246" s="7" t="s">
        <v>915</v>
      </c>
      <c r="E1246" s="7" t="s">
        <v>239</v>
      </c>
      <c r="F1246" s="7" t="s">
        <v>56</v>
      </c>
      <c r="G1246" s="7" t="s">
        <v>916</v>
      </c>
      <c r="H1246" s="15">
        <v>137</v>
      </c>
      <c r="I1246" s="15">
        <v>93.09</v>
      </c>
      <c r="J1246" s="7" t="str">
        <f>IFERROR(_xlfn.XLOOKUP(F1246,ccustos!A:A,ccustos!B:B),"Sem termo")</f>
        <v>SEPROT</v>
      </c>
    </row>
    <row r="1247" spans="1:10" ht="25.5" customHeight="1" x14ac:dyDescent="0.25">
      <c r="A1247" s="16">
        <v>11898</v>
      </c>
      <c r="B1247" s="17" t="s">
        <v>236</v>
      </c>
      <c r="C1247" s="17" t="s">
        <v>294</v>
      </c>
      <c r="D1247" s="17" t="s">
        <v>944</v>
      </c>
      <c r="E1247" s="17" t="s">
        <v>239</v>
      </c>
      <c r="F1247" s="17" t="s">
        <v>8</v>
      </c>
      <c r="G1247" s="17" t="s">
        <v>945</v>
      </c>
      <c r="H1247" s="18">
        <v>0.01</v>
      </c>
      <c r="I1247" s="18">
        <v>190.08</v>
      </c>
      <c r="J1247" s="7" t="str">
        <f>IFERROR(_xlfn.XLOOKUP(F1247,ccustos!A:A,ccustos!B:B),"Sem termo")</f>
        <v>DEINFRA</v>
      </c>
    </row>
    <row r="1248" spans="1:10" ht="25.5" customHeight="1" x14ac:dyDescent="0.25">
      <c r="A1248" s="14">
        <v>11899</v>
      </c>
      <c r="B1248" s="7" t="s">
        <v>236</v>
      </c>
      <c r="C1248" s="7" t="s">
        <v>241</v>
      </c>
      <c r="D1248" s="7" t="s">
        <v>795</v>
      </c>
      <c r="E1248" s="7" t="s">
        <v>239</v>
      </c>
      <c r="F1248" s="7" t="s">
        <v>8</v>
      </c>
      <c r="G1248" s="7" t="s">
        <v>904</v>
      </c>
      <c r="H1248" s="15">
        <v>66000</v>
      </c>
      <c r="I1248" s="15">
        <v>157.78</v>
      </c>
      <c r="J1248" s="7" t="str">
        <f>IFERROR(_xlfn.XLOOKUP(F1248,ccustos!A:A,ccustos!B:B),"Sem termo")</f>
        <v>DEINFRA</v>
      </c>
    </row>
    <row r="1249" spans="1:10" ht="36.75" customHeight="1" x14ac:dyDescent="0.25">
      <c r="A1249" s="16">
        <v>11901</v>
      </c>
      <c r="B1249" s="17" t="s">
        <v>236</v>
      </c>
      <c r="C1249" s="17" t="s">
        <v>306</v>
      </c>
      <c r="D1249" s="17" t="s">
        <v>946</v>
      </c>
      <c r="E1249" s="17" t="s">
        <v>239</v>
      </c>
      <c r="F1249" s="17" t="s">
        <v>20</v>
      </c>
      <c r="G1249" s="17" t="s">
        <v>345</v>
      </c>
      <c r="H1249" s="18">
        <v>447.96</v>
      </c>
      <c r="I1249" s="18">
        <v>154.72999999999999</v>
      </c>
      <c r="J1249" s="7" t="str">
        <f>IFERROR(_xlfn.XLOOKUP(F1249,ccustos!A:A,ccustos!B:B),"Sem termo")</f>
        <v>CGTI</v>
      </c>
    </row>
    <row r="1250" spans="1:10" ht="25.5" customHeight="1" x14ac:dyDescent="0.25">
      <c r="A1250" s="14">
        <v>11902</v>
      </c>
      <c r="B1250" s="7" t="s">
        <v>236</v>
      </c>
      <c r="C1250" s="7" t="s">
        <v>306</v>
      </c>
      <c r="D1250" s="7" t="s">
        <v>946</v>
      </c>
      <c r="E1250" s="7" t="s">
        <v>239</v>
      </c>
      <c r="F1250" s="7" t="s">
        <v>60</v>
      </c>
      <c r="G1250" s="7" t="s">
        <v>289</v>
      </c>
      <c r="H1250" s="15">
        <v>444.97</v>
      </c>
      <c r="I1250" s="15">
        <v>154.72999999999999</v>
      </c>
      <c r="J1250" s="7" t="str">
        <f>IFERROR(_xlfn.XLOOKUP(F1250,ccustos!A:A,ccustos!B:B),"Sem termo")</f>
        <v>DEGEP</v>
      </c>
    </row>
    <row r="1251" spans="1:10" ht="36.75" customHeight="1" x14ac:dyDescent="0.25">
      <c r="A1251" s="16">
        <v>11903</v>
      </c>
      <c r="B1251" s="17" t="s">
        <v>236</v>
      </c>
      <c r="C1251" s="17" t="s">
        <v>333</v>
      </c>
      <c r="D1251" s="17" t="s">
        <v>947</v>
      </c>
      <c r="E1251" s="17" t="s">
        <v>335</v>
      </c>
      <c r="F1251" s="17" t="s">
        <v>62</v>
      </c>
      <c r="G1251" s="17" t="s">
        <v>348</v>
      </c>
      <c r="H1251" s="18">
        <v>618.41999999999996</v>
      </c>
      <c r="I1251" s="18">
        <v>125.33</v>
      </c>
      <c r="J1251" s="7" t="str">
        <f>IFERROR(_xlfn.XLOOKUP(F1251,ccustos!A:A,ccustos!B:B),"Sem termo")</f>
        <v>SETRAN</v>
      </c>
    </row>
    <row r="1252" spans="1:10" ht="25.5" customHeight="1" x14ac:dyDescent="0.25">
      <c r="A1252" s="14">
        <v>11906</v>
      </c>
      <c r="B1252" s="7" t="s">
        <v>236</v>
      </c>
      <c r="C1252" s="7" t="s">
        <v>337</v>
      </c>
      <c r="D1252" s="7" t="s">
        <v>349</v>
      </c>
      <c r="E1252" s="7" t="s">
        <v>239</v>
      </c>
      <c r="F1252" s="7" t="s">
        <v>205</v>
      </c>
      <c r="G1252" s="7" t="s">
        <v>350</v>
      </c>
      <c r="H1252" s="15">
        <v>227.27</v>
      </c>
      <c r="I1252" s="15">
        <v>498</v>
      </c>
      <c r="J1252" s="7" t="str">
        <f>IFERROR(_xlfn.XLOOKUP(F1252,ccustos!A:A,ccustos!B:B),"Sem termo")</f>
        <v>CCOM</v>
      </c>
    </row>
    <row r="1253" spans="1:10" ht="14.25" customHeight="1" x14ac:dyDescent="0.25">
      <c r="A1253" s="16">
        <v>11909</v>
      </c>
      <c r="B1253" s="17" t="s">
        <v>236</v>
      </c>
      <c r="C1253" s="17" t="s">
        <v>333</v>
      </c>
      <c r="D1253" s="17" t="s">
        <v>948</v>
      </c>
      <c r="E1253" s="17" t="s">
        <v>335</v>
      </c>
      <c r="F1253" s="17" t="s">
        <v>27</v>
      </c>
      <c r="G1253" s="17" t="s">
        <v>348</v>
      </c>
      <c r="H1253" s="18">
        <v>618.41999999999996</v>
      </c>
      <c r="I1253" s="18">
        <v>125.33</v>
      </c>
      <c r="J1253" s="7" t="str">
        <f>IFERROR(_xlfn.XLOOKUP(F1253,ccustos!A:A,ccustos!B:B),"Sem termo")</f>
        <v>CCI</v>
      </c>
    </row>
    <row r="1254" spans="1:10" ht="25.5" customHeight="1" x14ac:dyDescent="0.25">
      <c r="A1254" s="14">
        <v>11910</v>
      </c>
      <c r="B1254" s="7" t="s">
        <v>236</v>
      </c>
      <c r="C1254" s="7" t="s">
        <v>306</v>
      </c>
      <c r="D1254" s="7" t="s">
        <v>566</v>
      </c>
      <c r="E1254" s="7" t="s">
        <v>239</v>
      </c>
      <c r="F1254" s="7" t="s">
        <v>205</v>
      </c>
      <c r="G1254" s="7" t="s">
        <v>331</v>
      </c>
      <c r="H1254" s="15">
        <v>339</v>
      </c>
      <c r="I1254" s="15">
        <v>127.1</v>
      </c>
      <c r="J1254" s="7" t="str">
        <f>IFERROR(_xlfn.XLOOKUP(F1254,ccustos!A:A,ccustos!B:B),"Sem termo")</f>
        <v>CCOM</v>
      </c>
    </row>
    <row r="1255" spans="1:10" ht="25.5" customHeight="1" x14ac:dyDescent="0.25">
      <c r="A1255" s="16">
        <v>11911</v>
      </c>
      <c r="B1255" s="17" t="s">
        <v>236</v>
      </c>
      <c r="C1255" s="17" t="s">
        <v>241</v>
      </c>
      <c r="D1255" s="17" t="s">
        <v>949</v>
      </c>
      <c r="E1255" s="17" t="s">
        <v>239</v>
      </c>
      <c r="F1255" s="17" t="s">
        <v>6</v>
      </c>
      <c r="G1255" s="17" t="s">
        <v>950</v>
      </c>
      <c r="H1255" s="18">
        <v>3476.67</v>
      </c>
      <c r="I1255" s="18">
        <v>153.54</v>
      </c>
      <c r="J1255" s="7" t="str">
        <f>IFERROR(_xlfn.XLOOKUP(F1255,ccustos!A:A,ccustos!B:B),"Sem termo")</f>
        <v>SEPAT</v>
      </c>
    </row>
    <row r="1256" spans="1:10" ht="25.5" customHeight="1" x14ac:dyDescent="0.25">
      <c r="A1256" s="14">
        <v>11915</v>
      </c>
      <c r="B1256" s="7" t="s">
        <v>236</v>
      </c>
      <c r="C1256" s="7" t="s">
        <v>237</v>
      </c>
      <c r="D1256" s="7" t="s">
        <v>379</v>
      </c>
      <c r="E1256" s="7" t="s">
        <v>239</v>
      </c>
      <c r="F1256" s="7" t="s">
        <v>14</v>
      </c>
      <c r="G1256" s="7" t="s">
        <v>350</v>
      </c>
      <c r="H1256" s="15">
        <v>180</v>
      </c>
      <c r="I1256" s="15">
        <v>405.3</v>
      </c>
      <c r="J1256" s="7" t="str">
        <f>IFERROR(_xlfn.XLOOKUP(F1256,ccustos!A:A,ccustos!B:B),"Sem termo")</f>
        <v>SEPAT</v>
      </c>
    </row>
    <row r="1257" spans="1:10" ht="25.5" customHeight="1" x14ac:dyDescent="0.25">
      <c r="A1257" s="16">
        <v>11916</v>
      </c>
      <c r="B1257" s="17" t="s">
        <v>236</v>
      </c>
      <c r="C1257" s="17" t="s">
        <v>237</v>
      </c>
      <c r="D1257" s="17" t="s">
        <v>277</v>
      </c>
      <c r="E1257" s="17" t="s">
        <v>239</v>
      </c>
      <c r="F1257" s="17" t="s">
        <v>14</v>
      </c>
      <c r="G1257" s="17" t="s">
        <v>278</v>
      </c>
      <c r="H1257" s="18">
        <v>201.3</v>
      </c>
      <c r="I1257" s="18">
        <v>173.7</v>
      </c>
      <c r="J1257" s="7" t="str">
        <f>IFERROR(_xlfn.XLOOKUP(F1257,ccustos!A:A,ccustos!B:B),"Sem termo")</f>
        <v>SEPAT</v>
      </c>
    </row>
    <row r="1258" spans="1:10" ht="25.5" customHeight="1" x14ac:dyDescent="0.25">
      <c r="A1258" s="14">
        <v>11918</v>
      </c>
      <c r="B1258" s="7" t="s">
        <v>236</v>
      </c>
      <c r="C1258" s="7" t="s">
        <v>241</v>
      </c>
      <c r="D1258" s="7" t="s">
        <v>949</v>
      </c>
      <c r="E1258" s="7" t="s">
        <v>239</v>
      </c>
      <c r="F1258" s="7" t="s">
        <v>2</v>
      </c>
      <c r="G1258" s="7" t="s">
        <v>950</v>
      </c>
      <c r="H1258" s="15">
        <v>3476.66</v>
      </c>
      <c r="I1258" s="15">
        <v>153.54</v>
      </c>
      <c r="J1258" s="7" t="str">
        <f>IFERROR(_xlfn.XLOOKUP(F1258,ccustos!A:A,ccustos!B:B),"Sem termo")</f>
        <v>SEGED</v>
      </c>
    </row>
    <row r="1259" spans="1:10" ht="25.5" customHeight="1" x14ac:dyDescent="0.25">
      <c r="A1259" s="16">
        <v>11921</v>
      </c>
      <c r="B1259" s="17" t="s">
        <v>236</v>
      </c>
      <c r="C1259" s="17" t="s">
        <v>333</v>
      </c>
      <c r="D1259" s="17" t="s">
        <v>951</v>
      </c>
      <c r="E1259" s="17" t="s">
        <v>335</v>
      </c>
      <c r="F1259" s="17" t="s">
        <v>68</v>
      </c>
      <c r="G1259" s="17" t="s">
        <v>336</v>
      </c>
      <c r="H1259" s="18">
        <v>750</v>
      </c>
      <c r="I1259" s="18">
        <v>119.11</v>
      </c>
      <c r="J1259" s="7" t="str">
        <f>IFERROR(_xlfn.XLOOKUP(F1259,ccustos!A:A,ccustos!B:B),"Sem termo")</f>
        <v>DEINFRA</v>
      </c>
    </row>
    <row r="1260" spans="1:10" ht="25.5" customHeight="1" x14ac:dyDescent="0.25">
      <c r="A1260" s="14">
        <v>11923</v>
      </c>
      <c r="B1260" s="7" t="s">
        <v>236</v>
      </c>
      <c r="C1260" s="7" t="s">
        <v>237</v>
      </c>
      <c r="D1260" s="7" t="s">
        <v>669</v>
      </c>
      <c r="E1260" s="7" t="s">
        <v>239</v>
      </c>
      <c r="F1260" s="7" t="s">
        <v>27</v>
      </c>
      <c r="G1260" s="7" t="s">
        <v>278</v>
      </c>
      <c r="H1260" s="15">
        <v>122.87</v>
      </c>
      <c r="I1260" s="15">
        <v>149.01</v>
      </c>
      <c r="J1260" s="7" t="str">
        <f>IFERROR(_xlfn.XLOOKUP(F1260,ccustos!A:A,ccustos!B:B),"Sem termo")</f>
        <v>CCI</v>
      </c>
    </row>
    <row r="1261" spans="1:10" ht="25.5" customHeight="1" x14ac:dyDescent="0.25">
      <c r="A1261" s="16">
        <v>11926</v>
      </c>
      <c r="B1261" s="17" t="s">
        <v>236</v>
      </c>
      <c r="C1261" s="17" t="s">
        <v>241</v>
      </c>
      <c r="D1261" s="17" t="s">
        <v>596</v>
      </c>
      <c r="E1261" s="17" t="s">
        <v>239</v>
      </c>
      <c r="F1261" s="17" t="s">
        <v>48</v>
      </c>
      <c r="G1261" s="17" t="s">
        <v>289</v>
      </c>
      <c r="H1261" s="18">
        <v>695.75</v>
      </c>
      <c r="I1261" s="18">
        <v>200.85</v>
      </c>
      <c r="J1261" s="7" t="str">
        <f>IFERROR(_xlfn.XLOOKUP(F1261,ccustos!A:A,ccustos!B:B),"Sem termo")</f>
        <v>DEPES</v>
      </c>
    </row>
    <row r="1262" spans="1:10" ht="25.5" customHeight="1" x14ac:dyDescent="0.25">
      <c r="A1262" s="14">
        <v>11927</v>
      </c>
      <c r="B1262" s="7" t="s">
        <v>236</v>
      </c>
      <c r="C1262" s="7" t="s">
        <v>306</v>
      </c>
      <c r="D1262" s="7" t="s">
        <v>952</v>
      </c>
      <c r="E1262" s="7" t="s">
        <v>239</v>
      </c>
      <c r="F1262" s="7" t="s">
        <v>205</v>
      </c>
      <c r="G1262" s="7" t="s">
        <v>331</v>
      </c>
      <c r="H1262" s="15">
        <v>339</v>
      </c>
      <c r="I1262" s="15">
        <v>127.1</v>
      </c>
      <c r="J1262" s="7" t="str">
        <f>IFERROR(_xlfn.XLOOKUP(F1262,ccustos!A:A,ccustos!B:B),"Sem termo")</f>
        <v>CCOM</v>
      </c>
    </row>
    <row r="1263" spans="1:10" ht="25.5" customHeight="1" x14ac:dyDescent="0.25">
      <c r="A1263" s="16">
        <v>11928</v>
      </c>
      <c r="B1263" s="17" t="s">
        <v>236</v>
      </c>
      <c r="C1263" s="17" t="s">
        <v>337</v>
      </c>
      <c r="D1263" s="17" t="s">
        <v>338</v>
      </c>
      <c r="E1263" s="17" t="s">
        <v>239</v>
      </c>
      <c r="F1263" s="17" t="s">
        <v>29</v>
      </c>
      <c r="G1263" s="17" t="s">
        <v>350</v>
      </c>
      <c r="H1263" s="18">
        <v>227.27</v>
      </c>
      <c r="I1263" s="18">
        <v>498</v>
      </c>
      <c r="J1263" s="7" t="str">
        <f>IFERROR(_xlfn.XLOOKUP(F1263,ccustos!A:A,ccustos!B:B),"Sem termo")</f>
        <v>COAD</v>
      </c>
    </row>
    <row r="1264" spans="1:10" ht="25.5" customHeight="1" x14ac:dyDescent="0.25">
      <c r="A1264" s="14">
        <v>11930</v>
      </c>
      <c r="B1264" s="7" t="s">
        <v>236</v>
      </c>
      <c r="C1264" s="7" t="s">
        <v>337</v>
      </c>
      <c r="D1264" s="7" t="s">
        <v>338</v>
      </c>
      <c r="E1264" s="7" t="s">
        <v>239</v>
      </c>
      <c r="F1264" s="7" t="s">
        <v>205</v>
      </c>
      <c r="G1264" s="7" t="s">
        <v>339</v>
      </c>
      <c r="H1264" s="15">
        <v>237</v>
      </c>
      <c r="I1264" s="15">
        <v>213.43</v>
      </c>
      <c r="J1264" s="7" t="str">
        <f>IFERROR(_xlfn.XLOOKUP(F1264,ccustos!A:A,ccustos!B:B),"Sem termo")</f>
        <v>CCOM</v>
      </c>
    </row>
    <row r="1265" spans="1:10" ht="25.5" customHeight="1" x14ac:dyDescent="0.25">
      <c r="A1265" s="16">
        <v>11931</v>
      </c>
      <c r="B1265" s="17" t="s">
        <v>236</v>
      </c>
      <c r="C1265" s="17" t="s">
        <v>313</v>
      </c>
      <c r="D1265" s="17" t="s">
        <v>953</v>
      </c>
      <c r="E1265" s="17" t="s">
        <v>250</v>
      </c>
      <c r="F1265" s="17" t="s">
        <v>83</v>
      </c>
      <c r="G1265" s="17" t="s">
        <v>315</v>
      </c>
      <c r="H1265" s="18">
        <v>620</v>
      </c>
      <c r="I1265" s="18">
        <v>196.91</v>
      </c>
      <c r="J1265" s="7" t="str">
        <f>IFERROR(_xlfn.XLOOKUP(F1265,ccustos!A:A,ccustos!B:B),"Sem termo")</f>
        <v>GABIN</v>
      </c>
    </row>
    <row r="1266" spans="1:10" ht="25.5" customHeight="1" x14ac:dyDescent="0.25">
      <c r="A1266" s="14">
        <v>11932</v>
      </c>
      <c r="B1266" s="7" t="s">
        <v>236</v>
      </c>
      <c r="C1266" s="7" t="s">
        <v>237</v>
      </c>
      <c r="D1266" s="7" t="s">
        <v>378</v>
      </c>
      <c r="E1266" s="7" t="s">
        <v>239</v>
      </c>
      <c r="F1266" s="7" t="s">
        <v>14</v>
      </c>
      <c r="G1266" s="7" t="s">
        <v>350</v>
      </c>
      <c r="H1266" s="15">
        <v>180</v>
      </c>
      <c r="I1266" s="15">
        <v>405.3</v>
      </c>
      <c r="J1266" s="7" t="str">
        <f>IFERROR(_xlfn.XLOOKUP(F1266,ccustos!A:A,ccustos!B:B),"Sem termo")</f>
        <v>SEPAT</v>
      </c>
    </row>
    <row r="1267" spans="1:10" ht="25.5" customHeight="1" x14ac:dyDescent="0.25">
      <c r="A1267" s="16">
        <v>11935</v>
      </c>
      <c r="B1267" s="17" t="s">
        <v>236</v>
      </c>
      <c r="C1267" s="17" t="s">
        <v>337</v>
      </c>
      <c r="D1267" s="17" t="s">
        <v>954</v>
      </c>
      <c r="E1267" s="17" t="s">
        <v>239</v>
      </c>
      <c r="F1267" s="17" t="s">
        <v>26</v>
      </c>
      <c r="G1267" s="17" t="s">
        <v>350</v>
      </c>
      <c r="H1267" s="18">
        <v>227.27</v>
      </c>
      <c r="I1267" s="18">
        <v>498</v>
      </c>
      <c r="J1267" s="7" t="str">
        <f>IFERROR(_xlfn.XLOOKUP(F1267,ccustos!A:A,ccustos!B:B),"Sem termo")</f>
        <v>COLOG</v>
      </c>
    </row>
    <row r="1268" spans="1:10" ht="14.25" customHeight="1" x14ac:dyDescent="0.25">
      <c r="A1268" s="14">
        <v>11936</v>
      </c>
      <c r="B1268" s="7" t="s">
        <v>236</v>
      </c>
      <c r="C1268" s="7" t="s">
        <v>337</v>
      </c>
      <c r="D1268" s="7" t="s">
        <v>346</v>
      </c>
      <c r="E1268" s="7" t="s">
        <v>239</v>
      </c>
      <c r="F1268" s="7" t="s">
        <v>32</v>
      </c>
      <c r="G1268" s="7" t="s">
        <v>331</v>
      </c>
      <c r="H1268" s="15">
        <v>298</v>
      </c>
      <c r="I1268" s="15">
        <v>213.43</v>
      </c>
      <c r="J1268" s="7" t="str">
        <f>IFERROR(_xlfn.XLOOKUP(F1268,ccustos!A:A,ccustos!B:B),"Sem termo")</f>
        <v>DECONT</v>
      </c>
    </row>
    <row r="1269" spans="1:10" ht="36.75" customHeight="1" x14ac:dyDescent="0.25">
      <c r="A1269" s="16">
        <v>11938</v>
      </c>
      <c r="B1269" s="17" t="s">
        <v>236</v>
      </c>
      <c r="C1269" s="17" t="s">
        <v>612</v>
      </c>
      <c r="D1269" s="17" t="s">
        <v>955</v>
      </c>
      <c r="E1269" s="17" t="s">
        <v>335</v>
      </c>
      <c r="F1269" s="17" t="s">
        <v>6</v>
      </c>
      <c r="G1269" s="17" t="s">
        <v>678</v>
      </c>
      <c r="H1269" s="18">
        <v>746</v>
      </c>
      <c r="I1269" s="18">
        <v>232.48</v>
      </c>
      <c r="J1269" s="7" t="str">
        <f>IFERROR(_xlfn.XLOOKUP(F1269,ccustos!A:A,ccustos!B:B),"Sem termo")</f>
        <v>SEPAT</v>
      </c>
    </row>
    <row r="1270" spans="1:10" ht="25.5" customHeight="1" x14ac:dyDescent="0.25">
      <c r="A1270" s="14">
        <v>11941</v>
      </c>
      <c r="B1270" s="7" t="s">
        <v>236</v>
      </c>
      <c r="C1270" s="7" t="s">
        <v>237</v>
      </c>
      <c r="D1270" s="7" t="s">
        <v>277</v>
      </c>
      <c r="E1270" s="7" t="s">
        <v>239</v>
      </c>
      <c r="F1270" s="7" t="s">
        <v>0</v>
      </c>
      <c r="G1270" s="7" t="s">
        <v>278</v>
      </c>
      <c r="H1270" s="15">
        <v>201.3</v>
      </c>
      <c r="I1270" s="15">
        <v>173.7</v>
      </c>
      <c r="J1270" s="7" t="str">
        <f>IFERROR(_xlfn.XLOOKUP(F1270,ccustos!A:A,ccustos!B:B),"Sem termo")</f>
        <v>SEPAT</v>
      </c>
    </row>
    <row r="1271" spans="1:10" ht="36.75" customHeight="1" x14ac:dyDescent="0.25">
      <c r="A1271" s="16">
        <v>11942</v>
      </c>
      <c r="B1271" s="17" t="s">
        <v>236</v>
      </c>
      <c r="C1271" s="17" t="s">
        <v>237</v>
      </c>
      <c r="D1271" s="17" t="s">
        <v>956</v>
      </c>
      <c r="E1271" s="17" t="s">
        <v>239</v>
      </c>
      <c r="F1271" s="17" t="s">
        <v>0</v>
      </c>
      <c r="G1271" s="17" t="s">
        <v>278</v>
      </c>
      <c r="H1271" s="18">
        <v>354.2</v>
      </c>
      <c r="I1271" s="18">
        <v>173.7</v>
      </c>
      <c r="J1271" s="7" t="str">
        <f>IFERROR(_xlfn.XLOOKUP(F1271,ccustos!A:A,ccustos!B:B),"Sem termo")</f>
        <v>SEPAT</v>
      </c>
    </row>
    <row r="1272" spans="1:10" ht="25.5" customHeight="1" x14ac:dyDescent="0.25">
      <c r="A1272" s="14">
        <v>11943</v>
      </c>
      <c r="B1272" s="7" t="s">
        <v>236</v>
      </c>
      <c r="C1272" s="7" t="s">
        <v>294</v>
      </c>
      <c r="D1272" s="7" t="s">
        <v>957</v>
      </c>
      <c r="E1272" s="7" t="s">
        <v>239</v>
      </c>
      <c r="F1272" s="7" t="s">
        <v>18</v>
      </c>
      <c r="G1272" s="7" t="s">
        <v>693</v>
      </c>
      <c r="H1272" s="15">
        <v>3077</v>
      </c>
      <c r="I1272" s="15">
        <v>1368.15</v>
      </c>
      <c r="J1272" s="7" t="str">
        <f>IFERROR(_xlfn.XLOOKUP(F1272,ccustos!A:A,ccustos!B:B),"Sem termo")</f>
        <v>DEINFRA</v>
      </c>
    </row>
    <row r="1273" spans="1:10" ht="25.5" customHeight="1" x14ac:dyDescent="0.25">
      <c r="A1273" s="16">
        <v>11948</v>
      </c>
      <c r="B1273" s="17" t="s">
        <v>236</v>
      </c>
      <c r="C1273" s="17" t="s">
        <v>294</v>
      </c>
      <c r="D1273" s="17" t="s">
        <v>958</v>
      </c>
      <c r="E1273" s="17" t="s">
        <v>239</v>
      </c>
      <c r="F1273" s="17" t="s">
        <v>13</v>
      </c>
      <c r="G1273" s="17" t="s">
        <v>329</v>
      </c>
      <c r="H1273" s="18">
        <v>500</v>
      </c>
      <c r="I1273" s="18">
        <v>365.87</v>
      </c>
      <c r="J1273" s="7" t="str">
        <f>IFERROR(_xlfn.XLOOKUP(F1273,ccustos!A:A,ccustos!B:B),"Sem termo")</f>
        <v>SEPROT</v>
      </c>
    </row>
    <row r="1274" spans="1:10" ht="25.5" customHeight="1" x14ac:dyDescent="0.25">
      <c r="A1274" s="14">
        <v>11950</v>
      </c>
      <c r="B1274" s="7" t="s">
        <v>236</v>
      </c>
      <c r="C1274" s="7" t="s">
        <v>241</v>
      </c>
      <c r="D1274" s="7" t="s">
        <v>288</v>
      </c>
      <c r="E1274" s="7" t="s">
        <v>239</v>
      </c>
      <c r="F1274" s="7" t="s">
        <v>13</v>
      </c>
      <c r="G1274" s="7" t="s">
        <v>289</v>
      </c>
      <c r="H1274" s="15">
        <v>131.78</v>
      </c>
      <c r="I1274" s="15">
        <v>141.34</v>
      </c>
      <c r="J1274" s="7" t="str">
        <f>IFERROR(_xlfn.XLOOKUP(F1274,ccustos!A:A,ccustos!B:B),"Sem termo")</f>
        <v>SEPROT</v>
      </c>
    </row>
    <row r="1275" spans="1:10" ht="36.75" customHeight="1" x14ac:dyDescent="0.25">
      <c r="A1275" s="16">
        <v>11951</v>
      </c>
      <c r="B1275" s="17" t="s">
        <v>236</v>
      </c>
      <c r="C1275" s="17" t="s">
        <v>612</v>
      </c>
      <c r="D1275" s="17" t="s">
        <v>959</v>
      </c>
      <c r="E1275" s="17" t="s">
        <v>335</v>
      </c>
      <c r="F1275" s="17" t="s">
        <v>6</v>
      </c>
      <c r="G1275" s="17" t="s">
        <v>960</v>
      </c>
      <c r="H1275" s="18">
        <v>1191.6500000000001</v>
      </c>
      <c r="I1275" s="18">
        <v>728.2</v>
      </c>
      <c r="J1275" s="7" t="str">
        <f>IFERROR(_xlfn.XLOOKUP(F1275,ccustos!A:A,ccustos!B:B),"Sem termo")</f>
        <v>SEPAT</v>
      </c>
    </row>
    <row r="1276" spans="1:10" ht="36.75" customHeight="1" x14ac:dyDescent="0.25">
      <c r="A1276" s="14">
        <v>11952</v>
      </c>
      <c r="B1276" s="7" t="s">
        <v>236</v>
      </c>
      <c r="C1276" s="7" t="s">
        <v>241</v>
      </c>
      <c r="D1276" s="7" t="s">
        <v>961</v>
      </c>
      <c r="E1276" s="7" t="s">
        <v>239</v>
      </c>
      <c r="F1276" s="7" t="s">
        <v>60</v>
      </c>
      <c r="G1276" s="7" t="s">
        <v>339</v>
      </c>
      <c r="H1276" s="15">
        <v>364</v>
      </c>
      <c r="I1276" s="15">
        <v>238.18</v>
      </c>
      <c r="J1276" s="7" t="str">
        <f>IFERROR(_xlfn.XLOOKUP(F1276,ccustos!A:A,ccustos!B:B),"Sem termo")</f>
        <v>DEGEP</v>
      </c>
    </row>
    <row r="1277" spans="1:10" ht="25.5" customHeight="1" x14ac:dyDescent="0.25">
      <c r="A1277" s="16">
        <v>11953</v>
      </c>
      <c r="B1277" s="17" t="s">
        <v>236</v>
      </c>
      <c r="C1277" s="17" t="s">
        <v>237</v>
      </c>
      <c r="D1277" s="17" t="s">
        <v>597</v>
      </c>
      <c r="E1277" s="17" t="s">
        <v>239</v>
      </c>
      <c r="F1277" s="17" t="s">
        <v>0</v>
      </c>
      <c r="G1277" s="17" t="s">
        <v>280</v>
      </c>
      <c r="H1277" s="18">
        <v>565.46</v>
      </c>
      <c r="I1277" s="18">
        <v>173.7</v>
      </c>
      <c r="J1277" s="7" t="str">
        <f>IFERROR(_xlfn.XLOOKUP(F1277,ccustos!A:A,ccustos!B:B),"Sem termo")</f>
        <v>SEPAT</v>
      </c>
    </row>
    <row r="1278" spans="1:10" ht="25.5" customHeight="1" x14ac:dyDescent="0.25">
      <c r="A1278" s="14">
        <v>11954</v>
      </c>
      <c r="B1278" s="7" t="s">
        <v>236</v>
      </c>
      <c r="C1278" s="7" t="s">
        <v>237</v>
      </c>
      <c r="D1278" s="7" t="s">
        <v>277</v>
      </c>
      <c r="E1278" s="7" t="s">
        <v>239</v>
      </c>
      <c r="F1278" s="7" t="s">
        <v>56</v>
      </c>
      <c r="G1278" s="7" t="s">
        <v>278</v>
      </c>
      <c r="H1278" s="15">
        <v>201.3</v>
      </c>
      <c r="I1278" s="15">
        <v>173.7</v>
      </c>
      <c r="J1278" s="7" t="str">
        <f>IFERROR(_xlfn.XLOOKUP(F1278,ccustos!A:A,ccustos!B:B),"Sem termo")</f>
        <v>SEPROT</v>
      </c>
    </row>
    <row r="1279" spans="1:10" ht="25.5" customHeight="1" x14ac:dyDescent="0.25">
      <c r="A1279" s="16">
        <v>11955</v>
      </c>
      <c r="B1279" s="17" t="s">
        <v>236</v>
      </c>
      <c r="C1279" s="17" t="s">
        <v>306</v>
      </c>
      <c r="D1279" s="17" t="s">
        <v>307</v>
      </c>
      <c r="E1279" s="17" t="s">
        <v>239</v>
      </c>
      <c r="F1279" s="17" t="s">
        <v>55</v>
      </c>
      <c r="G1279" s="17" t="s">
        <v>289</v>
      </c>
      <c r="H1279" s="18">
        <v>287.67</v>
      </c>
      <c r="I1279" s="18">
        <v>127.1</v>
      </c>
      <c r="J1279" s="7" t="str">
        <f>IFERROR(_xlfn.XLOOKUP(F1279,ccustos!A:A,ccustos!B:B),"Sem termo")</f>
        <v>DEPAD</v>
      </c>
    </row>
    <row r="1280" spans="1:10" ht="25.5" customHeight="1" x14ac:dyDescent="0.25">
      <c r="A1280" s="14">
        <v>11956</v>
      </c>
      <c r="B1280" s="7" t="s">
        <v>236</v>
      </c>
      <c r="C1280" s="7" t="s">
        <v>306</v>
      </c>
      <c r="D1280" s="7" t="s">
        <v>307</v>
      </c>
      <c r="E1280" s="7" t="s">
        <v>239</v>
      </c>
      <c r="F1280" s="7" t="s">
        <v>13</v>
      </c>
      <c r="G1280" s="7" t="s">
        <v>289</v>
      </c>
      <c r="H1280" s="15">
        <v>287.67</v>
      </c>
      <c r="I1280" s="15">
        <v>127.1</v>
      </c>
      <c r="J1280" s="7" t="str">
        <f>IFERROR(_xlfn.XLOOKUP(F1280,ccustos!A:A,ccustos!B:B),"Sem termo")</f>
        <v>SEPROT</v>
      </c>
    </row>
    <row r="1281" spans="1:10" ht="25.5" customHeight="1" x14ac:dyDescent="0.25">
      <c r="A1281" s="16">
        <v>11959</v>
      </c>
      <c r="B1281" s="17" t="s">
        <v>236</v>
      </c>
      <c r="C1281" s="17" t="s">
        <v>241</v>
      </c>
      <c r="D1281" s="17" t="s">
        <v>962</v>
      </c>
      <c r="E1281" s="17" t="s">
        <v>239</v>
      </c>
      <c r="F1281" s="17" t="s">
        <v>26</v>
      </c>
      <c r="G1281" s="17" t="s">
        <v>329</v>
      </c>
      <c r="H1281" s="18">
        <v>130</v>
      </c>
      <c r="I1281" s="18">
        <v>376.92</v>
      </c>
      <c r="J1281" s="7" t="str">
        <f>IFERROR(_xlfn.XLOOKUP(F1281,ccustos!A:A,ccustos!B:B),"Sem termo")</f>
        <v>COLOG</v>
      </c>
    </row>
    <row r="1282" spans="1:10" ht="25.5" customHeight="1" x14ac:dyDescent="0.25">
      <c r="A1282" s="14">
        <v>11960</v>
      </c>
      <c r="B1282" s="7" t="s">
        <v>236</v>
      </c>
      <c r="C1282" s="7" t="s">
        <v>337</v>
      </c>
      <c r="D1282" s="7" t="s">
        <v>963</v>
      </c>
      <c r="E1282" s="7" t="s">
        <v>239</v>
      </c>
      <c r="F1282" s="7" t="s">
        <v>20</v>
      </c>
      <c r="G1282" s="7" t="s">
        <v>289</v>
      </c>
      <c r="H1282" s="15">
        <v>287.67</v>
      </c>
      <c r="I1282" s="15">
        <v>213.43</v>
      </c>
      <c r="J1282" s="7" t="str">
        <f>IFERROR(_xlfn.XLOOKUP(F1282,ccustos!A:A,ccustos!B:B),"Sem termo")</f>
        <v>CGTI</v>
      </c>
    </row>
    <row r="1283" spans="1:10" ht="25.5" customHeight="1" x14ac:dyDescent="0.25">
      <c r="A1283" s="16">
        <v>11961</v>
      </c>
      <c r="B1283" s="17" t="s">
        <v>236</v>
      </c>
      <c r="C1283" s="17" t="s">
        <v>306</v>
      </c>
      <c r="D1283" s="17" t="s">
        <v>369</v>
      </c>
      <c r="E1283" s="17" t="s">
        <v>239</v>
      </c>
      <c r="F1283" s="17" t="s">
        <v>13</v>
      </c>
      <c r="G1283" s="17" t="s">
        <v>308</v>
      </c>
      <c r="H1283" s="18">
        <v>447.96</v>
      </c>
      <c r="I1283" s="18">
        <v>164.93</v>
      </c>
      <c r="J1283" s="7" t="str">
        <f>IFERROR(_xlfn.XLOOKUP(F1283,ccustos!A:A,ccustos!B:B),"Sem termo")</f>
        <v>SEPROT</v>
      </c>
    </row>
    <row r="1284" spans="1:10" ht="25.5" customHeight="1" x14ac:dyDescent="0.25">
      <c r="A1284" s="14">
        <v>11962</v>
      </c>
      <c r="B1284" s="7" t="s">
        <v>236</v>
      </c>
      <c r="C1284" s="7" t="s">
        <v>241</v>
      </c>
      <c r="D1284" s="7" t="s">
        <v>795</v>
      </c>
      <c r="E1284" s="7" t="s">
        <v>239</v>
      </c>
      <c r="F1284" s="7" t="s">
        <v>26</v>
      </c>
      <c r="G1284" s="7" t="s">
        <v>964</v>
      </c>
      <c r="H1284" s="15">
        <v>185</v>
      </c>
      <c r="I1284" s="15">
        <v>228.01</v>
      </c>
      <c r="J1284" s="7" t="str">
        <f>IFERROR(_xlfn.XLOOKUP(F1284,ccustos!A:A,ccustos!B:B),"Sem termo")</f>
        <v>COLOG</v>
      </c>
    </row>
    <row r="1285" spans="1:10" ht="25.5" customHeight="1" x14ac:dyDescent="0.25">
      <c r="A1285" s="16">
        <v>11963</v>
      </c>
      <c r="B1285" s="17" t="s">
        <v>236</v>
      </c>
      <c r="C1285" s="17" t="s">
        <v>337</v>
      </c>
      <c r="D1285" s="17" t="s">
        <v>346</v>
      </c>
      <c r="E1285" s="17" t="s">
        <v>239</v>
      </c>
      <c r="F1285" s="17" t="s">
        <v>13</v>
      </c>
      <c r="G1285" s="17" t="s">
        <v>331</v>
      </c>
      <c r="H1285" s="18">
        <v>298</v>
      </c>
      <c r="I1285" s="18">
        <v>213.43</v>
      </c>
      <c r="J1285" s="7" t="str">
        <f>IFERROR(_xlfn.XLOOKUP(F1285,ccustos!A:A,ccustos!B:B),"Sem termo")</f>
        <v>SEPROT</v>
      </c>
    </row>
    <row r="1286" spans="1:10" ht="25.5" customHeight="1" x14ac:dyDescent="0.25">
      <c r="A1286" s="14">
        <v>11964</v>
      </c>
      <c r="B1286" s="7" t="s">
        <v>236</v>
      </c>
      <c r="C1286" s="7" t="s">
        <v>313</v>
      </c>
      <c r="D1286" s="7" t="s">
        <v>965</v>
      </c>
      <c r="E1286" s="7" t="s">
        <v>250</v>
      </c>
      <c r="F1286" s="7" t="s">
        <v>13</v>
      </c>
      <c r="G1286" s="7" t="s">
        <v>529</v>
      </c>
      <c r="H1286" s="15">
        <v>585</v>
      </c>
      <c r="I1286" s="15">
        <v>268.31</v>
      </c>
      <c r="J1286" s="7" t="str">
        <f>IFERROR(_xlfn.XLOOKUP(F1286,ccustos!A:A,ccustos!B:B),"Sem termo")</f>
        <v>SEPROT</v>
      </c>
    </row>
    <row r="1287" spans="1:10" ht="25.5" customHeight="1" x14ac:dyDescent="0.25">
      <c r="A1287" s="16">
        <v>11968</v>
      </c>
      <c r="B1287" s="17" t="s">
        <v>236</v>
      </c>
      <c r="C1287" s="17" t="s">
        <v>237</v>
      </c>
      <c r="D1287" s="17" t="s">
        <v>277</v>
      </c>
      <c r="E1287" s="17" t="s">
        <v>239</v>
      </c>
      <c r="F1287" s="17" t="s">
        <v>13</v>
      </c>
      <c r="G1287" s="17" t="s">
        <v>278</v>
      </c>
      <c r="H1287" s="18">
        <v>201.3</v>
      </c>
      <c r="I1287" s="18">
        <v>173.7</v>
      </c>
      <c r="J1287" s="7" t="str">
        <f>IFERROR(_xlfn.XLOOKUP(F1287,ccustos!A:A,ccustos!B:B),"Sem termo")</f>
        <v>SEPROT</v>
      </c>
    </row>
    <row r="1288" spans="1:10" ht="25.5" customHeight="1" x14ac:dyDescent="0.25">
      <c r="A1288" s="14">
        <v>11969</v>
      </c>
      <c r="B1288" s="7" t="s">
        <v>236</v>
      </c>
      <c r="C1288" s="7" t="s">
        <v>241</v>
      </c>
      <c r="D1288" s="7" t="s">
        <v>966</v>
      </c>
      <c r="E1288" s="7" t="s">
        <v>239</v>
      </c>
      <c r="F1288" s="7" t="s">
        <v>13</v>
      </c>
      <c r="G1288" s="7" t="s">
        <v>289</v>
      </c>
      <c r="H1288" s="15">
        <v>695.75</v>
      </c>
      <c r="I1288" s="15">
        <v>192.97</v>
      </c>
      <c r="J1288" s="7" t="str">
        <f>IFERROR(_xlfn.XLOOKUP(F1288,ccustos!A:A,ccustos!B:B),"Sem termo")</f>
        <v>SEPROT</v>
      </c>
    </row>
    <row r="1289" spans="1:10" ht="25.5" customHeight="1" x14ac:dyDescent="0.25">
      <c r="A1289" s="16">
        <v>11970</v>
      </c>
      <c r="B1289" s="17" t="s">
        <v>236</v>
      </c>
      <c r="C1289" s="17" t="s">
        <v>337</v>
      </c>
      <c r="D1289" s="17" t="s">
        <v>349</v>
      </c>
      <c r="E1289" s="17" t="s">
        <v>239</v>
      </c>
      <c r="F1289" s="17" t="s">
        <v>22</v>
      </c>
      <c r="G1289" s="17" t="s">
        <v>350</v>
      </c>
      <c r="H1289" s="18">
        <v>227.27</v>
      </c>
      <c r="I1289" s="18">
        <v>498</v>
      </c>
      <c r="J1289" s="7" t="str">
        <f>IFERROR(_xlfn.XLOOKUP(F1289,ccustos!A:A,ccustos!B:B),"Sem termo")</f>
        <v>COTEC</v>
      </c>
    </row>
    <row r="1290" spans="1:10" ht="25.5" customHeight="1" x14ac:dyDescent="0.25">
      <c r="A1290" s="14">
        <v>11971</v>
      </c>
      <c r="B1290" s="7" t="s">
        <v>236</v>
      </c>
      <c r="C1290" s="7" t="s">
        <v>337</v>
      </c>
      <c r="D1290" s="7" t="s">
        <v>454</v>
      </c>
      <c r="E1290" s="7" t="s">
        <v>239</v>
      </c>
      <c r="F1290" s="7" t="s">
        <v>13</v>
      </c>
      <c r="G1290" s="7" t="s">
        <v>289</v>
      </c>
      <c r="H1290" s="15">
        <v>227.17</v>
      </c>
      <c r="I1290" s="15">
        <v>213.43</v>
      </c>
      <c r="J1290" s="7" t="str">
        <f>IFERROR(_xlfn.XLOOKUP(F1290,ccustos!A:A,ccustos!B:B),"Sem termo")</f>
        <v>SEPROT</v>
      </c>
    </row>
    <row r="1291" spans="1:10" ht="25.5" customHeight="1" x14ac:dyDescent="0.25">
      <c r="A1291" s="16">
        <v>11972</v>
      </c>
      <c r="B1291" s="17" t="s">
        <v>236</v>
      </c>
      <c r="C1291" s="17" t="s">
        <v>237</v>
      </c>
      <c r="D1291" s="17" t="s">
        <v>967</v>
      </c>
      <c r="E1291" s="17" t="s">
        <v>239</v>
      </c>
      <c r="F1291" s="17" t="s">
        <v>0</v>
      </c>
      <c r="G1291" s="17" t="s">
        <v>246</v>
      </c>
      <c r="H1291" s="18">
        <v>165</v>
      </c>
      <c r="I1291" s="18">
        <v>173.7</v>
      </c>
      <c r="J1291" s="7" t="str">
        <f>IFERROR(_xlfn.XLOOKUP(F1291,ccustos!A:A,ccustos!B:B),"Sem termo")</f>
        <v>SEPAT</v>
      </c>
    </row>
    <row r="1292" spans="1:10" ht="25.5" customHeight="1" x14ac:dyDescent="0.25">
      <c r="A1292" s="14">
        <v>11973</v>
      </c>
      <c r="B1292" s="7" t="s">
        <v>236</v>
      </c>
      <c r="C1292" s="7" t="s">
        <v>612</v>
      </c>
      <c r="D1292" s="7" t="s">
        <v>968</v>
      </c>
      <c r="E1292" s="7" t="s">
        <v>335</v>
      </c>
      <c r="F1292" s="7" t="s">
        <v>6</v>
      </c>
      <c r="G1292" s="7" t="s">
        <v>960</v>
      </c>
      <c r="H1292" s="15">
        <v>1191.6500000000001</v>
      </c>
      <c r="I1292" s="15">
        <v>728.2</v>
      </c>
      <c r="J1292" s="7" t="str">
        <f>IFERROR(_xlfn.XLOOKUP(F1292,ccustos!A:A,ccustos!B:B),"Sem termo")</f>
        <v>SEPAT</v>
      </c>
    </row>
    <row r="1293" spans="1:10" ht="25.5" customHeight="1" x14ac:dyDescent="0.25">
      <c r="A1293" s="16">
        <v>11974</v>
      </c>
      <c r="B1293" s="17" t="s">
        <v>236</v>
      </c>
      <c r="C1293" s="17" t="s">
        <v>333</v>
      </c>
      <c r="D1293" s="17" t="s">
        <v>969</v>
      </c>
      <c r="E1293" s="17" t="s">
        <v>335</v>
      </c>
      <c r="F1293" s="17" t="s">
        <v>6</v>
      </c>
      <c r="G1293" s="17" t="s">
        <v>336</v>
      </c>
      <c r="H1293" s="18">
        <v>750</v>
      </c>
      <c r="I1293" s="18">
        <v>47.25</v>
      </c>
      <c r="J1293" s="7" t="str">
        <f>IFERROR(_xlfn.XLOOKUP(F1293,ccustos!A:A,ccustos!B:B),"Sem termo")</f>
        <v>SEPAT</v>
      </c>
    </row>
    <row r="1294" spans="1:10" ht="25.5" customHeight="1" x14ac:dyDescent="0.25">
      <c r="A1294" s="14">
        <v>11976</v>
      </c>
      <c r="B1294" s="7" t="s">
        <v>236</v>
      </c>
      <c r="C1294" s="7" t="s">
        <v>241</v>
      </c>
      <c r="D1294" s="7" t="s">
        <v>362</v>
      </c>
      <c r="E1294" s="7" t="s">
        <v>239</v>
      </c>
      <c r="F1294" s="7" t="s">
        <v>6</v>
      </c>
      <c r="G1294" s="7" t="s">
        <v>331</v>
      </c>
      <c r="H1294" s="15">
        <v>232</v>
      </c>
      <c r="I1294" s="15">
        <v>73.680000000000007</v>
      </c>
      <c r="J1294" s="7" t="str">
        <f>IFERROR(_xlfn.XLOOKUP(F1294,ccustos!A:A,ccustos!B:B),"Sem termo")</f>
        <v>SEPAT</v>
      </c>
    </row>
    <row r="1295" spans="1:10" ht="25.5" customHeight="1" x14ac:dyDescent="0.25">
      <c r="A1295" s="16">
        <v>11977</v>
      </c>
      <c r="B1295" s="17" t="s">
        <v>236</v>
      </c>
      <c r="C1295" s="17" t="s">
        <v>237</v>
      </c>
      <c r="D1295" s="17" t="s">
        <v>277</v>
      </c>
      <c r="E1295" s="17" t="s">
        <v>239</v>
      </c>
      <c r="F1295" s="17" t="s">
        <v>14</v>
      </c>
      <c r="G1295" s="17" t="s">
        <v>278</v>
      </c>
      <c r="H1295" s="18">
        <v>201.3</v>
      </c>
      <c r="I1295" s="18">
        <v>173.7</v>
      </c>
      <c r="J1295" s="7" t="str">
        <f>IFERROR(_xlfn.XLOOKUP(F1295,ccustos!A:A,ccustos!B:B),"Sem termo")</f>
        <v>SEPAT</v>
      </c>
    </row>
    <row r="1296" spans="1:10" ht="25.5" customHeight="1" x14ac:dyDescent="0.25">
      <c r="A1296" s="14">
        <v>11982</v>
      </c>
      <c r="B1296" s="7" t="s">
        <v>236</v>
      </c>
      <c r="C1296" s="7" t="s">
        <v>241</v>
      </c>
      <c r="D1296" s="7" t="s">
        <v>790</v>
      </c>
      <c r="E1296" s="7" t="s">
        <v>239</v>
      </c>
      <c r="F1296" s="7" t="s">
        <v>205</v>
      </c>
      <c r="G1296" s="7" t="s">
        <v>781</v>
      </c>
      <c r="H1296" s="15">
        <v>0.05</v>
      </c>
      <c r="I1296" s="15">
        <v>424.03</v>
      </c>
      <c r="J1296" s="7" t="str">
        <f>IFERROR(_xlfn.XLOOKUP(F1296,ccustos!A:A,ccustos!B:B),"Sem termo")</f>
        <v>CCOM</v>
      </c>
    </row>
    <row r="1297" spans="1:10" ht="25.5" customHeight="1" x14ac:dyDescent="0.25">
      <c r="A1297" s="16">
        <v>11985</v>
      </c>
      <c r="B1297" s="17" t="s">
        <v>236</v>
      </c>
      <c r="C1297" s="17" t="s">
        <v>241</v>
      </c>
      <c r="D1297" s="17" t="s">
        <v>970</v>
      </c>
      <c r="E1297" s="17" t="s">
        <v>239</v>
      </c>
      <c r="F1297" s="17" t="s">
        <v>24</v>
      </c>
      <c r="G1297" s="17" t="s">
        <v>329</v>
      </c>
      <c r="H1297" s="18">
        <v>600</v>
      </c>
      <c r="I1297" s="18">
        <v>376.92</v>
      </c>
      <c r="J1297" s="7" t="str">
        <f>IFERROR(_xlfn.XLOOKUP(F1297,ccustos!A:A,ccustos!B:B),"Sem termo")</f>
        <v>DEINFRA</v>
      </c>
    </row>
    <row r="1298" spans="1:10" ht="25.5" customHeight="1" x14ac:dyDescent="0.25">
      <c r="A1298" s="14">
        <v>11987</v>
      </c>
      <c r="B1298" s="7" t="s">
        <v>236</v>
      </c>
      <c r="C1298" s="7" t="s">
        <v>241</v>
      </c>
      <c r="D1298" s="7" t="s">
        <v>362</v>
      </c>
      <c r="E1298" s="7" t="s">
        <v>239</v>
      </c>
      <c r="F1298" s="7" t="s">
        <v>24</v>
      </c>
      <c r="G1298" s="7" t="s">
        <v>331</v>
      </c>
      <c r="H1298" s="15">
        <v>232</v>
      </c>
      <c r="I1298" s="15">
        <v>73.680000000000007</v>
      </c>
      <c r="J1298" s="7" t="str">
        <f>IFERROR(_xlfn.XLOOKUP(F1298,ccustos!A:A,ccustos!B:B),"Sem termo")</f>
        <v>DEINFRA</v>
      </c>
    </row>
    <row r="1299" spans="1:10" ht="25.5" customHeight="1" x14ac:dyDescent="0.25">
      <c r="A1299" s="16">
        <v>11997</v>
      </c>
      <c r="B1299" s="17" t="s">
        <v>236</v>
      </c>
      <c r="C1299" s="17" t="s">
        <v>327</v>
      </c>
      <c r="D1299" s="17" t="s">
        <v>971</v>
      </c>
      <c r="E1299" s="17" t="s">
        <v>239</v>
      </c>
      <c r="F1299" s="17" t="s">
        <v>0</v>
      </c>
      <c r="G1299" s="17" t="s">
        <v>329</v>
      </c>
      <c r="H1299" s="18">
        <v>480</v>
      </c>
      <c r="I1299" s="18">
        <v>0</v>
      </c>
      <c r="J1299" s="7" t="str">
        <f>IFERROR(_xlfn.XLOOKUP(F1299,ccustos!A:A,ccustos!B:B),"Sem termo")</f>
        <v>SEPAT</v>
      </c>
    </row>
    <row r="1300" spans="1:10" ht="25.5" customHeight="1" x14ac:dyDescent="0.25">
      <c r="A1300" s="14">
        <v>11998</v>
      </c>
      <c r="B1300" s="7" t="s">
        <v>236</v>
      </c>
      <c r="C1300" s="7" t="s">
        <v>237</v>
      </c>
      <c r="D1300" s="7" t="s">
        <v>550</v>
      </c>
      <c r="E1300" s="7" t="s">
        <v>239</v>
      </c>
      <c r="F1300" s="7" t="s">
        <v>0</v>
      </c>
      <c r="G1300" s="7" t="s">
        <v>280</v>
      </c>
      <c r="H1300" s="15">
        <v>565.46</v>
      </c>
      <c r="I1300" s="15">
        <v>0</v>
      </c>
      <c r="J1300" s="7" t="str">
        <f>IFERROR(_xlfn.XLOOKUP(F1300,ccustos!A:A,ccustos!B:B),"Sem termo")</f>
        <v>SEPAT</v>
      </c>
    </row>
    <row r="1301" spans="1:10" ht="25.5" customHeight="1" x14ac:dyDescent="0.25">
      <c r="A1301" s="16">
        <v>11999</v>
      </c>
      <c r="B1301" s="17" t="s">
        <v>236</v>
      </c>
      <c r="C1301" s="17" t="s">
        <v>722</v>
      </c>
      <c r="D1301" s="17" t="s">
        <v>972</v>
      </c>
      <c r="E1301" s="17" t="s">
        <v>239</v>
      </c>
      <c r="F1301" s="17" t="s">
        <v>2</v>
      </c>
      <c r="G1301" s="17" t="s">
        <v>973</v>
      </c>
      <c r="H1301" s="18">
        <v>84000</v>
      </c>
      <c r="I1301" s="18">
        <v>6871.35</v>
      </c>
      <c r="J1301" s="7" t="str">
        <f>IFERROR(_xlfn.XLOOKUP(F1301,ccustos!A:A,ccustos!B:B),"Sem termo")</f>
        <v>SEGED</v>
      </c>
    </row>
    <row r="1302" spans="1:10" ht="25.5" customHeight="1" x14ac:dyDescent="0.25">
      <c r="A1302" s="14">
        <v>12000</v>
      </c>
      <c r="B1302" s="7" t="s">
        <v>236</v>
      </c>
      <c r="C1302" s="7" t="s">
        <v>399</v>
      </c>
      <c r="D1302" s="7" t="s">
        <v>974</v>
      </c>
      <c r="E1302" s="7" t="s">
        <v>239</v>
      </c>
      <c r="F1302" s="7" t="s">
        <v>2</v>
      </c>
      <c r="G1302" s="7" t="s">
        <v>975</v>
      </c>
      <c r="H1302" s="15">
        <v>49.9</v>
      </c>
      <c r="I1302" s="15">
        <v>64.86</v>
      </c>
      <c r="J1302" s="7" t="str">
        <f>IFERROR(_xlfn.XLOOKUP(F1302,ccustos!A:A,ccustos!B:B),"Sem termo")</f>
        <v>SEGED</v>
      </c>
    </row>
    <row r="1303" spans="1:10" ht="25.5" customHeight="1" x14ac:dyDescent="0.25">
      <c r="A1303" s="16">
        <v>12001</v>
      </c>
      <c r="B1303" s="17" t="s">
        <v>236</v>
      </c>
      <c r="C1303" s="17" t="s">
        <v>333</v>
      </c>
      <c r="D1303" s="17" t="s">
        <v>976</v>
      </c>
      <c r="E1303" s="17" t="s">
        <v>335</v>
      </c>
      <c r="F1303" s="17" t="s">
        <v>27</v>
      </c>
      <c r="G1303" s="17" t="s">
        <v>348</v>
      </c>
      <c r="H1303" s="18">
        <v>618.41999999999996</v>
      </c>
      <c r="I1303" s="18">
        <v>111.89</v>
      </c>
      <c r="J1303" s="7" t="str">
        <f>IFERROR(_xlfn.XLOOKUP(F1303,ccustos!A:A,ccustos!B:B),"Sem termo")</f>
        <v>CCI</v>
      </c>
    </row>
    <row r="1304" spans="1:10" ht="25.5" customHeight="1" x14ac:dyDescent="0.25">
      <c r="A1304" s="14">
        <v>12003</v>
      </c>
      <c r="B1304" s="7" t="s">
        <v>236</v>
      </c>
      <c r="C1304" s="7" t="s">
        <v>241</v>
      </c>
      <c r="D1304" s="7" t="s">
        <v>977</v>
      </c>
      <c r="E1304" s="7" t="s">
        <v>239</v>
      </c>
      <c r="F1304" s="7" t="s">
        <v>37</v>
      </c>
      <c r="G1304" s="7" t="s">
        <v>329</v>
      </c>
      <c r="H1304" s="15">
        <v>600</v>
      </c>
      <c r="I1304" s="15">
        <v>376.92</v>
      </c>
      <c r="J1304" s="7" t="str">
        <f>IFERROR(_xlfn.XLOOKUP(F1304,ccustos!A:A,ccustos!B:B),"Sem termo")</f>
        <v>PROJUR</v>
      </c>
    </row>
    <row r="1305" spans="1:10" ht="25.5" customHeight="1" x14ac:dyDescent="0.25">
      <c r="A1305" s="16">
        <v>12004</v>
      </c>
      <c r="B1305" s="17" t="s">
        <v>236</v>
      </c>
      <c r="C1305" s="17" t="s">
        <v>241</v>
      </c>
      <c r="D1305" s="17" t="s">
        <v>978</v>
      </c>
      <c r="E1305" s="17" t="s">
        <v>239</v>
      </c>
      <c r="F1305" s="17" t="s">
        <v>60</v>
      </c>
      <c r="G1305" s="17" t="s">
        <v>553</v>
      </c>
      <c r="H1305" s="18">
        <v>474.88</v>
      </c>
      <c r="I1305" s="18">
        <v>141.34</v>
      </c>
      <c r="J1305" s="7" t="str">
        <f>IFERROR(_xlfn.XLOOKUP(F1305,ccustos!A:A,ccustos!B:B),"Sem termo")</f>
        <v>DEGEP</v>
      </c>
    </row>
    <row r="1306" spans="1:10" ht="25.5" customHeight="1" x14ac:dyDescent="0.25">
      <c r="A1306" s="14">
        <v>12008</v>
      </c>
      <c r="B1306" s="7" t="s">
        <v>236</v>
      </c>
      <c r="C1306" s="7" t="s">
        <v>333</v>
      </c>
      <c r="D1306" s="7" t="s">
        <v>979</v>
      </c>
      <c r="E1306" s="7" t="s">
        <v>335</v>
      </c>
      <c r="F1306" s="7" t="s">
        <v>205</v>
      </c>
      <c r="G1306" s="7" t="s">
        <v>336</v>
      </c>
      <c r="H1306" s="15">
        <v>750</v>
      </c>
      <c r="I1306" s="15">
        <v>111.58</v>
      </c>
      <c r="J1306" s="7" t="str">
        <f>IFERROR(_xlfn.XLOOKUP(F1306,ccustos!A:A,ccustos!B:B),"Sem termo")</f>
        <v>CCOM</v>
      </c>
    </row>
    <row r="1307" spans="1:10" ht="25.5" customHeight="1" x14ac:dyDescent="0.25">
      <c r="A1307" s="16">
        <v>12009</v>
      </c>
      <c r="B1307" s="17" t="s">
        <v>236</v>
      </c>
      <c r="C1307" s="17" t="s">
        <v>241</v>
      </c>
      <c r="D1307" s="17" t="s">
        <v>980</v>
      </c>
      <c r="E1307" s="17" t="s">
        <v>239</v>
      </c>
      <c r="F1307" s="17" t="s">
        <v>19</v>
      </c>
      <c r="G1307" s="17" t="s">
        <v>287</v>
      </c>
      <c r="H1307" s="18">
        <v>651</v>
      </c>
      <c r="I1307" s="18">
        <v>141.34</v>
      </c>
      <c r="J1307" s="7" t="str">
        <f>IFERROR(_xlfn.XLOOKUP(F1307,ccustos!A:A,ccustos!B:B),"Sem termo")</f>
        <v>SEGED</v>
      </c>
    </row>
    <row r="1308" spans="1:10" ht="25.5" customHeight="1" x14ac:dyDescent="0.25">
      <c r="A1308" s="14">
        <v>12011</v>
      </c>
      <c r="B1308" s="7" t="s">
        <v>236</v>
      </c>
      <c r="C1308" s="7" t="s">
        <v>337</v>
      </c>
      <c r="D1308" s="7" t="s">
        <v>349</v>
      </c>
      <c r="E1308" s="7" t="s">
        <v>239</v>
      </c>
      <c r="F1308" s="7" t="s">
        <v>19</v>
      </c>
      <c r="G1308" s="7" t="s">
        <v>350</v>
      </c>
      <c r="H1308" s="15">
        <v>227.27</v>
      </c>
      <c r="I1308" s="15">
        <v>498</v>
      </c>
      <c r="J1308" s="7" t="str">
        <f>IFERROR(_xlfn.XLOOKUP(F1308,ccustos!A:A,ccustos!B:B),"Sem termo")</f>
        <v>SEGED</v>
      </c>
    </row>
    <row r="1309" spans="1:10" ht="25.5" customHeight="1" x14ac:dyDescent="0.25">
      <c r="A1309" s="16">
        <v>12012</v>
      </c>
      <c r="B1309" s="17" t="s">
        <v>236</v>
      </c>
      <c r="C1309" s="17" t="s">
        <v>241</v>
      </c>
      <c r="D1309" s="17" t="s">
        <v>981</v>
      </c>
      <c r="E1309" s="17" t="s">
        <v>239</v>
      </c>
      <c r="F1309" s="17" t="s">
        <v>6</v>
      </c>
      <c r="G1309" s="17" t="s">
        <v>964</v>
      </c>
      <c r="H1309" s="18">
        <v>167</v>
      </c>
      <c r="I1309" s="18">
        <v>141.34</v>
      </c>
      <c r="J1309" s="7" t="str">
        <f>IFERROR(_xlfn.XLOOKUP(F1309,ccustos!A:A,ccustos!B:B),"Sem termo")</f>
        <v>SEPAT</v>
      </c>
    </row>
    <row r="1310" spans="1:10" ht="36.75" customHeight="1" x14ac:dyDescent="0.25">
      <c r="A1310" s="14">
        <v>12014</v>
      </c>
      <c r="B1310" s="7" t="s">
        <v>236</v>
      </c>
      <c r="C1310" s="7" t="s">
        <v>241</v>
      </c>
      <c r="D1310" s="7" t="s">
        <v>982</v>
      </c>
      <c r="E1310" s="7" t="s">
        <v>239</v>
      </c>
      <c r="F1310" s="7" t="s">
        <v>205</v>
      </c>
      <c r="G1310" s="7" t="s">
        <v>329</v>
      </c>
      <c r="H1310" s="15">
        <v>160</v>
      </c>
      <c r="I1310" s="15">
        <v>365.87</v>
      </c>
      <c r="J1310" s="7" t="str">
        <f>IFERROR(_xlfn.XLOOKUP(F1310,ccustos!A:A,ccustos!B:B),"Sem termo")</f>
        <v>CCOM</v>
      </c>
    </row>
    <row r="1311" spans="1:10" ht="36.75" customHeight="1" x14ac:dyDescent="0.25">
      <c r="A1311" s="16">
        <v>12016</v>
      </c>
      <c r="B1311" s="17" t="s">
        <v>236</v>
      </c>
      <c r="C1311" s="17" t="s">
        <v>399</v>
      </c>
      <c r="D1311" s="17" t="s">
        <v>841</v>
      </c>
      <c r="E1311" s="17" t="s">
        <v>239</v>
      </c>
      <c r="F1311" s="17" t="s">
        <v>6</v>
      </c>
      <c r="G1311" s="17" t="s">
        <v>843</v>
      </c>
      <c r="H1311" s="18">
        <v>45</v>
      </c>
      <c r="I1311" s="18">
        <v>64.86</v>
      </c>
      <c r="J1311" s="7" t="str">
        <f>IFERROR(_xlfn.XLOOKUP(F1311,ccustos!A:A,ccustos!B:B),"Sem termo")</f>
        <v>SEPAT</v>
      </c>
    </row>
    <row r="1312" spans="1:10" ht="36.75" customHeight="1" x14ac:dyDescent="0.25">
      <c r="A1312" s="14">
        <v>12017</v>
      </c>
      <c r="B1312" s="7" t="s">
        <v>236</v>
      </c>
      <c r="C1312" s="7" t="s">
        <v>399</v>
      </c>
      <c r="D1312" s="7"/>
      <c r="E1312" s="7" t="s">
        <v>239</v>
      </c>
      <c r="F1312" s="7" t="s">
        <v>0</v>
      </c>
      <c r="G1312" s="7" t="s">
        <v>725</v>
      </c>
      <c r="H1312" s="15">
        <v>145</v>
      </c>
      <c r="I1312" s="15">
        <v>45.52</v>
      </c>
      <c r="J1312" s="7" t="str">
        <f>IFERROR(_xlfn.XLOOKUP(F1312,ccustos!A:A,ccustos!B:B),"Sem termo")</f>
        <v>SEPAT</v>
      </c>
    </row>
    <row r="1313" spans="1:10" ht="25.5" customHeight="1" x14ac:dyDescent="0.25">
      <c r="A1313" s="16">
        <v>12018</v>
      </c>
      <c r="B1313" s="17" t="s">
        <v>236</v>
      </c>
      <c r="C1313" s="17" t="s">
        <v>399</v>
      </c>
      <c r="D1313" s="17" t="s">
        <v>841</v>
      </c>
      <c r="E1313" s="17" t="s">
        <v>239</v>
      </c>
      <c r="F1313" s="17" t="s">
        <v>0</v>
      </c>
      <c r="G1313" s="17" t="s">
        <v>842</v>
      </c>
      <c r="H1313" s="18">
        <v>45</v>
      </c>
      <c r="I1313" s="18">
        <v>64.86</v>
      </c>
      <c r="J1313" s="7" t="str">
        <f>IFERROR(_xlfn.XLOOKUP(F1313,ccustos!A:A,ccustos!B:B),"Sem termo")</f>
        <v>SEPAT</v>
      </c>
    </row>
    <row r="1314" spans="1:10" ht="25.5" customHeight="1" x14ac:dyDescent="0.25">
      <c r="A1314" s="14">
        <v>12019</v>
      </c>
      <c r="B1314" s="7" t="s">
        <v>236</v>
      </c>
      <c r="C1314" s="7" t="s">
        <v>399</v>
      </c>
      <c r="D1314" s="7" t="s">
        <v>841</v>
      </c>
      <c r="E1314" s="7" t="s">
        <v>239</v>
      </c>
      <c r="F1314" s="7" t="s">
        <v>6</v>
      </c>
      <c r="G1314" s="7" t="s">
        <v>843</v>
      </c>
      <c r="H1314" s="15">
        <v>45</v>
      </c>
      <c r="I1314" s="15">
        <v>64.86</v>
      </c>
      <c r="J1314" s="7" t="str">
        <f>IFERROR(_xlfn.XLOOKUP(F1314,ccustos!A:A,ccustos!B:B),"Sem termo")</f>
        <v>SEPAT</v>
      </c>
    </row>
    <row r="1315" spans="1:10" ht="25.5" customHeight="1" x14ac:dyDescent="0.25">
      <c r="A1315" s="16">
        <v>12020</v>
      </c>
      <c r="B1315" s="17" t="s">
        <v>236</v>
      </c>
      <c r="C1315" s="17" t="s">
        <v>399</v>
      </c>
      <c r="D1315" s="17" t="s">
        <v>841</v>
      </c>
      <c r="E1315" s="17" t="s">
        <v>239</v>
      </c>
      <c r="F1315" s="17" t="s">
        <v>6</v>
      </c>
      <c r="G1315" s="17" t="s">
        <v>843</v>
      </c>
      <c r="H1315" s="18">
        <v>45</v>
      </c>
      <c r="I1315" s="18">
        <v>64.86</v>
      </c>
      <c r="J1315" s="7" t="str">
        <f>IFERROR(_xlfn.XLOOKUP(F1315,ccustos!A:A,ccustos!B:B),"Sem termo")</f>
        <v>SEPAT</v>
      </c>
    </row>
    <row r="1316" spans="1:10" ht="25.5" customHeight="1" x14ac:dyDescent="0.25">
      <c r="A1316" s="14">
        <v>12021</v>
      </c>
      <c r="B1316" s="7" t="s">
        <v>236</v>
      </c>
      <c r="C1316" s="7" t="s">
        <v>399</v>
      </c>
      <c r="D1316" s="7" t="s">
        <v>974</v>
      </c>
      <c r="E1316" s="7" t="s">
        <v>239</v>
      </c>
      <c r="F1316" s="7" t="s">
        <v>6</v>
      </c>
      <c r="G1316" s="7" t="s">
        <v>975</v>
      </c>
      <c r="H1316" s="15">
        <v>49.9</v>
      </c>
      <c r="I1316" s="15">
        <v>64.86</v>
      </c>
      <c r="J1316" s="7" t="str">
        <f>IFERROR(_xlfn.XLOOKUP(F1316,ccustos!A:A,ccustos!B:B),"Sem termo")</f>
        <v>SEPAT</v>
      </c>
    </row>
    <row r="1317" spans="1:10" ht="25.5" customHeight="1" x14ac:dyDescent="0.25">
      <c r="A1317" s="16">
        <v>12022</v>
      </c>
      <c r="B1317" s="17" t="s">
        <v>236</v>
      </c>
      <c r="C1317" s="17" t="s">
        <v>399</v>
      </c>
      <c r="D1317" s="17" t="s">
        <v>974</v>
      </c>
      <c r="E1317" s="17" t="s">
        <v>239</v>
      </c>
      <c r="F1317" s="17" t="s">
        <v>0</v>
      </c>
      <c r="G1317" s="17" t="s">
        <v>975</v>
      </c>
      <c r="H1317" s="18">
        <v>49.9</v>
      </c>
      <c r="I1317" s="18">
        <v>64.86</v>
      </c>
      <c r="J1317" s="7" t="str">
        <f>IFERROR(_xlfn.XLOOKUP(F1317,ccustos!A:A,ccustos!B:B),"Sem termo")</f>
        <v>SEPAT</v>
      </c>
    </row>
    <row r="1318" spans="1:10" ht="25.5" customHeight="1" x14ac:dyDescent="0.25">
      <c r="A1318" s="14">
        <v>12023</v>
      </c>
      <c r="B1318" s="7" t="s">
        <v>236</v>
      </c>
      <c r="C1318" s="7" t="s">
        <v>399</v>
      </c>
      <c r="D1318" s="7" t="s">
        <v>974</v>
      </c>
      <c r="E1318" s="7" t="s">
        <v>239</v>
      </c>
      <c r="F1318" s="7" t="s">
        <v>0</v>
      </c>
      <c r="G1318" s="7" t="s">
        <v>975</v>
      </c>
      <c r="H1318" s="15">
        <v>49.9</v>
      </c>
      <c r="I1318" s="15">
        <v>64.86</v>
      </c>
      <c r="J1318" s="7" t="str">
        <f>IFERROR(_xlfn.XLOOKUP(F1318,ccustos!A:A,ccustos!B:B),"Sem termo")</f>
        <v>SEPAT</v>
      </c>
    </row>
    <row r="1319" spans="1:10" ht="25.5" customHeight="1" x14ac:dyDescent="0.25">
      <c r="A1319" s="16">
        <v>12024</v>
      </c>
      <c r="B1319" s="17" t="s">
        <v>236</v>
      </c>
      <c r="C1319" s="17" t="s">
        <v>399</v>
      </c>
      <c r="D1319" s="17" t="s">
        <v>841</v>
      </c>
      <c r="E1319" s="17" t="s">
        <v>239</v>
      </c>
      <c r="F1319" s="17" t="s">
        <v>0</v>
      </c>
      <c r="G1319" s="17" t="s">
        <v>843</v>
      </c>
      <c r="H1319" s="18">
        <v>45</v>
      </c>
      <c r="I1319" s="18">
        <v>64.86</v>
      </c>
      <c r="J1319" s="7" t="str">
        <f>IFERROR(_xlfn.XLOOKUP(F1319,ccustos!A:A,ccustos!B:B),"Sem termo")</f>
        <v>SEPAT</v>
      </c>
    </row>
    <row r="1320" spans="1:10" ht="25.5" customHeight="1" x14ac:dyDescent="0.25">
      <c r="A1320" s="14">
        <v>12025</v>
      </c>
      <c r="B1320" s="7" t="s">
        <v>236</v>
      </c>
      <c r="C1320" s="7" t="s">
        <v>399</v>
      </c>
      <c r="D1320" s="7" t="s">
        <v>841</v>
      </c>
      <c r="E1320" s="7" t="s">
        <v>239</v>
      </c>
      <c r="F1320" s="7" t="s">
        <v>19</v>
      </c>
      <c r="G1320" s="7" t="s">
        <v>843</v>
      </c>
      <c r="H1320" s="15">
        <v>45</v>
      </c>
      <c r="I1320" s="15">
        <v>64.86</v>
      </c>
      <c r="J1320" s="7" t="str">
        <f>IFERROR(_xlfn.XLOOKUP(F1320,ccustos!A:A,ccustos!B:B),"Sem termo")</f>
        <v>SEGED</v>
      </c>
    </row>
    <row r="1321" spans="1:10" ht="25.5" customHeight="1" x14ac:dyDescent="0.25">
      <c r="A1321" s="16">
        <v>12026</v>
      </c>
      <c r="B1321" s="17" t="s">
        <v>236</v>
      </c>
      <c r="C1321" s="17" t="s">
        <v>399</v>
      </c>
      <c r="D1321" s="17" t="s">
        <v>974</v>
      </c>
      <c r="E1321" s="17" t="s">
        <v>239</v>
      </c>
      <c r="F1321" s="17" t="s">
        <v>19</v>
      </c>
      <c r="G1321" s="17" t="s">
        <v>975</v>
      </c>
      <c r="H1321" s="18">
        <v>49.9</v>
      </c>
      <c r="I1321" s="18">
        <v>64.86</v>
      </c>
      <c r="J1321" s="7" t="str">
        <f>IFERROR(_xlfn.XLOOKUP(F1321,ccustos!A:A,ccustos!B:B),"Sem termo")</f>
        <v>SEGED</v>
      </c>
    </row>
    <row r="1322" spans="1:10" ht="25.5" customHeight="1" x14ac:dyDescent="0.25">
      <c r="A1322" s="14">
        <v>12027</v>
      </c>
      <c r="B1322" s="7" t="s">
        <v>236</v>
      </c>
      <c r="C1322" s="7" t="s">
        <v>399</v>
      </c>
      <c r="D1322" s="7" t="s">
        <v>974</v>
      </c>
      <c r="E1322" s="7" t="s">
        <v>239</v>
      </c>
      <c r="F1322" s="7" t="s">
        <v>19</v>
      </c>
      <c r="G1322" s="7" t="s">
        <v>975</v>
      </c>
      <c r="H1322" s="15">
        <v>49.9</v>
      </c>
      <c r="I1322" s="15">
        <v>64.86</v>
      </c>
      <c r="J1322" s="7" t="str">
        <f>IFERROR(_xlfn.XLOOKUP(F1322,ccustos!A:A,ccustos!B:B),"Sem termo")</f>
        <v>SEGED</v>
      </c>
    </row>
    <row r="1323" spans="1:10" ht="25.5" customHeight="1" x14ac:dyDescent="0.25">
      <c r="A1323" s="16">
        <v>12028</v>
      </c>
      <c r="B1323" s="17" t="s">
        <v>236</v>
      </c>
      <c r="C1323" s="17" t="s">
        <v>399</v>
      </c>
      <c r="D1323" s="17" t="s">
        <v>974</v>
      </c>
      <c r="E1323" s="17" t="s">
        <v>239</v>
      </c>
      <c r="F1323" s="17" t="s">
        <v>19</v>
      </c>
      <c r="G1323" s="17" t="s">
        <v>975</v>
      </c>
      <c r="H1323" s="18">
        <v>49.9</v>
      </c>
      <c r="I1323" s="18">
        <v>64.86</v>
      </c>
      <c r="J1323" s="7" t="str">
        <f>IFERROR(_xlfn.XLOOKUP(F1323,ccustos!A:A,ccustos!B:B),"Sem termo")</f>
        <v>SEGED</v>
      </c>
    </row>
    <row r="1324" spans="1:10" ht="36.75" customHeight="1" x14ac:dyDescent="0.25">
      <c r="A1324" s="14">
        <v>12029</v>
      </c>
      <c r="B1324" s="7" t="s">
        <v>236</v>
      </c>
      <c r="C1324" s="7" t="s">
        <v>399</v>
      </c>
      <c r="D1324" s="7" t="s">
        <v>841</v>
      </c>
      <c r="E1324" s="7" t="s">
        <v>239</v>
      </c>
      <c r="F1324" s="7" t="s">
        <v>6</v>
      </c>
      <c r="G1324" s="7" t="s">
        <v>843</v>
      </c>
      <c r="H1324" s="15">
        <v>45</v>
      </c>
      <c r="I1324" s="15">
        <v>64.86</v>
      </c>
      <c r="J1324" s="7" t="str">
        <f>IFERROR(_xlfn.XLOOKUP(F1324,ccustos!A:A,ccustos!B:B),"Sem termo")</f>
        <v>SEPAT</v>
      </c>
    </row>
    <row r="1325" spans="1:10" ht="25.5" customHeight="1" x14ac:dyDescent="0.25">
      <c r="A1325" s="16">
        <v>12030</v>
      </c>
      <c r="B1325" s="17" t="s">
        <v>236</v>
      </c>
      <c r="C1325" s="17" t="s">
        <v>399</v>
      </c>
      <c r="D1325" s="17" t="s">
        <v>841</v>
      </c>
      <c r="E1325" s="17" t="s">
        <v>239</v>
      </c>
      <c r="F1325" s="17" t="s">
        <v>19</v>
      </c>
      <c r="G1325" s="17" t="s">
        <v>842</v>
      </c>
      <c r="H1325" s="18">
        <v>45</v>
      </c>
      <c r="I1325" s="18">
        <v>64.86</v>
      </c>
      <c r="J1325" s="7" t="str">
        <f>IFERROR(_xlfn.XLOOKUP(F1325,ccustos!A:A,ccustos!B:B),"Sem termo")</f>
        <v>SEGED</v>
      </c>
    </row>
    <row r="1326" spans="1:10" ht="25.5" customHeight="1" x14ac:dyDescent="0.25">
      <c r="A1326" s="14">
        <v>12031</v>
      </c>
      <c r="B1326" s="7" t="s">
        <v>236</v>
      </c>
      <c r="C1326" s="7" t="s">
        <v>399</v>
      </c>
      <c r="D1326" s="7" t="s">
        <v>841</v>
      </c>
      <c r="E1326" s="7" t="s">
        <v>239</v>
      </c>
      <c r="F1326" s="7" t="s">
        <v>19</v>
      </c>
      <c r="G1326" s="7" t="s">
        <v>843</v>
      </c>
      <c r="H1326" s="15">
        <v>45</v>
      </c>
      <c r="I1326" s="15">
        <v>64.86</v>
      </c>
      <c r="J1326" s="7" t="str">
        <f>IFERROR(_xlfn.XLOOKUP(F1326,ccustos!A:A,ccustos!B:B),"Sem termo")</f>
        <v>SEGED</v>
      </c>
    </row>
    <row r="1327" spans="1:10" ht="25.5" customHeight="1" x14ac:dyDescent="0.25">
      <c r="A1327" s="16">
        <v>12032</v>
      </c>
      <c r="B1327" s="17" t="s">
        <v>236</v>
      </c>
      <c r="C1327" s="17" t="s">
        <v>399</v>
      </c>
      <c r="D1327" s="17" t="s">
        <v>841</v>
      </c>
      <c r="E1327" s="17" t="s">
        <v>239</v>
      </c>
      <c r="F1327" s="17" t="s">
        <v>19</v>
      </c>
      <c r="G1327" s="17" t="s">
        <v>843</v>
      </c>
      <c r="H1327" s="18">
        <v>45</v>
      </c>
      <c r="I1327" s="18">
        <v>64.86</v>
      </c>
      <c r="J1327" s="7" t="str">
        <f>IFERROR(_xlfn.XLOOKUP(F1327,ccustos!A:A,ccustos!B:B),"Sem termo")</f>
        <v>SEGED</v>
      </c>
    </row>
    <row r="1328" spans="1:10" ht="25.5" customHeight="1" x14ac:dyDescent="0.25">
      <c r="A1328" s="14">
        <v>12033</v>
      </c>
      <c r="B1328" s="7" t="s">
        <v>236</v>
      </c>
      <c r="C1328" s="7" t="s">
        <v>399</v>
      </c>
      <c r="D1328" s="7" t="s">
        <v>841</v>
      </c>
      <c r="E1328" s="7" t="s">
        <v>239</v>
      </c>
      <c r="F1328" s="7" t="s">
        <v>19</v>
      </c>
      <c r="G1328" s="7" t="s">
        <v>842</v>
      </c>
      <c r="H1328" s="15">
        <v>45</v>
      </c>
      <c r="I1328" s="15">
        <v>64.86</v>
      </c>
      <c r="J1328" s="7" t="str">
        <f>IFERROR(_xlfn.XLOOKUP(F1328,ccustos!A:A,ccustos!B:B),"Sem termo")</f>
        <v>SEGED</v>
      </c>
    </row>
    <row r="1329" spans="1:10" ht="25.5" customHeight="1" x14ac:dyDescent="0.25">
      <c r="A1329" s="16">
        <v>12034</v>
      </c>
      <c r="B1329" s="17" t="s">
        <v>236</v>
      </c>
      <c r="C1329" s="17" t="s">
        <v>399</v>
      </c>
      <c r="D1329" s="17" t="s">
        <v>841</v>
      </c>
      <c r="E1329" s="17" t="s">
        <v>239</v>
      </c>
      <c r="F1329" s="17" t="s">
        <v>19</v>
      </c>
      <c r="G1329" s="17" t="s">
        <v>842</v>
      </c>
      <c r="H1329" s="18">
        <v>45</v>
      </c>
      <c r="I1329" s="18">
        <v>64.86</v>
      </c>
      <c r="J1329" s="7" t="str">
        <f>IFERROR(_xlfn.XLOOKUP(F1329,ccustos!A:A,ccustos!B:B),"Sem termo")</f>
        <v>SEGED</v>
      </c>
    </row>
    <row r="1330" spans="1:10" ht="25.5" customHeight="1" x14ac:dyDescent="0.25">
      <c r="A1330" s="14">
        <v>12035</v>
      </c>
      <c r="B1330" s="7" t="s">
        <v>236</v>
      </c>
      <c r="C1330" s="7" t="s">
        <v>399</v>
      </c>
      <c r="D1330" s="7" t="s">
        <v>841</v>
      </c>
      <c r="E1330" s="7" t="s">
        <v>239</v>
      </c>
      <c r="F1330" s="7" t="s">
        <v>0</v>
      </c>
      <c r="G1330" s="7" t="s">
        <v>842</v>
      </c>
      <c r="H1330" s="15">
        <v>45</v>
      </c>
      <c r="I1330" s="15">
        <v>64.86</v>
      </c>
      <c r="J1330" s="7" t="str">
        <f>IFERROR(_xlfn.XLOOKUP(F1330,ccustos!A:A,ccustos!B:B),"Sem termo")</f>
        <v>SEPAT</v>
      </c>
    </row>
    <row r="1331" spans="1:10" ht="36.75" customHeight="1" x14ac:dyDescent="0.25">
      <c r="A1331" s="16">
        <v>12036</v>
      </c>
      <c r="B1331" s="17" t="s">
        <v>236</v>
      </c>
      <c r="C1331" s="17" t="s">
        <v>399</v>
      </c>
      <c r="D1331" s="17" t="s">
        <v>841</v>
      </c>
      <c r="E1331" s="17" t="s">
        <v>239</v>
      </c>
      <c r="F1331" s="17" t="s">
        <v>19</v>
      </c>
      <c r="G1331" s="17" t="s">
        <v>842</v>
      </c>
      <c r="H1331" s="18">
        <v>45</v>
      </c>
      <c r="I1331" s="18">
        <v>64.86</v>
      </c>
      <c r="J1331" s="7" t="str">
        <f>IFERROR(_xlfn.XLOOKUP(F1331,ccustos!A:A,ccustos!B:B),"Sem termo")</f>
        <v>SEGED</v>
      </c>
    </row>
    <row r="1332" spans="1:10" ht="25.5" customHeight="1" x14ac:dyDescent="0.25">
      <c r="A1332" s="14">
        <v>12037</v>
      </c>
      <c r="B1332" s="7" t="s">
        <v>236</v>
      </c>
      <c r="C1332" s="7" t="s">
        <v>399</v>
      </c>
      <c r="D1332" s="7" t="s">
        <v>841</v>
      </c>
      <c r="E1332" s="7" t="s">
        <v>239</v>
      </c>
      <c r="F1332" s="7" t="s">
        <v>6</v>
      </c>
      <c r="G1332" s="7" t="s">
        <v>842</v>
      </c>
      <c r="H1332" s="15">
        <v>45</v>
      </c>
      <c r="I1332" s="15">
        <v>64.86</v>
      </c>
      <c r="J1332" s="7" t="str">
        <f>IFERROR(_xlfn.XLOOKUP(F1332,ccustos!A:A,ccustos!B:B),"Sem termo")</f>
        <v>SEPAT</v>
      </c>
    </row>
    <row r="1333" spans="1:10" ht="25.5" customHeight="1" x14ac:dyDescent="0.25">
      <c r="A1333" s="16">
        <v>12038</v>
      </c>
      <c r="B1333" s="17" t="s">
        <v>236</v>
      </c>
      <c r="C1333" s="17" t="s">
        <v>399</v>
      </c>
      <c r="D1333" s="17" t="s">
        <v>841</v>
      </c>
      <c r="E1333" s="17" t="s">
        <v>239</v>
      </c>
      <c r="F1333" s="17" t="s">
        <v>19</v>
      </c>
      <c r="G1333" s="17" t="s">
        <v>842</v>
      </c>
      <c r="H1333" s="18">
        <v>45</v>
      </c>
      <c r="I1333" s="18">
        <v>64.86</v>
      </c>
      <c r="J1333" s="7" t="str">
        <f>IFERROR(_xlfn.XLOOKUP(F1333,ccustos!A:A,ccustos!B:B),"Sem termo")</f>
        <v>SEGED</v>
      </c>
    </row>
    <row r="1334" spans="1:10" ht="25.5" customHeight="1" x14ac:dyDescent="0.25">
      <c r="A1334" s="14">
        <v>12039</v>
      </c>
      <c r="B1334" s="7" t="s">
        <v>236</v>
      </c>
      <c r="C1334" s="7" t="s">
        <v>399</v>
      </c>
      <c r="D1334" s="7" t="s">
        <v>841</v>
      </c>
      <c r="E1334" s="7" t="s">
        <v>239</v>
      </c>
      <c r="F1334" s="7" t="s">
        <v>19</v>
      </c>
      <c r="G1334" s="7" t="s">
        <v>843</v>
      </c>
      <c r="H1334" s="15">
        <v>45</v>
      </c>
      <c r="I1334" s="15">
        <v>64.86</v>
      </c>
      <c r="J1334" s="7" t="str">
        <f>IFERROR(_xlfn.XLOOKUP(F1334,ccustos!A:A,ccustos!B:B),"Sem termo")</f>
        <v>SEGED</v>
      </c>
    </row>
    <row r="1335" spans="1:10" ht="36.75" customHeight="1" x14ac:dyDescent="0.25">
      <c r="A1335" s="16">
        <v>12040</v>
      </c>
      <c r="B1335" s="17" t="s">
        <v>236</v>
      </c>
      <c r="C1335" s="17" t="s">
        <v>399</v>
      </c>
      <c r="D1335" s="17" t="s">
        <v>841</v>
      </c>
      <c r="E1335" s="17" t="s">
        <v>239</v>
      </c>
      <c r="F1335" s="17" t="s">
        <v>19</v>
      </c>
      <c r="G1335" s="17" t="s">
        <v>843</v>
      </c>
      <c r="H1335" s="18">
        <v>45</v>
      </c>
      <c r="I1335" s="18">
        <v>64.86</v>
      </c>
      <c r="J1335" s="7" t="str">
        <f>IFERROR(_xlfn.XLOOKUP(F1335,ccustos!A:A,ccustos!B:B),"Sem termo")</f>
        <v>SEGED</v>
      </c>
    </row>
    <row r="1336" spans="1:10" ht="25.5" customHeight="1" x14ac:dyDescent="0.25">
      <c r="A1336" s="14">
        <v>12041</v>
      </c>
      <c r="B1336" s="7" t="s">
        <v>236</v>
      </c>
      <c r="C1336" s="7" t="s">
        <v>399</v>
      </c>
      <c r="D1336" s="7" t="s">
        <v>841</v>
      </c>
      <c r="E1336" s="7" t="s">
        <v>239</v>
      </c>
      <c r="F1336" s="7" t="s">
        <v>0</v>
      </c>
      <c r="G1336" s="7" t="s">
        <v>843</v>
      </c>
      <c r="H1336" s="15">
        <v>45</v>
      </c>
      <c r="I1336" s="15">
        <v>64.86</v>
      </c>
      <c r="J1336" s="7" t="str">
        <f>IFERROR(_xlfn.XLOOKUP(F1336,ccustos!A:A,ccustos!B:B),"Sem termo")</f>
        <v>SEPAT</v>
      </c>
    </row>
    <row r="1337" spans="1:10" ht="36.75" customHeight="1" x14ac:dyDescent="0.25">
      <c r="A1337" s="16">
        <v>12042</v>
      </c>
      <c r="B1337" s="17" t="s">
        <v>236</v>
      </c>
      <c r="C1337" s="17" t="s">
        <v>399</v>
      </c>
      <c r="D1337" s="17" t="s">
        <v>974</v>
      </c>
      <c r="E1337" s="17" t="s">
        <v>239</v>
      </c>
      <c r="F1337" s="17" t="s">
        <v>211</v>
      </c>
      <c r="G1337" s="17" t="s">
        <v>975</v>
      </c>
      <c r="H1337" s="18">
        <v>49.9</v>
      </c>
      <c r="I1337" s="18">
        <v>64.86</v>
      </c>
      <c r="J1337" s="7" t="str">
        <f>IFERROR(_xlfn.XLOOKUP(F1337,ccustos!A:A,ccustos!B:B),"Sem termo")</f>
        <v>DIGEO</v>
      </c>
    </row>
    <row r="1338" spans="1:10" ht="36.75" customHeight="1" x14ac:dyDescent="0.25">
      <c r="A1338" s="14">
        <v>12043</v>
      </c>
      <c r="B1338" s="7" t="s">
        <v>236</v>
      </c>
      <c r="C1338" s="7" t="s">
        <v>399</v>
      </c>
      <c r="D1338" s="7" t="s">
        <v>841</v>
      </c>
      <c r="E1338" s="7" t="s">
        <v>239</v>
      </c>
      <c r="F1338" s="7" t="s">
        <v>6</v>
      </c>
      <c r="G1338" s="7" t="s">
        <v>843</v>
      </c>
      <c r="H1338" s="15">
        <v>45</v>
      </c>
      <c r="I1338" s="15">
        <v>64.86</v>
      </c>
      <c r="J1338" s="7" t="str">
        <f>IFERROR(_xlfn.XLOOKUP(F1338,ccustos!A:A,ccustos!B:B),"Sem termo")</f>
        <v>SEPAT</v>
      </c>
    </row>
    <row r="1339" spans="1:10" ht="36.75" customHeight="1" x14ac:dyDescent="0.25">
      <c r="A1339" s="16">
        <v>12044</v>
      </c>
      <c r="B1339" s="17" t="s">
        <v>236</v>
      </c>
      <c r="C1339" s="17" t="s">
        <v>399</v>
      </c>
      <c r="D1339" s="17" t="s">
        <v>841</v>
      </c>
      <c r="E1339" s="17" t="s">
        <v>239</v>
      </c>
      <c r="F1339" s="17" t="s">
        <v>19</v>
      </c>
      <c r="G1339" s="17" t="s">
        <v>842</v>
      </c>
      <c r="H1339" s="18">
        <v>45</v>
      </c>
      <c r="I1339" s="18">
        <v>64.86</v>
      </c>
      <c r="J1339" s="7" t="str">
        <f>IFERROR(_xlfn.XLOOKUP(F1339,ccustos!A:A,ccustos!B:B),"Sem termo")</f>
        <v>SEGED</v>
      </c>
    </row>
    <row r="1340" spans="1:10" ht="36.75" customHeight="1" x14ac:dyDescent="0.25">
      <c r="A1340" s="14">
        <v>12045</v>
      </c>
      <c r="B1340" s="7" t="s">
        <v>236</v>
      </c>
      <c r="C1340" s="7" t="s">
        <v>399</v>
      </c>
      <c r="D1340" s="7" t="s">
        <v>841</v>
      </c>
      <c r="E1340" s="7" t="s">
        <v>239</v>
      </c>
      <c r="F1340" s="7" t="s">
        <v>9</v>
      </c>
      <c r="G1340" s="7" t="s">
        <v>843</v>
      </c>
      <c r="H1340" s="15">
        <v>45</v>
      </c>
      <c r="I1340" s="15">
        <v>64.86</v>
      </c>
      <c r="J1340" s="7" t="str">
        <f>IFERROR(_xlfn.XLOOKUP(F1340,ccustos!A:A,ccustos!B:B),"Sem termo")</f>
        <v>DEINFRA</v>
      </c>
    </row>
    <row r="1341" spans="1:10" ht="25.5" customHeight="1" x14ac:dyDescent="0.25">
      <c r="A1341" s="16">
        <v>12046</v>
      </c>
      <c r="B1341" s="17" t="s">
        <v>236</v>
      </c>
      <c r="C1341" s="17" t="s">
        <v>399</v>
      </c>
      <c r="D1341" s="17" t="s">
        <v>841</v>
      </c>
      <c r="E1341" s="17" t="s">
        <v>239</v>
      </c>
      <c r="F1341" s="17" t="s">
        <v>6</v>
      </c>
      <c r="G1341" s="17" t="s">
        <v>842</v>
      </c>
      <c r="H1341" s="18">
        <v>45</v>
      </c>
      <c r="I1341" s="18">
        <v>64.86</v>
      </c>
      <c r="J1341" s="7" t="str">
        <f>IFERROR(_xlfn.XLOOKUP(F1341,ccustos!A:A,ccustos!B:B),"Sem termo")</f>
        <v>SEPAT</v>
      </c>
    </row>
    <row r="1342" spans="1:10" ht="25.5" customHeight="1" x14ac:dyDescent="0.25">
      <c r="A1342" s="14">
        <v>12047</v>
      </c>
      <c r="B1342" s="7" t="s">
        <v>236</v>
      </c>
      <c r="C1342" s="7" t="s">
        <v>399</v>
      </c>
      <c r="D1342" s="7" t="s">
        <v>841</v>
      </c>
      <c r="E1342" s="7" t="s">
        <v>239</v>
      </c>
      <c r="F1342" s="7" t="s">
        <v>6</v>
      </c>
      <c r="G1342" s="7" t="s">
        <v>842</v>
      </c>
      <c r="H1342" s="15">
        <v>45</v>
      </c>
      <c r="I1342" s="15">
        <v>64.86</v>
      </c>
      <c r="J1342" s="7" t="str">
        <f>IFERROR(_xlfn.XLOOKUP(F1342,ccustos!A:A,ccustos!B:B),"Sem termo")</f>
        <v>SEPAT</v>
      </c>
    </row>
    <row r="1343" spans="1:10" ht="25.5" customHeight="1" x14ac:dyDescent="0.25">
      <c r="A1343" s="16">
        <v>12048</v>
      </c>
      <c r="B1343" s="17" t="s">
        <v>236</v>
      </c>
      <c r="C1343" s="17" t="s">
        <v>399</v>
      </c>
      <c r="D1343" s="17" t="s">
        <v>841</v>
      </c>
      <c r="E1343" s="17" t="s">
        <v>239</v>
      </c>
      <c r="F1343" s="17" t="s">
        <v>19</v>
      </c>
      <c r="G1343" s="17" t="s">
        <v>843</v>
      </c>
      <c r="H1343" s="18">
        <v>45</v>
      </c>
      <c r="I1343" s="18">
        <v>64.86</v>
      </c>
      <c r="J1343" s="7" t="str">
        <f>IFERROR(_xlfn.XLOOKUP(F1343,ccustos!A:A,ccustos!B:B),"Sem termo")</f>
        <v>SEGED</v>
      </c>
    </row>
    <row r="1344" spans="1:10" ht="25.5" customHeight="1" x14ac:dyDescent="0.25">
      <c r="A1344" s="14">
        <v>12049</v>
      </c>
      <c r="B1344" s="7" t="s">
        <v>236</v>
      </c>
      <c r="C1344" s="7" t="s">
        <v>399</v>
      </c>
      <c r="D1344" s="7" t="s">
        <v>841</v>
      </c>
      <c r="E1344" s="7" t="s">
        <v>239</v>
      </c>
      <c r="F1344" s="7" t="s">
        <v>19</v>
      </c>
      <c r="G1344" s="7" t="s">
        <v>843</v>
      </c>
      <c r="H1344" s="15">
        <v>45</v>
      </c>
      <c r="I1344" s="15">
        <v>64.86</v>
      </c>
      <c r="J1344" s="7" t="str">
        <f>IFERROR(_xlfn.XLOOKUP(F1344,ccustos!A:A,ccustos!B:B),"Sem termo")</f>
        <v>SEGED</v>
      </c>
    </row>
    <row r="1345" spans="1:10" ht="25.5" customHeight="1" x14ac:dyDescent="0.25">
      <c r="A1345" s="16">
        <v>12050</v>
      </c>
      <c r="B1345" s="17" t="s">
        <v>236</v>
      </c>
      <c r="C1345" s="17" t="s">
        <v>399</v>
      </c>
      <c r="D1345" s="17" t="s">
        <v>841</v>
      </c>
      <c r="E1345" s="17" t="s">
        <v>239</v>
      </c>
      <c r="F1345" s="17" t="s">
        <v>19</v>
      </c>
      <c r="G1345" s="17" t="s">
        <v>843</v>
      </c>
      <c r="H1345" s="18">
        <v>45</v>
      </c>
      <c r="I1345" s="18">
        <v>64.86</v>
      </c>
      <c r="J1345" s="7" t="str">
        <f>IFERROR(_xlfn.XLOOKUP(F1345,ccustos!A:A,ccustos!B:B),"Sem termo")</f>
        <v>SEGED</v>
      </c>
    </row>
    <row r="1346" spans="1:10" ht="36.75" customHeight="1" x14ac:dyDescent="0.25">
      <c r="A1346" s="14">
        <v>12051</v>
      </c>
      <c r="B1346" s="7" t="s">
        <v>236</v>
      </c>
      <c r="C1346" s="7" t="s">
        <v>399</v>
      </c>
      <c r="D1346" s="7" t="s">
        <v>974</v>
      </c>
      <c r="E1346" s="7" t="s">
        <v>239</v>
      </c>
      <c r="F1346" s="7" t="s">
        <v>2</v>
      </c>
      <c r="G1346" s="7" t="s">
        <v>975</v>
      </c>
      <c r="H1346" s="15">
        <v>49.9</v>
      </c>
      <c r="I1346" s="15">
        <v>64.86</v>
      </c>
      <c r="J1346" s="7" t="str">
        <f>IFERROR(_xlfn.XLOOKUP(F1346,ccustos!A:A,ccustos!B:B),"Sem termo")</f>
        <v>SEGED</v>
      </c>
    </row>
    <row r="1347" spans="1:10" ht="25.5" customHeight="1" x14ac:dyDescent="0.25">
      <c r="A1347" s="16">
        <v>12052</v>
      </c>
      <c r="B1347" s="17" t="s">
        <v>236</v>
      </c>
      <c r="C1347" s="17" t="s">
        <v>399</v>
      </c>
      <c r="D1347" s="17" t="s">
        <v>974</v>
      </c>
      <c r="E1347" s="17" t="s">
        <v>239</v>
      </c>
      <c r="F1347" s="17" t="s">
        <v>2</v>
      </c>
      <c r="G1347" s="17" t="s">
        <v>975</v>
      </c>
      <c r="H1347" s="18">
        <v>49.9</v>
      </c>
      <c r="I1347" s="18">
        <v>64.86</v>
      </c>
      <c r="J1347" s="7" t="str">
        <f>IFERROR(_xlfn.XLOOKUP(F1347,ccustos!A:A,ccustos!B:B),"Sem termo")</f>
        <v>SEGED</v>
      </c>
    </row>
    <row r="1348" spans="1:10" ht="25.5" customHeight="1" x14ac:dyDescent="0.25">
      <c r="A1348" s="14">
        <v>12057</v>
      </c>
      <c r="B1348" s="7" t="s">
        <v>236</v>
      </c>
      <c r="C1348" s="7" t="s">
        <v>237</v>
      </c>
      <c r="D1348" s="7" t="s">
        <v>712</v>
      </c>
      <c r="E1348" s="7" t="s">
        <v>239</v>
      </c>
      <c r="F1348" s="7" t="s">
        <v>37</v>
      </c>
      <c r="G1348" s="7" t="s">
        <v>253</v>
      </c>
      <c r="H1348" s="15">
        <v>187</v>
      </c>
      <c r="I1348" s="15">
        <v>149.01</v>
      </c>
      <c r="J1348" s="7" t="str">
        <f>IFERROR(_xlfn.XLOOKUP(F1348,ccustos!A:A,ccustos!B:B),"Sem termo")</f>
        <v>PROJUR</v>
      </c>
    </row>
    <row r="1349" spans="1:10" ht="25.5" customHeight="1" x14ac:dyDescent="0.25">
      <c r="A1349" s="16">
        <v>12058</v>
      </c>
      <c r="B1349" s="17" t="s">
        <v>236</v>
      </c>
      <c r="C1349" s="17" t="s">
        <v>237</v>
      </c>
      <c r="D1349" s="17" t="s">
        <v>712</v>
      </c>
      <c r="E1349" s="17" t="s">
        <v>239</v>
      </c>
      <c r="F1349" s="17" t="s">
        <v>37</v>
      </c>
      <c r="G1349" s="17" t="s">
        <v>253</v>
      </c>
      <c r="H1349" s="18">
        <v>187</v>
      </c>
      <c r="I1349" s="18">
        <v>149.01</v>
      </c>
      <c r="J1349" s="7" t="str">
        <f>IFERROR(_xlfn.XLOOKUP(F1349,ccustos!A:A,ccustos!B:B),"Sem termo")</f>
        <v>PROJUR</v>
      </c>
    </row>
    <row r="1350" spans="1:10" ht="25.5" customHeight="1" x14ac:dyDescent="0.25">
      <c r="A1350" s="14">
        <v>12059</v>
      </c>
      <c r="B1350" s="7" t="s">
        <v>236</v>
      </c>
      <c r="C1350" s="7" t="s">
        <v>237</v>
      </c>
      <c r="D1350" s="7" t="s">
        <v>712</v>
      </c>
      <c r="E1350" s="7" t="s">
        <v>239</v>
      </c>
      <c r="F1350" s="7" t="s">
        <v>37</v>
      </c>
      <c r="G1350" s="7" t="s">
        <v>253</v>
      </c>
      <c r="H1350" s="15">
        <v>187</v>
      </c>
      <c r="I1350" s="15">
        <v>149.01</v>
      </c>
      <c r="J1350" s="7" t="str">
        <f>IFERROR(_xlfn.XLOOKUP(F1350,ccustos!A:A,ccustos!B:B),"Sem termo")</f>
        <v>PROJUR</v>
      </c>
    </row>
    <row r="1351" spans="1:10" ht="25.5" customHeight="1" x14ac:dyDescent="0.25">
      <c r="A1351" s="16">
        <v>12061</v>
      </c>
      <c r="B1351" s="17" t="s">
        <v>236</v>
      </c>
      <c r="C1351" s="17" t="s">
        <v>237</v>
      </c>
      <c r="D1351" s="17" t="s">
        <v>712</v>
      </c>
      <c r="E1351" s="17" t="s">
        <v>239</v>
      </c>
      <c r="F1351" s="17" t="s">
        <v>37</v>
      </c>
      <c r="G1351" s="17" t="s">
        <v>253</v>
      </c>
      <c r="H1351" s="18">
        <v>187</v>
      </c>
      <c r="I1351" s="18">
        <v>149.01</v>
      </c>
      <c r="J1351" s="7" t="str">
        <f>IFERROR(_xlfn.XLOOKUP(F1351,ccustos!A:A,ccustos!B:B),"Sem termo")</f>
        <v>PROJUR</v>
      </c>
    </row>
    <row r="1352" spans="1:10" ht="25.5" customHeight="1" x14ac:dyDescent="0.25">
      <c r="A1352" s="14">
        <v>12062</v>
      </c>
      <c r="B1352" s="7" t="s">
        <v>236</v>
      </c>
      <c r="C1352" s="7" t="s">
        <v>237</v>
      </c>
      <c r="D1352" s="7" t="s">
        <v>712</v>
      </c>
      <c r="E1352" s="7" t="s">
        <v>239</v>
      </c>
      <c r="F1352" s="7" t="s">
        <v>37</v>
      </c>
      <c r="G1352" s="7" t="s">
        <v>253</v>
      </c>
      <c r="H1352" s="15">
        <v>187</v>
      </c>
      <c r="I1352" s="15">
        <v>149.01</v>
      </c>
      <c r="J1352" s="7" t="str">
        <f>IFERROR(_xlfn.XLOOKUP(F1352,ccustos!A:A,ccustos!B:B),"Sem termo")</f>
        <v>PROJUR</v>
      </c>
    </row>
    <row r="1353" spans="1:10" ht="25.5" customHeight="1" x14ac:dyDescent="0.25">
      <c r="A1353" s="16">
        <v>12063</v>
      </c>
      <c r="B1353" s="17" t="s">
        <v>236</v>
      </c>
      <c r="C1353" s="17" t="s">
        <v>237</v>
      </c>
      <c r="D1353" s="17" t="s">
        <v>712</v>
      </c>
      <c r="E1353" s="17" t="s">
        <v>239</v>
      </c>
      <c r="F1353" s="17" t="s">
        <v>37</v>
      </c>
      <c r="G1353" s="17" t="s">
        <v>253</v>
      </c>
      <c r="H1353" s="18">
        <v>187</v>
      </c>
      <c r="I1353" s="18">
        <v>149.01</v>
      </c>
      <c r="J1353" s="7" t="str">
        <f>IFERROR(_xlfn.XLOOKUP(F1353,ccustos!A:A,ccustos!B:B),"Sem termo")</f>
        <v>PROJUR</v>
      </c>
    </row>
    <row r="1354" spans="1:10" ht="36.75" customHeight="1" x14ac:dyDescent="0.25">
      <c r="A1354" s="14">
        <v>12066</v>
      </c>
      <c r="B1354" s="7" t="s">
        <v>236</v>
      </c>
      <c r="C1354" s="7" t="s">
        <v>237</v>
      </c>
      <c r="D1354" s="7" t="s">
        <v>712</v>
      </c>
      <c r="E1354" s="7" t="s">
        <v>239</v>
      </c>
      <c r="F1354" s="7" t="s">
        <v>37</v>
      </c>
      <c r="G1354" s="7" t="s">
        <v>253</v>
      </c>
      <c r="H1354" s="15">
        <v>187</v>
      </c>
      <c r="I1354" s="15">
        <v>149.01</v>
      </c>
      <c r="J1354" s="7" t="str">
        <f>IFERROR(_xlfn.XLOOKUP(F1354,ccustos!A:A,ccustos!B:B),"Sem termo")</f>
        <v>PROJUR</v>
      </c>
    </row>
    <row r="1355" spans="1:10" ht="25.5" customHeight="1" x14ac:dyDescent="0.25">
      <c r="A1355" s="16">
        <v>12067</v>
      </c>
      <c r="B1355" s="17" t="s">
        <v>236</v>
      </c>
      <c r="C1355" s="17" t="s">
        <v>325</v>
      </c>
      <c r="D1355" s="17" t="s">
        <v>983</v>
      </c>
      <c r="E1355" s="17" t="s">
        <v>239</v>
      </c>
      <c r="F1355" s="17" t="s">
        <v>43</v>
      </c>
      <c r="G1355" s="17" t="s">
        <v>329</v>
      </c>
      <c r="H1355" s="18">
        <v>400</v>
      </c>
      <c r="I1355" s="18">
        <v>657.34</v>
      </c>
      <c r="J1355" s="7" t="str">
        <f>IFERROR(_xlfn.XLOOKUP(F1355,ccustos!A:A,ccustos!B:B),"Sem termo")</f>
        <v>SEPAT</v>
      </c>
    </row>
    <row r="1356" spans="1:10" ht="25.5" customHeight="1" x14ac:dyDescent="0.25">
      <c r="A1356" s="14">
        <v>12068</v>
      </c>
      <c r="B1356" s="7" t="s">
        <v>236</v>
      </c>
      <c r="C1356" s="7" t="s">
        <v>325</v>
      </c>
      <c r="D1356" s="7" t="s">
        <v>983</v>
      </c>
      <c r="E1356" s="7" t="s">
        <v>239</v>
      </c>
      <c r="F1356" s="7" t="s">
        <v>43</v>
      </c>
      <c r="G1356" s="7" t="s">
        <v>253</v>
      </c>
      <c r="H1356" s="15">
        <v>593</v>
      </c>
      <c r="I1356" s="15">
        <v>328.67</v>
      </c>
      <c r="J1356" s="7" t="str">
        <f>IFERROR(_xlfn.XLOOKUP(F1356,ccustos!A:A,ccustos!B:B),"Sem termo")</f>
        <v>SEPAT</v>
      </c>
    </row>
    <row r="1357" spans="1:10" ht="25.5" customHeight="1" x14ac:dyDescent="0.25">
      <c r="A1357" s="16">
        <v>12069</v>
      </c>
      <c r="B1357" s="17" t="s">
        <v>236</v>
      </c>
      <c r="C1357" s="17" t="s">
        <v>325</v>
      </c>
      <c r="D1357" s="17" t="s">
        <v>983</v>
      </c>
      <c r="E1357" s="17" t="s">
        <v>239</v>
      </c>
      <c r="F1357" s="17" t="s">
        <v>43</v>
      </c>
      <c r="G1357" s="17" t="s">
        <v>253</v>
      </c>
      <c r="H1357" s="18">
        <v>593.04</v>
      </c>
      <c r="I1357" s="18">
        <v>328.67</v>
      </c>
      <c r="J1357" s="7" t="str">
        <f>IFERROR(_xlfn.XLOOKUP(F1357,ccustos!A:A,ccustos!B:B),"Sem termo")</f>
        <v>SEPAT</v>
      </c>
    </row>
    <row r="1358" spans="1:10" ht="25.5" customHeight="1" x14ac:dyDescent="0.25">
      <c r="A1358" s="14">
        <v>12072</v>
      </c>
      <c r="B1358" s="7" t="s">
        <v>236</v>
      </c>
      <c r="C1358" s="7" t="s">
        <v>306</v>
      </c>
      <c r="D1358" s="7" t="s">
        <v>984</v>
      </c>
      <c r="E1358" s="7" t="s">
        <v>239</v>
      </c>
      <c r="F1358" s="7" t="s">
        <v>9</v>
      </c>
      <c r="G1358" s="7" t="s">
        <v>253</v>
      </c>
      <c r="H1358" s="15">
        <v>547.07000000000005</v>
      </c>
      <c r="I1358" s="15">
        <v>141.71</v>
      </c>
      <c r="J1358" s="7" t="str">
        <f>IFERROR(_xlfn.XLOOKUP(F1358,ccustos!A:A,ccustos!B:B),"Sem termo")</f>
        <v>DEINFRA</v>
      </c>
    </row>
    <row r="1359" spans="1:10" ht="25.5" customHeight="1" x14ac:dyDescent="0.25">
      <c r="A1359" s="16">
        <v>12083</v>
      </c>
      <c r="B1359" s="17" t="s">
        <v>236</v>
      </c>
      <c r="C1359" s="17" t="s">
        <v>237</v>
      </c>
      <c r="D1359" s="17" t="s">
        <v>238</v>
      </c>
      <c r="E1359" s="17" t="s">
        <v>239</v>
      </c>
      <c r="F1359" s="17" t="s">
        <v>303</v>
      </c>
      <c r="G1359" s="17" t="s">
        <v>240</v>
      </c>
      <c r="H1359" s="18">
        <v>75.94</v>
      </c>
      <c r="I1359" s="18">
        <v>64.540000000000006</v>
      </c>
      <c r="J1359" s="7" t="str">
        <f>IFERROR(_xlfn.XLOOKUP(F1359,ccustos!A:A,ccustos!B:B),"Sem termo")</f>
        <v>Sem termo</v>
      </c>
    </row>
    <row r="1360" spans="1:10" ht="25.5" customHeight="1" x14ac:dyDescent="0.25">
      <c r="A1360" s="14">
        <v>12089</v>
      </c>
      <c r="B1360" s="7" t="s">
        <v>236</v>
      </c>
      <c r="C1360" s="7" t="s">
        <v>241</v>
      </c>
      <c r="D1360" s="7" t="s">
        <v>271</v>
      </c>
      <c r="E1360" s="7" t="s">
        <v>239</v>
      </c>
      <c r="F1360" s="7" t="s">
        <v>16</v>
      </c>
      <c r="G1360" s="7" t="s">
        <v>272</v>
      </c>
      <c r="H1360" s="15">
        <v>42.1</v>
      </c>
      <c r="I1360" s="15">
        <v>141.34</v>
      </c>
      <c r="J1360" s="7" t="str">
        <f>IFERROR(_xlfn.XLOOKUP(F1360,ccustos!A:A,ccustos!B:B),"Sem termo")</f>
        <v>SEPAT</v>
      </c>
    </row>
    <row r="1361" spans="1:10" ht="25.5" customHeight="1" x14ac:dyDescent="0.25">
      <c r="A1361" s="16">
        <v>12090</v>
      </c>
      <c r="B1361" s="17" t="s">
        <v>236</v>
      </c>
      <c r="C1361" s="17" t="s">
        <v>241</v>
      </c>
      <c r="D1361" s="17" t="s">
        <v>271</v>
      </c>
      <c r="E1361" s="17" t="s">
        <v>239</v>
      </c>
      <c r="F1361" s="17" t="s">
        <v>15</v>
      </c>
      <c r="G1361" s="17" t="s">
        <v>272</v>
      </c>
      <c r="H1361" s="18">
        <v>42.1</v>
      </c>
      <c r="I1361" s="18">
        <v>141.34</v>
      </c>
      <c r="J1361" s="7" t="str">
        <f>IFERROR(_xlfn.XLOOKUP(F1361,ccustos!A:A,ccustos!B:B),"Sem termo")</f>
        <v>SEPAT</v>
      </c>
    </row>
    <row r="1362" spans="1:10" ht="25.5" customHeight="1" x14ac:dyDescent="0.25">
      <c r="A1362" s="14">
        <v>12091</v>
      </c>
      <c r="B1362" s="7" t="s">
        <v>236</v>
      </c>
      <c r="C1362" s="7" t="s">
        <v>241</v>
      </c>
      <c r="D1362" s="7" t="s">
        <v>271</v>
      </c>
      <c r="E1362" s="7" t="s">
        <v>239</v>
      </c>
      <c r="F1362" s="7" t="s">
        <v>16</v>
      </c>
      <c r="G1362" s="7" t="s">
        <v>272</v>
      </c>
      <c r="H1362" s="15">
        <v>42.1</v>
      </c>
      <c r="I1362" s="15">
        <v>141.34</v>
      </c>
      <c r="J1362" s="7" t="str">
        <f>IFERROR(_xlfn.XLOOKUP(F1362,ccustos!A:A,ccustos!B:B),"Sem termo")</f>
        <v>SEPAT</v>
      </c>
    </row>
    <row r="1363" spans="1:10" ht="36.75" customHeight="1" x14ac:dyDescent="0.25">
      <c r="A1363" s="16">
        <v>12092</v>
      </c>
      <c r="B1363" s="17" t="s">
        <v>236</v>
      </c>
      <c r="C1363" s="17" t="s">
        <v>237</v>
      </c>
      <c r="D1363" s="17" t="s">
        <v>238</v>
      </c>
      <c r="E1363" s="17" t="s">
        <v>239</v>
      </c>
      <c r="F1363" s="17" t="s">
        <v>15</v>
      </c>
      <c r="G1363" s="17" t="s">
        <v>240</v>
      </c>
      <c r="H1363" s="18">
        <v>75.94</v>
      </c>
      <c r="I1363" s="18">
        <v>64.540000000000006</v>
      </c>
      <c r="J1363" s="7" t="str">
        <f>IFERROR(_xlfn.XLOOKUP(F1363,ccustos!A:A,ccustos!B:B),"Sem termo")</f>
        <v>SEPAT</v>
      </c>
    </row>
    <row r="1364" spans="1:10" ht="36.75" customHeight="1" x14ac:dyDescent="0.25">
      <c r="A1364" s="14">
        <v>12093</v>
      </c>
      <c r="B1364" s="7" t="s">
        <v>236</v>
      </c>
      <c r="C1364" s="7" t="s">
        <v>237</v>
      </c>
      <c r="D1364" s="7" t="s">
        <v>238</v>
      </c>
      <c r="E1364" s="7" t="s">
        <v>239</v>
      </c>
      <c r="F1364" s="7" t="s">
        <v>15</v>
      </c>
      <c r="G1364" s="7" t="s">
        <v>240</v>
      </c>
      <c r="H1364" s="15">
        <v>75.94</v>
      </c>
      <c r="I1364" s="15">
        <v>21.51</v>
      </c>
      <c r="J1364" s="7" t="str">
        <f>IFERROR(_xlfn.XLOOKUP(F1364,ccustos!A:A,ccustos!B:B),"Sem termo")</f>
        <v>SEPAT</v>
      </c>
    </row>
    <row r="1365" spans="1:10" ht="25.5" customHeight="1" x14ac:dyDescent="0.25">
      <c r="A1365" s="16">
        <v>12095</v>
      </c>
      <c r="B1365" s="17" t="s">
        <v>236</v>
      </c>
      <c r="C1365" s="17" t="s">
        <v>237</v>
      </c>
      <c r="D1365" s="17" t="s">
        <v>238</v>
      </c>
      <c r="E1365" s="17" t="s">
        <v>239</v>
      </c>
      <c r="F1365" s="17" t="s">
        <v>16</v>
      </c>
      <c r="G1365" s="17" t="s">
        <v>240</v>
      </c>
      <c r="H1365" s="18">
        <v>75.94</v>
      </c>
      <c r="I1365" s="18">
        <v>64.540000000000006</v>
      </c>
      <c r="J1365" s="7" t="str">
        <f>IFERROR(_xlfn.XLOOKUP(F1365,ccustos!A:A,ccustos!B:B),"Sem termo")</f>
        <v>SEPAT</v>
      </c>
    </row>
    <row r="1366" spans="1:10" ht="25.5" customHeight="1" x14ac:dyDescent="0.25">
      <c r="A1366" s="14">
        <v>12096</v>
      </c>
      <c r="B1366" s="7" t="s">
        <v>236</v>
      </c>
      <c r="C1366" s="7" t="s">
        <v>241</v>
      </c>
      <c r="D1366" s="7" t="s">
        <v>985</v>
      </c>
      <c r="E1366" s="7" t="s">
        <v>239</v>
      </c>
      <c r="F1366" s="7" t="s">
        <v>15</v>
      </c>
      <c r="G1366" s="7" t="s">
        <v>329</v>
      </c>
      <c r="H1366" s="15">
        <v>240</v>
      </c>
      <c r="I1366" s="15">
        <v>376.92</v>
      </c>
      <c r="J1366" s="7" t="str">
        <f>IFERROR(_xlfn.XLOOKUP(F1366,ccustos!A:A,ccustos!B:B),"Sem termo")</f>
        <v>SEPAT</v>
      </c>
    </row>
    <row r="1367" spans="1:10" ht="25.5" customHeight="1" x14ac:dyDescent="0.25">
      <c r="A1367" s="16">
        <v>12097</v>
      </c>
      <c r="B1367" s="17" t="s">
        <v>236</v>
      </c>
      <c r="C1367" s="17" t="s">
        <v>387</v>
      </c>
      <c r="D1367" s="17" t="s">
        <v>986</v>
      </c>
      <c r="E1367" s="17" t="s">
        <v>250</v>
      </c>
      <c r="F1367" s="17" t="s">
        <v>16</v>
      </c>
      <c r="G1367" s="17" t="s">
        <v>389</v>
      </c>
      <c r="H1367" s="18">
        <v>720</v>
      </c>
      <c r="I1367" s="18">
        <v>320.14</v>
      </c>
      <c r="J1367" s="7" t="str">
        <f>IFERROR(_xlfn.XLOOKUP(F1367,ccustos!A:A,ccustos!B:B),"Sem termo")</f>
        <v>SEPAT</v>
      </c>
    </row>
    <row r="1368" spans="1:10" ht="25.5" customHeight="1" x14ac:dyDescent="0.25">
      <c r="A1368" s="14">
        <v>12098</v>
      </c>
      <c r="B1368" s="7" t="s">
        <v>236</v>
      </c>
      <c r="C1368" s="7" t="s">
        <v>241</v>
      </c>
      <c r="D1368" s="7" t="s">
        <v>987</v>
      </c>
      <c r="E1368" s="7" t="s">
        <v>239</v>
      </c>
      <c r="F1368" s="7" t="s">
        <v>15</v>
      </c>
      <c r="G1368" s="7" t="s">
        <v>988</v>
      </c>
      <c r="H1368" s="15">
        <v>129.33000000000001</v>
      </c>
      <c r="I1368" s="15">
        <v>141.34</v>
      </c>
      <c r="J1368" s="7" t="str">
        <f>IFERROR(_xlfn.XLOOKUP(F1368,ccustos!A:A,ccustos!B:B),"Sem termo")</f>
        <v>SEPAT</v>
      </c>
    </row>
    <row r="1369" spans="1:10" ht="25.5" customHeight="1" x14ac:dyDescent="0.25">
      <c r="A1369" s="16">
        <v>12099</v>
      </c>
      <c r="B1369" s="17" t="s">
        <v>236</v>
      </c>
      <c r="C1369" s="17" t="s">
        <v>241</v>
      </c>
      <c r="D1369" s="17" t="s">
        <v>271</v>
      </c>
      <c r="E1369" s="17" t="s">
        <v>239</v>
      </c>
      <c r="F1369" s="17" t="s">
        <v>15</v>
      </c>
      <c r="G1369" s="17" t="s">
        <v>272</v>
      </c>
      <c r="H1369" s="18">
        <v>42.07</v>
      </c>
      <c r="I1369" s="18">
        <v>141.34</v>
      </c>
      <c r="J1369" s="7" t="str">
        <f>IFERROR(_xlfn.XLOOKUP(F1369,ccustos!A:A,ccustos!B:B),"Sem termo")</f>
        <v>SEPAT</v>
      </c>
    </row>
    <row r="1370" spans="1:10" ht="25.5" customHeight="1" x14ac:dyDescent="0.25">
      <c r="A1370" s="14">
        <v>12100</v>
      </c>
      <c r="B1370" s="7" t="s">
        <v>236</v>
      </c>
      <c r="C1370" s="7" t="s">
        <v>306</v>
      </c>
      <c r="D1370" s="7" t="s">
        <v>645</v>
      </c>
      <c r="E1370" s="7" t="s">
        <v>239</v>
      </c>
      <c r="F1370" s="7" t="s">
        <v>30</v>
      </c>
      <c r="G1370" s="7" t="s">
        <v>291</v>
      </c>
      <c r="H1370" s="15">
        <v>206.44</v>
      </c>
      <c r="I1370" s="15">
        <v>127.1</v>
      </c>
      <c r="J1370" s="7" t="str">
        <f>IFERROR(_xlfn.XLOOKUP(F1370,ccustos!A:A,ccustos!B:B),"Sem termo")</f>
        <v>COFIS</v>
      </c>
    </row>
    <row r="1371" spans="1:10" ht="25.5" customHeight="1" x14ac:dyDescent="0.25">
      <c r="A1371" s="16">
        <v>12101</v>
      </c>
      <c r="B1371" s="17" t="s">
        <v>236</v>
      </c>
      <c r="C1371" s="17" t="s">
        <v>399</v>
      </c>
      <c r="D1371" s="17" t="s">
        <v>841</v>
      </c>
      <c r="E1371" s="17" t="s">
        <v>239</v>
      </c>
      <c r="F1371" s="17" t="s">
        <v>3</v>
      </c>
      <c r="G1371" s="17" t="s">
        <v>842</v>
      </c>
      <c r="H1371" s="18">
        <v>45</v>
      </c>
      <c r="I1371" s="18">
        <v>78.98</v>
      </c>
      <c r="J1371" s="7" t="str">
        <f>IFERROR(_xlfn.XLOOKUP(F1371,ccustos!A:A,ccustos!B:B),"Sem termo")</f>
        <v>SETRAN</v>
      </c>
    </row>
    <row r="1372" spans="1:10" ht="36.75" customHeight="1" x14ac:dyDescent="0.25">
      <c r="A1372" s="14">
        <v>12102</v>
      </c>
      <c r="B1372" s="7" t="s">
        <v>236</v>
      </c>
      <c r="C1372" s="7" t="s">
        <v>399</v>
      </c>
      <c r="D1372" s="7" t="s">
        <v>841</v>
      </c>
      <c r="E1372" s="7" t="s">
        <v>239</v>
      </c>
      <c r="F1372" s="7" t="s">
        <v>3</v>
      </c>
      <c r="G1372" s="7" t="s">
        <v>843</v>
      </c>
      <c r="H1372" s="15">
        <v>45</v>
      </c>
      <c r="I1372" s="15">
        <v>93.09</v>
      </c>
      <c r="J1372" s="7" t="str">
        <f>IFERROR(_xlfn.XLOOKUP(F1372,ccustos!A:A,ccustos!B:B),"Sem termo")</f>
        <v>SETRAN</v>
      </c>
    </row>
    <row r="1373" spans="1:10" ht="25.5" customHeight="1" x14ac:dyDescent="0.25">
      <c r="A1373" s="16">
        <v>12103</v>
      </c>
      <c r="B1373" s="17" t="s">
        <v>236</v>
      </c>
      <c r="C1373" s="17" t="s">
        <v>399</v>
      </c>
      <c r="D1373" s="17" t="s">
        <v>841</v>
      </c>
      <c r="E1373" s="17" t="s">
        <v>239</v>
      </c>
      <c r="F1373" s="17" t="s">
        <v>3</v>
      </c>
      <c r="G1373" s="17" t="s">
        <v>842</v>
      </c>
      <c r="H1373" s="18">
        <v>45</v>
      </c>
      <c r="I1373" s="18">
        <v>93.09</v>
      </c>
      <c r="J1373" s="7" t="str">
        <f>IFERROR(_xlfn.XLOOKUP(F1373,ccustos!A:A,ccustos!B:B),"Sem termo")</f>
        <v>SETRAN</v>
      </c>
    </row>
    <row r="1374" spans="1:10" ht="25.5" customHeight="1" x14ac:dyDescent="0.25">
      <c r="A1374" s="14">
        <v>12104</v>
      </c>
      <c r="B1374" s="7" t="s">
        <v>236</v>
      </c>
      <c r="C1374" s="7" t="s">
        <v>989</v>
      </c>
      <c r="D1374" s="7" t="s">
        <v>990</v>
      </c>
      <c r="E1374" s="7" t="s">
        <v>335</v>
      </c>
      <c r="F1374" s="7" t="s">
        <v>6</v>
      </c>
      <c r="G1374" s="7" t="s">
        <v>991</v>
      </c>
      <c r="H1374" s="15">
        <v>35531.19</v>
      </c>
      <c r="I1374" s="15">
        <v>6883.84</v>
      </c>
      <c r="J1374" s="7" t="str">
        <f>IFERROR(_xlfn.XLOOKUP(F1374,ccustos!A:A,ccustos!B:B),"Sem termo")</f>
        <v>SEPAT</v>
      </c>
    </row>
    <row r="1375" spans="1:10" ht="25.5" customHeight="1" x14ac:dyDescent="0.25">
      <c r="A1375" s="16">
        <v>12106</v>
      </c>
      <c r="B1375" s="17" t="s">
        <v>236</v>
      </c>
      <c r="C1375" s="17" t="s">
        <v>313</v>
      </c>
      <c r="D1375" s="17" t="s">
        <v>992</v>
      </c>
      <c r="E1375" s="17" t="s">
        <v>250</v>
      </c>
      <c r="F1375" s="17" t="s">
        <v>62</v>
      </c>
      <c r="G1375" s="17" t="s">
        <v>529</v>
      </c>
      <c r="H1375" s="18">
        <v>585</v>
      </c>
      <c r="I1375" s="18">
        <v>268.31</v>
      </c>
      <c r="J1375" s="7" t="str">
        <f>IFERROR(_xlfn.XLOOKUP(F1375,ccustos!A:A,ccustos!B:B),"Sem termo")</f>
        <v>SETRAN</v>
      </c>
    </row>
    <row r="1376" spans="1:10" ht="25.5" customHeight="1" x14ac:dyDescent="0.25">
      <c r="A1376" s="14">
        <v>12108</v>
      </c>
      <c r="B1376" s="7" t="s">
        <v>236</v>
      </c>
      <c r="C1376" s="7" t="s">
        <v>612</v>
      </c>
      <c r="D1376" s="7" t="s">
        <v>832</v>
      </c>
      <c r="E1376" s="7" t="s">
        <v>335</v>
      </c>
      <c r="F1376" s="7" t="s">
        <v>19</v>
      </c>
      <c r="G1376" s="7" t="s">
        <v>833</v>
      </c>
      <c r="H1376" s="15">
        <v>1897.44</v>
      </c>
      <c r="I1376" s="15">
        <v>368.16</v>
      </c>
      <c r="J1376" s="7" t="str">
        <f>IFERROR(_xlfn.XLOOKUP(F1376,ccustos!A:A,ccustos!B:B),"Sem termo")</f>
        <v>SEGED</v>
      </c>
    </row>
    <row r="1377" spans="1:10" ht="25.5" customHeight="1" x14ac:dyDescent="0.25">
      <c r="A1377" s="16">
        <v>12109</v>
      </c>
      <c r="B1377" s="17" t="s">
        <v>236</v>
      </c>
      <c r="C1377" s="17" t="s">
        <v>241</v>
      </c>
      <c r="D1377" s="17" t="s">
        <v>993</v>
      </c>
      <c r="E1377" s="17" t="s">
        <v>239</v>
      </c>
      <c r="F1377" s="17" t="s">
        <v>62</v>
      </c>
      <c r="G1377" s="17" t="s">
        <v>331</v>
      </c>
      <c r="H1377" s="18">
        <v>446</v>
      </c>
      <c r="I1377" s="18">
        <v>332.24</v>
      </c>
      <c r="J1377" s="7" t="str">
        <f>IFERROR(_xlfn.XLOOKUP(F1377,ccustos!A:A,ccustos!B:B),"Sem termo")</f>
        <v>SETRAN</v>
      </c>
    </row>
    <row r="1378" spans="1:10" ht="36.75" customHeight="1" x14ac:dyDescent="0.25">
      <c r="A1378" s="14">
        <v>12110</v>
      </c>
      <c r="B1378" s="7" t="s">
        <v>236</v>
      </c>
      <c r="C1378" s="7" t="s">
        <v>241</v>
      </c>
      <c r="D1378" s="7" t="s">
        <v>800</v>
      </c>
      <c r="E1378" s="7" t="s">
        <v>239</v>
      </c>
      <c r="F1378" s="7" t="s">
        <v>62</v>
      </c>
      <c r="G1378" s="7" t="s">
        <v>331</v>
      </c>
      <c r="H1378" s="15">
        <v>446</v>
      </c>
      <c r="I1378" s="15">
        <v>332.24</v>
      </c>
      <c r="J1378" s="7" t="str">
        <f>IFERROR(_xlfn.XLOOKUP(F1378,ccustos!A:A,ccustos!B:B),"Sem termo")</f>
        <v>SETRAN</v>
      </c>
    </row>
    <row r="1379" spans="1:10" ht="25.5" customHeight="1" x14ac:dyDescent="0.25">
      <c r="A1379" s="16">
        <v>12111</v>
      </c>
      <c r="B1379" s="17" t="s">
        <v>236</v>
      </c>
      <c r="C1379" s="17" t="s">
        <v>337</v>
      </c>
      <c r="D1379" s="17" t="s">
        <v>994</v>
      </c>
      <c r="E1379" s="17" t="s">
        <v>239</v>
      </c>
      <c r="F1379" s="17" t="s">
        <v>62</v>
      </c>
      <c r="G1379" s="17" t="s">
        <v>828</v>
      </c>
      <c r="H1379" s="18">
        <v>240</v>
      </c>
      <c r="I1379" s="18">
        <v>213.43</v>
      </c>
      <c r="J1379" s="7" t="str">
        <f>IFERROR(_xlfn.XLOOKUP(F1379,ccustos!A:A,ccustos!B:B),"Sem termo")</f>
        <v>SETRAN</v>
      </c>
    </row>
    <row r="1380" spans="1:10" ht="36.75" customHeight="1" x14ac:dyDescent="0.25">
      <c r="A1380" s="14">
        <v>12114</v>
      </c>
      <c r="B1380" s="7" t="s">
        <v>236</v>
      </c>
      <c r="C1380" s="7" t="s">
        <v>337</v>
      </c>
      <c r="D1380" s="7" t="s">
        <v>346</v>
      </c>
      <c r="E1380" s="7" t="s">
        <v>239</v>
      </c>
      <c r="F1380" s="7" t="s">
        <v>62</v>
      </c>
      <c r="G1380" s="7" t="s">
        <v>331</v>
      </c>
      <c r="H1380" s="15">
        <v>298</v>
      </c>
      <c r="I1380" s="15">
        <v>213.43</v>
      </c>
      <c r="J1380" s="7" t="str">
        <f>IFERROR(_xlfn.XLOOKUP(F1380,ccustos!A:A,ccustos!B:B),"Sem termo")</f>
        <v>SETRAN</v>
      </c>
    </row>
    <row r="1381" spans="1:10" ht="25.5" customHeight="1" x14ac:dyDescent="0.25">
      <c r="A1381" s="16">
        <v>12116</v>
      </c>
      <c r="B1381" s="17" t="s">
        <v>236</v>
      </c>
      <c r="C1381" s="17" t="s">
        <v>306</v>
      </c>
      <c r="D1381" s="17" t="s">
        <v>995</v>
      </c>
      <c r="E1381" s="17" t="s">
        <v>239</v>
      </c>
      <c r="F1381" s="17" t="s">
        <v>62</v>
      </c>
      <c r="G1381" s="17" t="s">
        <v>828</v>
      </c>
      <c r="H1381" s="18">
        <v>600</v>
      </c>
      <c r="I1381" s="18">
        <v>280.83</v>
      </c>
      <c r="J1381" s="7" t="str">
        <f>IFERROR(_xlfn.XLOOKUP(F1381,ccustos!A:A,ccustos!B:B),"Sem termo")</f>
        <v>SETRAN</v>
      </c>
    </row>
    <row r="1382" spans="1:10" ht="36.75" customHeight="1" x14ac:dyDescent="0.25">
      <c r="A1382" s="14">
        <v>12118</v>
      </c>
      <c r="B1382" s="7" t="s">
        <v>236</v>
      </c>
      <c r="C1382" s="7" t="s">
        <v>333</v>
      </c>
      <c r="D1382" s="7" t="s">
        <v>996</v>
      </c>
      <c r="E1382" s="7" t="s">
        <v>335</v>
      </c>
      <c r="F1382" s="7" t="s">
        <v>6</v>
      </c>
      <c r="G1382" s="7" t="s">
        <v>336</v>
      </c>
      <c r="H1382" s="15">
        <v>750</v>
      </c>
      <c r="I1382" s="15">
        <v>129.19</v>
      </c>
      <c r="J1382" s="7" t="str">
        <f>IFERROR(_xlfn.XLOOKUP(F1382,ccustos!A:A,ccustos!B:B),"Sem termo")</f>
        <v>SEPAT</v>
      </c>
    </row>
    <row r="1383" spans="1:10" ht="36.75" customHeight="1" x14ac:dyDescent="0.25">
      <c r="A1383" s="16">
        <v>12119</v>
      </c>
      <c r="B1383" s="17" t="s">
        <v>236</v>
      </c>
      <c r="C1383" s="17" t="s">
        <v>237</v>
      </c>
      <c r="D1383" s="17" t="s">
        <v>277</v>
      </c>
      <c r="E1383" s="17" t="s">
        <v>239</v>
      </c>
      <c r="F1383" s="17" t="s">
        <v>14</v>
      </c>
      <c r="G1383" s="17" t="s">
        <v>278</v>
      </c>
      <c r="H1383" s="18">
        <v>201.3</v>
      </c>
      <c r="I1383" s="18">
        <v>173.7</v>
      </c>
      <c r="J1383" s="7" t="str">
        <f>IFERROR(_xlfn.XLOOKUP(F1383,ccustos!A:A,ccustos!B:B),"Sem termo")</f>
        <v>SEPAT</v>
      </c>
    </row>
    <row r="1384" spans="1:10" ht="36.75" customHeight="1" x14ac:dyDescent="0.25">
      <c r="A1384" s="14">
        <v>12121</v>
      </c>
      <c r="B1384" s="7" t="s">
        <v>236</v>
      </c>
      <c r="C1384" s="7" t="s">
        <v>237</v>
      </c>
      <c r="D1384" s="7" t="s">
        <v>997</v>
      </c>
      <c r="E1384" s="7" t="s">
        <v>239</v>
      </c>
      <c r="F1384" s="7" t="s">
        <v>1</v>
      </c>
      <c r="G1384" s="7" t="s">
        <v>828</v>
      </c>
      <c r="H1384" s="15">
        <v>396</v>
      </c>
      <c r="I1384" s="15">
        <v>297.16000000000003</v>
      </c>
      <c r="J1384" s="7" t="str">
        <f>IFERROR(_xlfn.XLOOKUP(F1384,ccustos!A:A,ccustos!B:B),"Sem termo")</f>
        <v>SEPAT</v>
      </c>
    </row>
    <row r="1385" spans="1:10" ht="36.75" customHeight="1" x14ac:dyDescent="0.25">
      <c r="A1385" s="16">
        <v>12122</v>
      </c>
      <c r="B1385" s="17" t="s">
        <v>236</v>
      </c>
      <c r="C1385" s="17" t="s">
        <v>237</v>
      </c>
      <c r="D1385" s="17" t="s">
        <v>538</v>
      </c>
      <c r="E1385" s="17" t="s">
        <v>239</v>
      </c>
      <c r="F1385" s="17" t="s">
        <v>0</v>
      </c>
      <c r="G1385" s="17" t="s">
        <v>278</v>
      </c>
      <c r="H1385" s="18">
        <v>434.5</v>
      </c>
      <c r="I1385" s="18">
        <v>297.16000000000003</v>
      </c>
      <c r="J1385" s="7" t="str">
        <f>IFERROR(_xlfn.XLOOKUP(F1385,ccustos!A:A,ccustos!B:B),"Sem termo")</f>
        <v>SEPAT</v>
      </c>
    </row>
    <row r="1386" spans="1:10" ht="36.75" customHeight="1" x14ac:dyDescent="0.25">
      <c r="A1386" s="14">
        <v>12136</v>
      </c>
      <c r="B1386" s="7" t="s">
        <v>236</v>
      </c>
      <c r="C1386" s="7" t="s">
        <v>333</v>
      </c>
      <c r="D1386" s="7" t="s">
        <v>998</v>
      </c>
      <c r="E1386" s="7" t="s">
        <v>335</v>
      </c>
      <c r="F1386" s="7" t="s">
        <v>19</v>
      </c>
      <c r="G1386" s="7" t="s">
        <v>253</v>
      </c>
      <c r="H1386" s="15">
        <v>460</v>
      </c>
      <c r="I1386" s="15">
        <v>119.11</v>
      </c>
      <c r="J1386" s="7" t="str">
        <f>IFERROR(_xlfn.XLOOKUP(F1386,ccustos!A:A,ccustos!B:B),"Sem termo")</f>
        <v>SEGED</v>
      </c>
    </row>
    <row r="1387" spans="1:10" ht="36.75" customHeight="1" x14ac:dyDescent="0.25">
      <c r="A1387" s="16">
        <v>12164</v>
      </c>
      <c r="B1387" s="17" t="s">
        <v>236</v>
      </c>
      <c r="C1387" s="17" t="s">
        <v>333</v>
      </c>
      <c r="D1387" s="17" t="s">
        <v>999</v>
      </c>
      <c r="E1387" s="17" t="s">
        <v>335</v>
      </c>
      <c r="F1387" s="17" t="s">
        <v>20</v>
      </c>
      <c r="G1387" s="17" t="s">
        <v>348</v>
      </c>
      <c r="H1387" s="18">
        <v>618.41999999999996</v>
      </c>
      <c r="I1387" s="18">
        <v>111.58</v>
      </c>
      <c r="J1387" s="7" t="str">
        <f>IFERROR(_xlfn.XLOOKUP(F1387,ccustos!A:A,ccustos!B:B),"Sem termo")</f>
        <v>CGTI</v>
      </c>
    </row>
    <row r="1388" spans="1:10" ht="36.75" customHeight="1" x14ac:dyDescent="0.25">
      <c r="A1388" s="14">
        <v>12178</v>
      </c>
      <c r="B1388" s="7" t="s">
        <v>236</v>
      </c>
      <c r="C1388" s="7" t="s">
        <v>1000</v>
      </c>
      <c r="D1388" s="7" t="s">
        <v>1001</v>
      </c>
      <c r="E1388" s="7" t="s">
        <v>1002</v>
      </c>
      <c r="F1388" s="7" t="s">
        <v>62</v>
      </c>
      <c r="G1388" s="7" t="s">
        <v>1003</v>
      </c>
      <c r="H1388" s="15">
        <v>138150</v>
      </c>
      <c r="I1388" s="15">
        <v>48000</v>
      </c>
      <c r="J1388" s="7" t="str">
        <f>IFERROR(_xlfn.XLOOKUP(F1388,ccustos!A:A,ccustos!B:B),"Sem termo")</f>
        <v>SETRAN</v>
      </c>
    </row>
    <row r="1389" spans="1:10" ht="25.5" customHeight="1" x14ac:dyDescent="0.25">
      <c r="A1389" s="16">
        <v>12201</v>
      </c>
      <c r="B1389" s="17" t="s">
        <v>236</v>
      </c>
      <c r="C1389" s="17" t="s">
        <v>306</v>
      </c>
      <c r="D1389" s="17" t="s">
        <v>1004</v>
      </c>
      <c r="E1389" s="17" t="s">
        <v>239</v>
      </c>
      <c r="F1389" s="17" t="s">
        <v>0</v>
      </c>
      <c r="G1389" s="17" t="s">
        <v>308</v>
      </c>
      <c r="H1389" s="18">
        <v>310.75</v>
      </c>
      <c r="I1389" s="18">
        <v>127.1</v>
      </c>
      <c r="J1389" s="7" t="str">
        <f>IFERROR(_xlfn.XLOOKUP(F1389,ccustos!A:A,ccustos!B:B),"Sem termo")</f>
        <v>SEPAT</v>
      </c>
    </row>
    <row r="1390" spans="1:10" ht="25.5" customHeight="1" x14ac:dyDescent="0.25">
      <c r="A1390" s="14">
        <v>12202</v>
      </c>
      <c r="B1390" s="7" t="s">
        <v>236</v>
      </c>
      <c r="C1390" s="7" t="s">
        <v>306</v>
      </c>
      <c r="D1390" s="7" t="s">
        <v>566</v>
      </c>
      <c r="E1390" s="7" t="s">
        <v>239</v>
      </c>
      <c r="F1390" s="7" t="s">
        <v>44</v>
      </c>
      <c r="G1390" s="7" t="s">
        <v>331</v>
      </c>
      <c r="H1390" s="15">
        <v>339</v>
      </c>
      <c r="I1390" s="15">
        <v>127.1</v>
      </c>
      <c r="J1390" s="7" t="str">
        <f>IFERROR(_xlfn.XLOOKUP(F1390,ccustos!A:A,ccustos!B:B),"Sem termo")</f>
        <v>COFIS</v>
      </c>
    </row>
    <row r="1391" spans="1:10" ht="36.75" customHeight="1" x14ac:dyDescent="0.25">
      <c r="A1391" s="16">
        <v>12203</v>
      </c>
      <c r="B1391" s="17" t="s">
        <v>236</v>
      </c>
      <c r="C1391" s="17" t="s">
        <v>306</v>
      </c>
      <c r="D1391" s="17" t="s">
        <v>394</v>
      </c>
      <c r="E1391" s="17" t="s">
        <v>239</v>
      </c>
      <c r="F1391" s="17" t="s">
        <v>205</v>
      </c>
      <c r="G1391" s="17" t="s">
        <v>291</v>
      </c>
      <c r="H1391" s="18">
        <v>307.07</v>
      </c>
      <c r="I1391" s="18">
        <v>154.72999999999999</v>
      </c>
      <c r="J1391" s="7" t="str">
        <f>IFERROR(_xlfn.XLOOKUP(F1391,ccustos!A:A,ccustos!B:B),"Sem termo")</f>
        <v>CCOM</v>
      </c>
    </row>
    <row r="1392" spans="1:10" ht="36.75" customHeight="1" x14ac:dyDescent="0.25">
      <c r="A1392" s="14">
        <v>12204</v>
      </c>
      <c r="B1392" s="7" t="s">
        <v>236</v>
      </c>
      <c r="C1392" s="7" t="s">
        <v>306</v>
      </c>
      <c r="D1392" s="7" t="s">
        <v>369</v>
      </c>
      <c r="E1392" s="7" t="s">
        <v>239</v>
      </c>
      <c r="F1392" s="7" t="s">
        <v>303</v>
      </c>
      <c r="G1392" s="7" t="s">
        <v>289</v>
      </c>
      <c r="H1392" s="15">
        <v>890.53</v>
      </c>
      <c r="I1392" s="15">
        <v>154.72999999999999</v>
      </c>
      <c r="J1392" s="7" t="str">
        <f>IFERROR(_xlfn.XLOOKUP(F1392,ccustos!A:A,ccustos!B:B),"Sem termo")</f>
        <v>Sem termo</v>
      </c>
    </row>
    <row r="1393" spans="1:10" ht="36.75" customHeight="1" x14ac:dyDescent="0.25">
      <c r="A1393" s="16">
        <v>12205</v>
      </c>
      <c r="B1393" s="17" t="s">
        <v>236</v>
      </c>
      <c r="C1393" s="17" t="s">
        <v>306</v>
      </c>
      <c r="D1393" s="17" t="s">
        <v>369</v>
      </c>
      <c r="E1393" s="17" t="s">
        <v>239</v>
      </c>
      <c r="F1393" s="17" t="s">
        <v>0</v>
      </c>
      <c r="G1393" s="17" t="s">
        <v>289</v>
      </c>
      <c r="H1393" s="18">
        <v>444.97</v>
      </c>
      <c r="I1393" s="18">
        <v>154.72999999999999</v>
      </c>
      <c r="J1393" s="7" t="str">
        <f>IFERROR(_xlfn.XLOOKUP(F1393,ccustos!A:A,ccustos!B:B),"Sem termo")</f>
        <v>SEPAT</v>
      </c>
    </row>
    <row r="1394" spans="1:10" ht="36.75" customHeight="1" x14ac:dyDescent="0.25">
      <c r="A1394" s="14">
        <v>12210</v>
      </c>
      <c r="B1394" s="7" t="s">
        <v>236</v>
      </c>
      <c r="C1394" s="7" t="s">
        <v>237</v>
      </c>
      <c r="D1394" s="7" t="s">
        <v>533</v>
      </c>
      <c r="E1394" s="7" t="s">
        <v>239</v>
      </c>
      <c r="F1394" s="7" t="s">
        <v>39</v>
      </c>
      <c r="G1394" s="7" t="s">
        <v>343</v>
      </c>
      <c r="H1394" s="15">
        <v>292.58</v>
      </c>
      <c r="I1394" s="15">
        <v>149.01</v>
      </c>
      <c r="J1394" s="7" t="str">
        <f>IFERROR(_xlfn.XLOOKUP(F1394,ccustos!A:A,ccustos!B:B),"Sem termo")</f>
        <v>COREG</v>
      </c>
    </row>
    <row r="1395" spans="1:10" ht="36.75" customHeight="1" x14ac:dyDescent="0.25">
      <c r="A1395" s="16">
        <v>12212</v>
      </c>
      <c r="B1395" s="17" t="s">
        <v>236</v>
      </c>
      <c r="C1395" s="17" t="s">
        <v>237</v>
      </c>
      <c r="D1395" s="17" t="s">
        <v>1005</v>
      </c>
      <c r="E1395" s="17" t="s">
        <v>239</v>
      </c>
      <c r="F1395" s="17" t="s">
        <v>0</v>
      </c>
      <c r="G1395" s="17" t="s">
        <v>280</v>
      </c>
      <c r="H1395" s="18">
        <v>310.76</v>
      </c>
      <c r="I1395" s="18">
        <v>50.67</v>
      </c>
      <c r="J1395" s="7" t="str">
        <f>IFERROR(_xlfn.XLOOKUP(F1395,ccustos!A:A,ccustos!B:B),"Sem termo")</f>
        <v>SEPAT</v>
      </c>
    </row>
    <row r="1396" spans="1:10" ht="25.5" customHeight="1" x14ac:dyDescent="0.25">
      <c r="A1396" s="14">
        <v>12213</v>
      </c>
      <c r="B1396" s="7" t="s">
        <v>236</v>
      </c>
      <c r="C1396" s="7" t="s">
        <v>237</v>
      </c>
      <c r="D1396" s="7" t="s">
        <v>372</v>
      </c>
      <c r="E1396" s="7" t="s">
        <v>239</v>
      </c>
      <c r="F1396" s="7" t="s">
        <v>60</v>
      </c>
      <c r="G1396" s="7" t="s">
        <v>280</v>
      </c>
      <c r="H1396" s="15">
        <v>310.76</v>
      </c>
      <c r="I1396" s="15">
        <v>149.01</v>
      </c>
      <c r="J1396" s="7" t="str">
        <f>IFERROR(_xlfn.XLOOKUP(F1396,ccustos!A:A,ccustos!B:B),"Sem termo")</f>
        <v>DEGEP</v>
      </c>
    </row>
    <row r="1397" spans="1:10" ht="36.75" customHeight="1" x14ac:dyDescent="0.25">
      <c r="A1397" s="16">
        <v>12214</v>
      </c>
      <c r="B1397" s="17" t="s">
        <v>236</v>
      </c>
      <c r="C1397" s="17" t="s">
        <v>237</v>
      </c>
      <c r="D1397" s="17" t="s">
        <v>676</v>
      </c>
      <c r="E1397" s="17" t="s">
        <v>239</v>
      </c>
      <c r="F1397" s="17" t="s">
        <v>0</v>
      </c>
      <c r="G1397" s="17" t="s">
        <v>278</v>
      </c>
      <c r="H1397" s="18">
        <v>122.87</v>
      </c>
      <c r="I1397" s="18">
        <v>149.01</v>
      </c>
      <c r="J1397" s="7" t="str">
        <f>IFERROR(_xlfn.XLOOKUP(F1397,ccustos!A:A,ccustos!B:B),"Sem termo")</f>
        <v>SEPAT</v>
      </c>
    </row>
    <row r="1398" spans="1:10" ht="36.75" customHeight="1" x14ac:dyDescent="0.25">
      <c r="A1398" s="14">
        <v>12215</v>
      </c>
      <c r="B1398" s="7" t="s">
        <v>236</v>
      </c>
      <c r="C1398" s="7" t="s">
        <v>237</v>
      </c>
      <c r="D1398" s="7" t="s">
        <v>536</v>
      </c>
      <c r="E1398" s="7" t="s">
        <v>239</v>
      </c>
      <c r="F1398" s="7" t="s">
        <v>205</v>
      </c>
      <c r="G1398" s="7" t="s">
        <v>278</v>
      </c>
      <c r="H1398" s="15">
        <v>122.87</v>
      </c>
      <c r="I1398" s="15">
        <v>50.67</v>
      </c>
      <c r="J1398" s="7" t="str">
        <f>IFERROR(_xlfn.XLOOKUP(F1398,ccustos!A:A,ccustos!B:B),"Sem termo")</f>
        <v>CCOM</v>
      </c>
    </row>
    <row r="1399" spans="1:10" ht="25.5" customHeight="1" x14ac:dyDescent="0.25">
      <c r="A1399" s="16">
        <v>12217</v>
      </c>
      <c r="B1399" s="17" t="s">
        <v>236</v>
      </c>
      <c r="C1399" s="17" t="s">
        <v>237</v>
      </c>
      <c r="D1399" s="17" t="s">
        <v>1006</v>
      </c>
      <c r="E1399" s="17" t="s">
        <v>239</v>
      </c>
      <c r="F1399" s="17" t="s">
        <v>49</v>
      </c>
      <c r="G1399" s="17" t="s">
        <v>343</v>
      </c>
      <c r="H1399" s="18">
        <v>530.16999999999996</v>
      </c>
      <c r="I1399" s="18">
        <v>173.7</v>
      </c>
      <c r="J1399" s="7" t="str">
        <f>IFERROR(_xlfn.XLOOKUP(F1399,ccustos!A:A,ccustos!B:B),"Sem termo")</f>
        <v>COAD</v>
      </c>
    </row>
    <row r="1400" spans="1:10" ht="36.75" customHeight="1" x14ac:dyDescent="0.25">
      <c r="A1400" s="14">
        <v>12218</v>
      </c>
      <c r="B1400" s="7" t="s">
        <v>236</v>
      </c>
      <c r="C1400" s="7" t="s">
        <v>237</v>
      </c>
      <c r="D1400" s="7" t="s">
        <v>676</v>
      </c>
      <c r="E1400" s="7" t="s">
        <v>239</v>
      </c>
      <c r="F1400" s="7" t="s">
        <v>62</v>
      </c>
      <c r="G1400" s="7" t="s">
        <v>278</v>
      </c>
      <c r="H1400" s="15">
        <v>122.87</v>
      </c>
      <c r="I1400" s="15">
        <v>149.01</v>
      </c>
      <c r="J1400" s="7" t="str">
        <f>IFERROR(_xlfn.XLOOKUP(F1400,ccustos!A:A,ccustos!B:B),"Sem termo")</f>
        <v>SETRAN</v>
      </c>
    </row>
    <row r="1401" spans="1:10" ht="36.75" customHeight="1" x14ac:dyDescent="0.25">
      <c r="A1401" s="16">
        <v>12220</v>
      </c>
      <c r="B1401" s="17" t="s">
        <v>236</v>
      </c>
      <c r="C1401" s="17" t="s">
        <v>237</v>
      </c>
      <c r="D1401" s="17" t="s">
        <v>796</v>
      </c>
      <c r="E1401" s="17" t="s">
        <v>239</v>
      </c>
      <c r="F1401" s="17" t="s">
        <v>185</v>
      </c>
      <c r="G1401" s="17" t="s">
        <v>343</v>
      </c>
      <c r="H1401" s="18">
        <v>292.58</v>
      </c>
      <c r="I1401" s="18">
        <v>149.01</v>
      </c>
      <c r="J1401" s="7" t="str">
        <f>IFERROR(_xlfn.XLOOKUP(F1401,ccustos!A:A,ccustos!B:B),"Sem termo")</f>
        <v>CGGE</v>
      </c>
    </row>
    <row r="1402" spans="1:10" ht="25.5" customHeight="1" x14ac:dyDescent="0.25">
      <c r="A1402" s="14">
        <v>12251</v>
      </c>
      <c r="B1402" s="7" t="s">
        <v>236</v>
      </c>
      <c r="C1402" s="7" t="s">
        <v>241</v>
      </c>
      <c r="D1402" s="7" t="s">
        <v>1007</v>
      </c>
      <c r="E1402" s="7" t="s">
        <v>239</v>
      </c>
      <c r="F1402" s="7" t="s">
        <v>65</v>
      </c>
      <c r="G1402" s="7" t="s">
        <v>308</v>
      </c>
      <c r="H1402" s="15">
        <v>314.75</v>
      </c>
      <c r="I1402" s="15">
        <v>141.34</v>
      </c>
      <c r="J1402" s="7" t="str">
        <f>IFERROR(_xlfn.XLOOKUP(F1402,ccustos!A:A,ccustos!B:B),"Sem termo")</f>
        <v>DEINFRA</v>
      </c>
    </row>
    <row r="1403" spans="1:10" ht="25.5" customHeight="1" x14ac:dyDescent="0.25">
      <c r="A1403" s="16">
        <v>12252</v>
      </c>
      <c r="B1403" s="17" t="s">
        <v>236</v>
      </c>
      <c r="C1403" s="17" t="s">
        <v>241</v>
      </c>
      <c r="D1403" s="17" t="s">
        <v>1008</v>
      </c>
      <c r="E1403" s="17" t="s">
        <v>239</v>
      </c>
      <c r="F1403" s="17" t="s">
        <v>6</v>
      </c>
      <c r="G1403" s="17" t="s">
        <v>331</v>
      </c>
      <c r="H1403" s="18">
        <v>232</v>
      </c>
      <c r="I1403" s="18">
        <v>58.95</v>
      </c>
      <c r="J1403" s="7" t="str">
        <f>IFERROR(_xlfn.XLOOKUP(F1403,ccustos!A:A,ccustos!B:B),"Sem termo")</f>
        <v>SEPAT</v>
      </c>
    </row>
    <row r="1404" spans="1:10" ht="25.5" customHeight="1" x14ac:dyDescent="0.25">
      <c r="A1404" s="14">
        <v>12261</v>
      </c>
      <c r="B1404" s="7" t="s">
        <v>236</v>
      </c>
      <c r="C1404" s="7" t="s">
        <v>241</v>
      </c>
      <c r="D1404" s="7" t="s">
        <v>1009</v>
      </c>
      <c r="E1404" s="7" t="s">
        <v>239</v>
      </c>
      <c r="F1404" s="7" t="s">
        <v>47</v>
      </c>
      <c r="G1404" s="7" t="s">
        <v>289</v>
      </c>
      <c r="H1404" s="15">
        <v>695.75</v>
      </c>
      <c r="I1404" s="15">
        <v>141.34</v>
      </c>
      <c r="J1404" s="7" t="str">
        <f>IFERROR(_xlfn.XLOOKUP(F1404,ccustos!A:A,ccustos!B:B),"Sem termo")</f>
        <v>CDPROF</v>
      </c>
    </row>
    <row r="1405" spans="1:10" ht="14.25" customHeight="1" x14ac:dyDescent="0.25">
      <c r="A1405" s="16">
        <v>12270</v>
      </c>
      <c r="B1405" s="17" t="s">
        <v>236</v>
      </c>
      <c r="C1405" s="17" t="s">
        <v>364</v>
      </c>
      <c r="D1405" s="17" t="s">
        <v>1010</v>
      </c>
      <c r="E1405" s="17" t="s">
        <v>250</v>
      </c>
      <c r="F1405" s="17" t="s">
        <v>23</v>
      </c>
      <c r="G1405" s="17" t="s">
        <v>398</v>
      </c>
      <c r="H1405" s="18">
        <v>266</v>
      </c>
      <c r="I1405" s="18">
        <v>510.88</v>
      </c>
      <c r="J1405" s="7" t="str">
        <f>IFERROR(_xlfn.XLOOKUP(F1405,ccustos!A:A,ccustos!B:B),"Sem termo")</f>
        <v>CCI</v>
      </c>
    </row>
    <row r="1406" spans="1:10" ht="25.5" customHeight="1" x14ac:dyDescent="0.25">
      <c r="A1406" s="14">
        <v>12271</v>
      </c>
      <c r="B1406" s="7" t="s">
        <v>236</v>
      </c>
      <c r="C1406" s="7" t="s">
        <v>313</v>
      </c>
      <c r="D1406" s="7" t="s">
        <v>1011</v>
      </c>
      <c r="E1406" s="7" t="s">
        <v>250</v>
      </c>
      <c r="F1406" s="7" t="s">
        <v>205</v>
      </c>
      <c r="G1406" s="7" t="s">
        <v>1012</v>
      </c>
      <c r="H1406" s="15">
        <v>858</v>
      </c>
      <c r="I1406" s="15">
        <v>335.98</v>
      </c>
      <c r="J1406" s="7" t="str">
        <f>IFERROR(_xlfn.XLOOKUP(F1406,ccustos!A:A,ccustos!B:B),"Sem termo")</f>
        <v>CCOM</v>
      </c>
    </row>
    <row r="1407" spans="1:10" ht="25.5" customHeight="1" x14ac:dyDescent="0.25">
      <c r="A1407" s="16">
        <v>12273</v>
      </c>
      <c r="B1407" s="17" t="s">
        <v>236</v>
      </c>
      <c r="C1407" s="17" t="s">
        <v>269</v>
      </c>
      <c r="D1407" s="17" t="s">
        <v>1013</v>
      </c>
      <c r="E1407" s="17" t="s">
        <v>239</v>
      </c>
      <c r="F1407" s="17" t="s">
        <v>30</v>
      </c>
      <c r="G1407" s="17" t="s">
        <v>398</v>
      </c>
      <c r="H1407" s="18">
        <v>180</v>
      </c>
      <c r="I1407" s="18">
        <v>286.08999999999997</v>
      </c>
      <c r="J1407" s="7" t="str">
        <f>IFERROR(_xlfn.XLOOKUP(F1407,ccustos!A:A,ccustos!B:B),"Sem termo")</f>
        <v>COFIS</v>
      </c>
    </row>
    <row r="1408" spans="1:10" ht="25.5" customHeight="1" x14ac:dyDescent="0.25">
      <c r="A1408" s="14">
        <v>12274</v>
      </c>
      <c r="B1408" s="7" t="s">
        <v>236</v>
      </c>
      <c r="C1408" s="7" t="s">
        <v>471</v>
      </c>
      <c r="D1408" s="7" t="s">
        <v>884</v>
      </c>
      <c r="E1408" s="7" t="s">
        <v>335</v>
      </c>
      <c r="F1408" s="7" t="s">
        <v>6</v>
      </c>
      <c r="G1408" s="7" t="s">
        <v>398</v>
      </c>
      <c r="H1408" s="15">
        <v>735</v>
      </c>
      <c r="I1408" s="15">
        <v>280.12</v>
      </c>
      <c r="J1408" s="7" t="str">
        <f>IFERROR(_xlfn.XLOOKUP(F1408,ccustos!A:A,ccustos!B:B),"Sem termo")</f>
        <v>SEPAT</v>
      </c>
    </row>
    <row r="1409" spans="1:10" ht="25.5" customHeight="1" x14ac:dyDescent="0.25">
      <c r="A1409" s="16">
        <v>12275</v>
      </c>
      <c r="B1409" s="17" t="s">
        <v>236</v>
      </c>
      <c r="C1409" s="17" t="s">
        <v>471</v>
      </c>
      <c r="D1409" s="17" t="s">
        <v>884</v>
      </c>
      <c r="E1409" s="17" t="s">
        <v>335</v>
      </c>
      <c r="F1409" s="17" t="s">
        <v>6</v>
      </c>
      <c r="G1409" s="17" t="s">
        <v>398</v>
      </c>
      <c r="H1409" s="18">
        <v>735</v>
      </c>
      <c r="I1409" s="18">
        <v>280.12</v>
      </c>
      <c r="J1409" s="7" t="str">
        <f>IFERROR(_xlfn.XLOOKUP(F1409,ccustos!A:A,ccustos!B:B),"Sem termo")</f>
        <v>SEPAT</v>
      </c>
    </row>
    <row r="1410" spans="1:10" ht="25.5" customHeight="1" x14ac:dyDescent="0.25">
      <c r="A1410" s="14">
        <v>12292</v>
      </c>
      <c r="B1410" s="7" t="s">
        <v>236</v>
      </c>
      <c r="C1410" s="7" t="s">
        <v>241</v>
      </c>
      <c r="D1410" s="7" t="s">
        <v>271</v>
      </c>
      <c r="E1410" s="7" t="s">
        <v>239</v>
      </c>
      <c r="F1410" s="7" t="s">
        <v>15</v>
      </c>
      <c r="G1410" s="7" t="s">
        <v>272</v>
      </c>
      <c r="H1410" s="15">
        <v>42.1</v>
      </c>
      <c r="I1410" s="15">
        <v>158.27000000000001</v>
      </c>
      <c r="J1410" s="7" t="str">
        <f>IFERROR(_xlfn.XLOOKUP(F1410,ccustos!A:A,ccustos!B:B),"Sem termo")</f>
        <v>SEPAT</v>
      </c>
    </row>
    <row r="1411" spans="1:10" ht="25.5" customHeight="1" x14ac:dyDescent="0.25">
      <c r="A1411" s="16">
        <v>12301</v>
      </c>
      <c r="B1411" s="17" t="s">
        <v>236</v>
      </c>
      <c r="C1411" s="17" t="s">
        <v>237</v>
      </c>
      <c r="D1411" s="17" t="s">
        <v>597</v>
      </c>
      <c r="E1411" s="17" t="s">
        <v>239</v>
      </c>
      <c r="F1411" s="17" t="s">
        <v>27</v>
      </c>
      <c r="G1411" s="17" t="s">
        <v>280</v>
      </c>
      <c r="H1411" s="18">
        <v>565.47</v>
      </c>
      <c r="I1411" s="18">
        <v>173.7</v>
      </c>
      <c r="J1411" s="7" t="str">
        <f>IFERROR(_xlfn.XLOOKUP(F1411,ccustos!A:A,ccustos!B:B),"Sem termo")</f>
        <v>CCI</v>
      </c>
    </row>
    <row r="1412" spans="1:10" ht="25.5" customHeight="1" x14ac:dyDescent="0.25">
      <c r="A1412" s="14">
        <v>12302</v>
      </c>
      <c r="B1412" s="7" t="s">
        <v>236</v>
      </c>
      <c r="C1412" s="7" t="s">
        <v>237</v>
      </c>
      <c r="D1412" s="7" t="s">
        <v>597</v>
      </c>
      <c r="E1412" s="7" t="s">
        <v>239</v>
      </c>
      <c r="F1412" s="7" t="s">
        <v>205</v>
      </c>
      <c r="G1412" s="7" t="s">
        <v>280</v>
      </c>
      <c r="H1412" s="15">
        <v>565.47</v>
      </c>
      <c r="I1412" s="15">
        <v>173.7</v>
      </c>
      <c r="J1412" s="7" t="str">
        <f>IFERROR(_xlfn.XLOOKUP(F1412,ccustos!A:A,ccustos!B:B),"Sem termo")</f>
        <v>CCOM</v>
      </c>
    </row>
    <row r="1413" spans="1:10" ht="25.5" customHeight="1" x14ac:dyDescent="0.25">
      <c r="A1413" s="16">
        <v>12306</v>
      </c>
      <c r="B1413" s="17" t="s">
        <v>236</v>
      </c>
      <c r="C1413" s="17" t="s">
        <v>248</v>
      </c>
      <c r="D1413" s="17" t="s">
        <v>1014</v>
      </c>
      <c r="E1413" s="17" t="s">
        <v>250</v>
      </c>
      <c r="F1413" s="17" t="s">
        <v>256</v>
      </c>
      <c r="G1413" s="17" t="s">
        <v>384</v>
      </c>
      <c r="H1413" s="18">
        <v>5.5</v>
      </c>
      <c r="I1413" s="18">
        <v>304.97000000000003</v>
      </c>
      <c r="J1413" s="7" t="str">
        <f>IFERROR(_xlfn.XLOOKUP(F1413,ccustos!A:A,ccustos!B:B),"Sem termo")</f>
        <v>Sem termo</v>
      </c>
    </row>
    <row r="1414" spans="1:10" ht="25.5" customHeight="1" x14ac:dyDescent="0.25">
      <c r="A1414" s="14">
        <v>12307</v>
      </c>
      <c r="B1414" s="7" t="s">
        <v>236</v>
      </c>
      <c r="C1414" s="7" t="s">
        <v>1015</v>
      </c>
      <c r="D1414" s="7" t="s">
        <v>1016</v>
      </c>
      <c r="E1414" s="7" t="s">
        <v>250</v>
      </c>
      <c r="F1414" s="7" t="s">
        <v>8</v>
      </c>
      <c r="G1414" s="7" t="s">
        <v>253</v>
      </c>
      <c r="H1414" s="15">
        <v>184.54</v>
      </c>
      <c r="I1414" s="15">
        <v>149.86000000000001</v>
      </c>
      <c r="J1414" s="7" t="str">
        <f>IFERROR(_xlfn.XLOOKUP(F1414,ccustos!A:A,ccustos!B:B),"Sem termo")</f>
        <v>DEINFRA</v>
      </c>
    </row>
    <row r="1415" spans="1:10" ht="25.5" customHeight="1" x14ac:dyDescent="0.25">
      <c r="A1415" s="16">
        <v>12310</v>
      </c>
      <c r="B1415" s="17" t="s">
        <v>236</v>
      </c>
      <c r="C1415" s="17" t="s">
        <v>1017</v>
      </c>
      <c r="D1415" s="17" t="s">
        <v>1018</v>
      </c>
      <c r="E1415" s="17" t="s">
        <v>250</v>
      </c>
      <c r="F1415" s="17" t="s">
        <v>8</v>
      </c>
      <c r="G1415" s="17" t="s">
        <v>1019</v>
      </c>
      <c r="H1415" s="18">
        <v>186.3</v>
      </c>
      <c r="I1415" s="18">
        <v>94.87</v>
      </c>
      <c r="J1415" s="7" t="str">
        <f>IFERROR(_xlfn.XLOOKUP(F1415,ccustos!A:A,ccustos!B:B),"Sem termo")</f>
        <v>DEINFRA</v>
      </c>
    </row>
    <row r="1416" spans="1:10" ht="25.5" customHeight="1" x14ac:dyDescent="0.25">
      <c r="A1416" s="14">
        <v>12311</v>
      </c>
      <c r="B1416" s="7" t="s">
        <v>236</v>
      </c>
      <c r="C1416" s="7" t="s">
        <v>1017</v>
      </c>
      <c r="D1416" s="7" t="s">
        <v>1018</v>
      </c>
      <c r="E1416" s="7" t="s">
        <v>250</v>
      </c>
      <c r="F1416" s="7" t="s">
        <v>8</v>
      </c>
      <c r="G1416" s="7" t="s">
        <v>1019</v>
      </c>
      <c r="H1416" s="15">
        <v>186.3</v>
      </c>
      <c r="I1416" s="15">
        <v>94.87</v>
      </c>
      <c r="J1416" s="7" t="str">
        <f>IFERROR(_xlfn.XLOOKUP(F1416,ccustos!A:A,ccustos!B:B),"Sem termo")</f>
        <v>DEINFRA</v>
      </c>
    </row>
    <row r="1417" spans="1:10" ht="25.5" customHeight="1" x14ac:dyDescent="0.25">
      <c r="A1417" s="16">
        <v>12312</v>
      </c>
      <c r="B1417" s="17" t="s">
        <v>236</v>
      </c>
      <c r="C1417" s="17" t="s">
        <v>1017</v>
      </c>
      <c r="D1417" s="17" t="s">
        <v>1020</v>
      </c>
      <c r="E1417" s="17" t="s">
        <v>250</v>
      </c>
      <c r="F1417" s="17" t="s">
        <v>8</v>
      </c>
      <c r="G1417" s="17" t="s">
        <v>386</v>
      </c>
      <c r="H1417" s="18">
        <v>111.97</v>
      </c>
      <c r="I1417" s="18">
        <v>88.77</v>
      </c>
      <c r="J1417" s="7" t="str">
        <f>IFERROR(_xlfn.XLOOKUP(F1417,ccustos!A:A,ccustos!B:B),"Sem termo")</f>
        <v>DEINFRA</v>
      </c>
    </row>
    <row r="1418" spans="1:10" ht="25.5" customHeight="1" x14ac:dyDescent="0.25">
      <c r="A1418" s="14">
        <v>12313</v>
      </c>
      <c r="B1418" s="7" t="s">
        <v>236</v>
      </c>
      <c r="C1418" s="7" t="s">
        <v>1017</v>
      </c>
      <c r="D1418" s="7" t="s">
        <v>1021</v>
      </c>
      <c r="E1418" s="7" t="s">
        <v>250</v>
      </c>
      <c r="F1418" s="7" t="s">
        <v>8</v>
      </c>
      <c r="G1418" s="7" t="s">
        <v>828</v>
      </c>
      <c r="H1418" s="15">
        <v>280</v>
      </c>
      <c r="I1418" s="15">
        <v>157.27000000000001</v>
      </c>
      <c r="J1418" s="7" t="str">
        <f>IFERROR(_xlfn.XLOOKUP(F1418,ccustos!A:A,ccustos!B:B),"Sem termo")</f>
        <v>DEINFRA</v>
      </c>
    </row>
    <row r="1419" spans="1:10" ht="25.5" customHeight="1" x14ac:dyDescent="0.25">
      <c r="A1419" s="16">
        <v>12316</v>
      </c>
      <c r="B1419" s="17" t="s">
        <v>236</v>
      </c>
      <c r="C1419" s="17" t="s">
        <v>908</v>
      </c>
      <c r="D1419" s="17" t="s">
        <v>1022</v>
      </c>
      <c r="E1419" s="17" t="s">
        <v>239</v>
      </c>
      <c r="F1419" s="17" t="s">
        <v>20</v>
      </c>
      <c r="G1419" s="17" t="s">
        <v>1023</v>
      </c>
      <c r="H1419" s="18">
        <v>58</v>
      </c>
      <c r="I1419" s="18">
        <v>129.13999999999999</v>
      </c>
      <c r="J1419" s="7" t="str">
        <f>IFERROR(_xlfn.XLOOKUP(F1419,ccustos!A:A,ccustos!B:B),"Sem termo")</f>
        <v>CGTI</v>
      </c>
    </row>
    <row r="1420" spans="1:10" ht="25.5" customHeight="1" x14ac:dyDescent="0.25">
      <c r="A1420" s="14">
        <v>12317</v>
      </c>
      <c r="B1420" s="7" t="s">
        <v>236</v>
      </c>
      <c r="C1420" s="7" t="s">
        <v>424</v>
      </c>
      <c r="D1420" s="7" t="s">
        <v>1024</v>
      </c>
      <c r="E1420" s="7" t="s">
        <v>318</v>
      </c>
      <c r="F1420" s="7" t="s">
        <v>0</v>
      </c>
      <c r="G1420" s="7" t="s">
        <v>1025</v>
      </c>
      <c r="H1420" s="15">
        <v>0.01</v>
      </c>
      <c r="I1420" s="15">
        <v>229.7</v>
      </c>
      <c r="J1420" s="7" t="str">
        <f>IFERROR(_xlfn.XLOOKUP(F1420,ccustos!A:A,ccustos!B:B),"Sem termo")</f>
        <v>SEPAT</v>
      </c>
    </row>
    <row r="1421" spans="1:10" ht="25.5" customHeight="1" x14ac:dyDescent="0.25">
      <c r="A1421" s="16">
        <v>12318</v>
      </c>
      <c r="B1421" s="17" t="s">
        <v>236</v>
      </c>
      <c r="C1421" s="17" t="s">
        <v>313</v>
      </c>
      <c r="D1421" s="17" t="s">
        <v>1026</v>
      </c>
      <c r="E1421" s="17" t="s">
        <v>250</v>
      </c>
      <c r="F1421" s="17" t="s">
        <v>213</v>
      </c>
      <c r="G1421" s="17" t="s">
        <v>529</v>
      </c>
      <c r="H1421" s="18">
        <v>585</v>
      </c>
      <c r="I1421" s="18">
        <v>236.29</v>
      </c>
      <c r="J1421" s="7" t="str">
        <f>IFERROR(_xlfn.XLOOKUP(F1421,ccustos!A:A,ccustos!B:B),"Sem termo")</f>
        <v>DIEPG</v>
      </c>
    </row>
    <row r="1422" spans="1:10" ht="25.5" customHeight="1" x14ac:dyDescent="0.25">
      <c r="A1422" s="14">
        <v>12321</v>
      </c>
      <c r="B1422" s="7" t="s">
        <v>236</v>
      </c>
      <c r="C1422" s="7" t="s">
        <v>399</v>
      </c>
      <c r="D1422" s="7" t="s">
        <v>841</v>
      </c>
      <c r="E1422" s="7" t="s">
        <v>239</v>
      </c>
      <c r="F1422" s="7" t="s">
        <v>0</v>
      </c>
      <c r="G1422" s="7" t="s">
        <v>843</v>
      </c>
      <c r="H1422" s="15">
        <v>45</v>
      </c>
      <c r="I1422" s="15">
        <v>0</v>
      </c>
      <c r="J1422" s="7" t="str">
        <f>IFERROR(_xlfn.XLOOKUP(F1422,ccustos!A:A,ccustos!B:B),"Sem termo")</f>
        <v>SEPAT</v>
      </c>
    </row>
    <row r="1423" spans="1:10" ht="25.5" customHeight="1" x14ac:dyDescent="0.25">
      <c r="A1423" s="16">
        <v>12322</v>
      </c>
      <c r="B1423" s="17" t="s">
        <v>236</v>
      </c>
      <c r="C1423" s="17" t="s">
        <v>306</v>
      </c>
      <c r="D1423" s="17" t="s">
        <v>369</v>
      </c>
      <c r="E1423" s="17" t="s">
        <v>239</v>
      </c>
      <c r="F1423" s="17" t="s">
        <v>205</v>
      </c>
      <c r="G1423" s="17" t="s">
        <v>289</v>
      </c>
      <c r="H1423" s="18">
        <v>444.97</v>
      </c>
      <c r="I1423" s="18">
        <v>180.41</v>
      </c>
      <c r="J1423" s="7" t="str">
        <f>IFERROR(_xlfn.XLOOKUP(F1423,ccustos!A:A,ccustos!B:B),"Sem termo")</f>
        <v>CCOM</v>
      </c>
    </row>
    <row r="1424" spans="1:10" ht="25.5" customHeight="1" x14ac:dyDescent="0.25">
      <c r="A1424" s="14">
        <v>12327</v>
      </c>
      <c r="B1424" s="7" t="s">
        <v>236</v>
      </c>
      <c r="C1424" s="7" t="s">
        <v>399</v>
      </c>
      <c r="D1424" s="7" t="s">
        <v>841</v>
      </c>
      <c r="E1424" s="7" t="s">
        <v>239</v>
      </c>
      <c r="F1424" s="7" t="s">
        <v>0</v>
      </c>
      <c r="G1424" s="7" t="s">
        <v>843</v>
      </c>
      <c r="H1424" s="15">
        <v>45</v>
      </c>
      <c r="I1424" s="15">
        <v>20.2</v>
      </c>
      <c r="J1424" s="7" t="str">
        <f>IFERROR(_xlfn.XLOOKUP(F1424,ccustos!A:A,ccustos!B:B),"Sem termo")</f>
        <v>SEPAT</v>
      </c>
    </row>
    <row r="1425" spans="1:10" ht="25.5" customHeight="1" x14ac:dyDescent="0.25">
      <c r="A1425" s="16">
        <v>12328</v>
      </c>
      <c r="B1425" s="17" t="s">
        <v>236</v>
      </c>
      <c r="C1425" s="17" t="s">
        <v>399</v>
      </c>
      <c r="D1425" s="17" t="s">
        <v>841</v>
      </c>
      <c r="E1425" s="17" t="s">
        <v>239</v>
      </c>
      <c r="F1425" s="17" t="s">
        <v>0</v>
      </c>
      <c r="G1425" s="17" t="s">
        <v>843</v>
      </c>
      <c r="H1425" s="18">
        <v>45</v>
      </c>
      <c r="I1425" s="18">
        <v>20.2</v>
      </c>
      <c r="J1425" s="7" t="str">
        <f>IFERROR(_xlfn.XLOOKUP(F1425,ccustos!A:A,ccustos!B:B),"Sem termo")</f>
        <v>SEPAT</v>
      </c>
    </row>
    <row r="1426" spans="1:10" ht="25.5" customHeight="1" x14ac:dyDescent="0.25">
      <c r="A1426" s="14">
        <v>12332</v>
      </c>
      <c r="B1426" s="7" t="s">
        <v>236</v>
      </c>
      <c r="C1426" s="7" t="s">
        <v>306</v>
      </c>
      <c r="D1426" s="7" t="s">
        <v>369</v>
      </c>
      <c r="E1426" s="7" t="s">
        <v>239</v>
      </c>
      <c r="F1426" s="7" t="s">
        <v>20</v>
      </c>
      <c r="G1426" s="7" t="s">
        <v>828</v>
      </c>
      <c r="H1426" s="15">
        <v>318</v>
      </c>
      <c r="I1426" s="15">
        <v>164.93</v>
      </c>
      <c r="J1426" s="7" t="str">
        <f>IFERROR(_xlfn.XLOOKUP(F1426,ccustos!A:A,ccustos!B:B),"Sem termo")</f>
        <v>CGTI</v>
      </c>
    </row>
    <row r="1427" spans="1:10" ht="25.5" customHeight="1" x14ac:dyDescent="0.25">
      <c r="A1427" s="16">
        <v>12333</v>
      </c>
      <c r="B1427" s="17" t="s">
        <v>236</v>
      </c>
      <c r="C1427" s="17" t="s">
        <v>237</v>
      </c>
      <c r="D1427" s="17" t="s">
        <v>536</v>
      </c>
      <c r="E1427" s="17" t="s">
        <v>239</v>
      </c>
      <c r="F1427" s="17" t="s">
        <v>14</v>
      </c>
      <c r="G1427" s="17" t="s">
        <v>278</v>
      </c>
      <c r="H1427" s="18">
        <v>201.3</v>
      </c>
      <c r="I1427" s="18">
        <v>173.7</v>
      </c>
      <c r="J1427" s="7" t="str">
        <f>IFERROR(_xlfn.XLOOKUP(F1427,ccustos!A:A,ccustos!B:B),"Sem termo")</f>
        <v>SEPAT</v>
      </c>
    </row>
    <row r="1428" spans="1:10" ht="25.5" customHeight="1" x14ac:dyDescent="0.25">
      <c r="A1428" s="14">
        <v>12334</v>
      </c>
      <c r="B1428" s="7" t="s">
        <v>236</v>
      </c>
      <c r="C1428" s="7" t="s">
        <v>424</v>
      </c>
      <c r="D1428" s="7" t="s">
        <v>1027</v>
      </c>
      <c r="E1428" s="7" t="s">
        <v>318</v>
      </c>
      <c r="F1428" s="7" t="s">
        <v>0</v>
      </c>
      <c r="G1428" s="7" t="s">
        <v>828</v>
      </c>
      <c r="H1428" s="15">
        <v>320</v>
      </c>
      <c r="I1428" s="15">
        <v>176.74</v>
      </c>
      <c r="J1428" s="7" t="str">
        <f>IFERROR(_xlfn.XLOOKUP(F1428,ccustos!A:A,ccustos!B:B),"Sem termo")</f>
        <v>SEPAT</v>
      </c>
    </row>
    <row r="1429" spans="1:10" ht="25.5" customHeight="1" x14ac:dyDescent="0.25">
      <c r="A1429" s="16">
        <v>12335</v>
      </c>
      <c r="B1429" s="17" t="s">
        <v>236</v>
      </c>
      <c r="C1429" s="17" t="s">
        <v>399</v>
      </c>
      <c r="D1429" s="17" t="s">
        <v>1028</v>
      </c>
      <c r="E1429" s="17" t="s">
        <v>239</v>
      </c>
      <c r="F1429" s="17" t="s">
        <v>6</v>
      </c>
      <c r="G1429" s="17" t="s">
        <v>1029</v>
      </c>
      <c r="H1429" s="18">
        <v>21000</v>
      </c>
      <c r="I1429" s="18">
        <v>20.2</v>
      </c>
      <c r="J1429" s="7" t="str">
        <f>IFERROR(_xlfn.XLOOKUP(F1429,ccustos!A:A,ccustos!B:B),"Sem termo")</f>
        <v>SEPAT</v>
      </c>
    </row>
    <row r="1430" spans="1:10" ht="36.75" customHeight="1" x14ac:dyDescent="0.25">
      <c r="A1430" s="14">
        <v>12336</v>
      </c>
      <c r="B1430" s="7" t="s">
        <v>236</v>
      </c>
      <c r="C1430" s="7" t="s">
        <v>399</v>
      </c>
      <c r="D1430" s="7" t="s">
        <v>1028</v>
      </c>
      <c r="E1430" s="7" t="s">
        <v>239</v>
      </c>
      <c r="F1430" s="7" t="s">
        <v>6</v>
      </c>
      <c r="G1430" s="7" t="s">
        <v>913</v>
      </c>
      <c r="H1430" s="15">
        <v>7290</v>
      </c>
      <c r="I1430" s="15">
        <v>17.37</v>
      </c>
      <c r="J1430" s="7" t="str">
        <f>IFERROR(_xlfn.XLOOKUP(F1430,ccustos!A:A,ccustos!B:B),"Sem termo")</f>
        <v>SEPAT</v>
      </c>
    </row>
    <row r="1431" spans="1:10" ht="25.5" customHeight="1" x14ac:dyDescent="0.25">
      <c r="A1431" s="16">
        <v>12339</v>
      </c>
      <c r="B1431" s="17" t="s">
        <v>236</v>
      </c>
      <c r="C1431" s="17" t="s">
        <v>316</v>
      </c>
      <c r="D1431" s="17" t="s">
        <v>1030</v>
      </c>
      <c r="E1431" s="17" t="s">
        <v>318</v>
      </c>
      <c r="F1431" s="17" t="s">
        <v>8</v>
      </c>
      <c r="G1431" s="17" t="s">
        <v>1031</v>
      </c>
      <c r="H1431" s="18">
        <v>208700</v>
      </c>
      <c r="I1431" s="18">
        <v>274.22000000000003</v>
      </c>
      <c r="J1431" s="7" t="str">
        <f>IFERROR(_xlfn.XLOOKUP(F1431,ccustos!A:A,ccustos!B:B),"Sem termo")</f>
        <v>DEINFRA</v>
      </c>
    </row>
    <row r="1432" spans="1:10" ht="25.5" customHeight="1" x14ac:dyDescent="0.25">
      <c r="A1432" s="14">
        <v>12340</v>
      </c>
      <c r="B1432" s="7" t="s">
        <v>236</v>
      </c>
      <c r="C1432" s="7" t="s">
        <v>399</v>
      </c>
      <c r="D1432" s="7" t="s">
        <v>1032</v>
      </c>
      <c r="E1432" s="7" t="s">
        <v>239</v>
      </c>
      <c r="F1432" s="7" t="s">
        <v>0</v>
      </c>
      <c r="G1432" s="7" t="s">
        <v>243</v>
      </c>
      <c r="H1432" s="15">
        <v>0.1</v>
      </c>
      <c r="I1432" s="15">
        <v>10.85</v>
      </c>
      <c r="J1432" s="7" t="str">
        <f>IFERROR(_xlfn.XLOOKUP(F1432,ccustos!A:A,ccustos!B:B),"Sem termo")</f>
        <v>SEPAT</v>
      </c>
    </row>
    <row r="1433" spans="1:10" ht="25.5" customHeight="1" x14ac:dyDescent="0.25">
      <c r="A1433" s="16">
        <v>12343</v>
      </c>
      <c r="B1433" s="17" t="s">
        <v>236</v>
      </c>
      <c r="C1433" s="17" t="s">
        <v>399</v>
      </c>
      <c r="D1433" s="17" t="s">
        <v>1033</v>
      </c>
      <c r="E1433" s="17" t="s">
        <v>239</v>
      </c>
      <c r="F1433" s="17" t="s">
        <v>6</v>
      </c>
      <c r="G1433" s="17" t="s">
        <v>938</v>
      </c>
      <c r="H1433" s="18">
        <v>2487.6799999999998</v>
      </c>
      <c r="I1433" s="18">
        <v>20.2</v>
      </c>
      <c r="J1433" s="7" t="str">
        <f>IFERROR(_xlfn.XLOOKUP(F1433,ccustos!A:A,ccustos!B:B),"Sem termo")</f>
        <v>SEPAT</v>
      </c>
    </row>
    <row r="1434" spans="1:10" ht="25.5" customHeight="1" x14ac:dyDescent="0.25">
      <c r="A1434" s="14">
        <v>12344</v>
      </c>
      <c r="B1434" s="7" t="s">
        <v>236</v>
      </c>
      <c r="C1434" s="7" t="s">
        <v>399</v>
      </c>
      <c r="D1434" s="7" t="s">
        <v>1028</v>
      </c>
      <c r="E1434" s="7" t="s">
        <v>239</v>
      </c>
      <c r="F1434" s="7" t="s">
        <v>6</v>
      </c>
      <c r="G1434" s="7" t="s">
        <v>913</v>
      </c>
      <c r="H1434" s="15">
        <v>7290</v>
      </c>
      <c r="I1434" s="15">
        <v>20.2</v>
      </c>
      <c r="J1434" s="7" t="str">
        <f>IFERROR(_xlfn.XLOOKUP(F1434,ccustos!A:A,ccustos!B:B),"Sem termo")</f>
        <v>SEPAT</v>
      </c>
    </row>
    <row r="1435" spans="1:10" ht="36.75" customHeight="1" x14ac:dyDescent="0.25">
      <c r="A1435" s="16">
        <v>12346</v>
      </c>
      <c r="B1435" s="17" t="s">
        <v>236</v>
      </c>
      <c r="C1435" s="17" t="s">
        <v>399</v>
      </c>
      <c r="D1435" s="17" t="s">
        <v>1034</v>
      </c>
      <c r="E1435" s="17" t="s">
        <v>239</v>
      </c>
      <c r="F1435" s="17" t="s">
        <v>6</v>
      </c>
      <c r="G1435" s="17" t="s">
        <v>938</v>
      </c>
      <c r="H1435" s="18">
        <v>2649.92</v>
      </c>
      <c r="I1435" s="18">
        <v>54.09</v>
      </c>
      <c r="J1435" s="7" t="str">
        <f>IFERROR(_xlfn.XLOOKUP(F1435,ccustos!A:A,ccustos!B:B),"Sem termo")</f>
        <v>SEPAT</v>
      </c>
    </row>
    <row r="1436" spans="1:10" ht="36.75" customHeight="1" x14ac:dyDescent="0.25">
      <c r="A1436" s="14">
        <v>12349</v>
      </c>
      <c r="B1436" s="7" t="s">
        <v>236</v>
      </c>
      <c r="C1436" s="7" t="s">
        <v>237</v>
      </c>
      <c r="D1436" s="7" t="s">
        <v>279</v>
      </c>
      <c r="E1436" s="7" t="s">
        <v>239</v>
      </c>
      <c r="F1436" s="7" t="s">
        <v>0</v>
      </c>
      <c r="G1436" s="7" t="s">
        <v>343</v>
      </c>
      <c r="H1436" s="15">
        <v>530.16999999999996</v>
      </c>
      <c r="I1436" s="15">
        <v>173.7</v>
      </c>
      <c r="J1436" s="7" t="str">
        <f>IFERROR(_xlfn.XLOOKUP(F1436,ccustos!A:A,ccustos!B:B),"Sem termo")</f>
        <v>SEPAT</v>
      </c>
    </row>
    <row r="1437" spans="1:10" ht="36.75" customHeight="1" x14ac:dyDescent="0.25">
      <c r="A1437" s="16">
        <v>12358</v>
      </c>
      <c r="B1437" s="17" t="s">
        <v>236</v>
      </c>
      <c r="C1437" s="17" t="s">
        <v>237</v>
      </c>
      <c r="D1437" s="17" t="s">
        <v>279</v>
      </c>
      <c r="E1437" s="17" t="s">
        <v>239</v>
      </c>
      <c r="F1437" s="17" t="s">
        <v>0</v>
      </c>
      <c r="G1437" s="17" t="s">
        <v>343</v>
      </c>
      <c r="H1437" s="18">
        <v>530.16999999999996</v>
      </c>
      <c r="I1437" s="18">
        <v>173.7</v>
      </c>
      <c r="J1437" s="7" t="str">
        <f>IFERROR(_xlfn.XLOOKUP(F1437,ccustos!A:A,ccustos!B:B),"Sem termo")</f>
        <v>SEPAT</v>
      </c>
    </row>
    <row r="1438" spans="1:10" ht="36.75" customHeight="1" x14ac:dyDescent="0.25">
      <c r="A1438" s="14">
        <v>12370</v>
      </c>
      <c r="B1438" s="7" t="s">
        <v>236</v>
      </c>
      <c r="C1438" s="7" t="s">
        <v>237</v>
      </c>
      <c r="D1438" s="7" t="s">
        <v>846</v>
      </c>
      <c r="E1438" s="7" t="s">
        <v>239</v>
      </c>
      <c r="F1438" s="7" t="s">
        <v>28</v>
      </c>
      <c r="G1438" s="7" t="s">
        <v>343</v>
      </c>
      <c r="H1438" s="15">
        <v>530.16999999999996</v>
      </c>
      <c r="I1438" s="15">
        <v>173.7</v>
      </c>
      <c r="J1438" s="7" t="str">
        <f>IFERROR(_xlfn.XLOOKUP(F1438,ccustos!A:A,ccustos!B:B),"Sem termo")</f>
        <v>COPI</v>
      </c>
    </row>
    <row r="1439" spans="1:10" ht="36.75" customHeight="1" x14ac:dyDescent="0.25">
      <c r="A1439" s="16">
        <v>12372</v>
      </c>
      <c r="B1439" s="17" t="s">
        <v>236</v>
      </c>
      <c r="C1439" s="17" t="s">
        <v>237</v>
      </c>
      <c r="D1439" s="17" t="s">
        <v>1035</v>
      </c>
      <c r="E1439" s="17" t="s">
        <v>239</v>
      </c>
      <c r="F1439" s="17" t="s">
        <v>8</v>
      </c>
      <c r="G1439" s="17" t="s">
        <v>1036</v>
      </c>
      <c r="H1439" s="18">
        <v>85</v>
      </c>
      <c r="I1439" s="18">
        <v>173.7</v>
      </c>
      <c r="J1439" s="7" t="str">
        <f>IFERROR(_xlfn.XLOOKUP(F1439,ccustos!A:A,ccustos!B:B),"Sem termo")</f>
        <v>DEINFRA</v>
      </c>
    </row>
    <row r="1440" spans="1:10" ht="25.5" customHeight="1" x14ac:dyDescent="0.25">
      <c r="A1440" s="14">
        <v>12375</v>
      </c>
      <c r="B1440" s="7" t="s">
        <v>236</v>
      </c>
      <c r="C1440" s="7" t="s">
        <v>237</v>
      </c>
      <c r="D1440" s="7" t="s">
        <v>846</v>
      </c>
      <c r="E1440" s="7" t="s">
        <v>239</v>
      </c>
      <c r="F1440" s="7" t="s">
        <v>205</v>
      </c>
      <c r="G1440" s="7" t="s">
        <v>343</v>
      </c>
      <c r="H1440" s="15">
        <v>530.16999999999996</v>
      </c>
      <c r="I1440" s="15">
        <v>173.7</v>
      </c>
      <c r="J1440" s="7" t="str">
        <f>IFERROR(_xlfn.XLOOKUP(F1440,ccustos!A:A,ccustos!B:B),"Sem termo")</f>
        <v>CCOM</v>
      </c>
    </row>
    <row r="1441" spans="1:10" ht="36.75" customHeight="1" x14ac:dyDescent="0.25">
      <c r="A1441" s="16">
        <v>12384</v>
      </c>
      <c r="B1441" s="17" t="s">
        <v>236</v>
      </c>
      <c r="C1441" s="17" t="s">
        <v>237</v>
      </c>
      <c r="D1441" s="17" t="s">
        <v>550</v>
      </c>
      <c r="E1441" s="17" t="s">
        <v>239</v>
      </c>
      <c r="F1441" s="17" t="s">
        <v>0</v>
      </c>
      <c r="G1441" s="17" t="s">
        <v>280</v>
      </c>
      <c r="H1441" s="18">
        <v>565.46</v>
      </c>
      <c r="I1441" s="18">
        <v>173.7</v>
      </c>
      <c r="J1441" s="7" t="str">
        <f>IFERROR(_xlfn.XLOOKUP(F1441,ccustos!A:A,ccustos!B:B),"Sem termo")</f>
        <v>SEPAT</v>
      </c>
    </row>
    <row r="1442" spans="1:10" ht="25.5" customHeight="1" x14ac:dyDescent="0.25">
      <c r="A1442" s="14">
        <v>12386</v>
      </c>
      <c r="B1442" s="7" t="s">
        <v>236</v>
      </c>
      <c r="C1442" s="7" t="s">
        <v>237</v>
      </c>
      <c r="D1442" s="7" t="s">
        <v>597</v>
      </c>
      <c r="E1442" s="7" t="s">
        <v>239</v>
      </c>
      <c r="F1442" s="7" t="s">
        <v>0</v>
      </c>
      <c r="G1442" s="7" t="s">
        <v>280</v>
      </c>
      <c r="H1442" s="15">
        <v>565.47</v>
      </c>
      <c r="I1442" s="15">
        <v>173.7</v>
      </c>
      <c r="J1442" s="7" t="str">
        <f>IFERROR(_xlfn.XLOOKUP(F1442,ccustos!A:A,ccustos!B:B),"Sem termo")</f>
        <v>SEPAT</v>
      </c>
    </row>
    <row r="1443" spans="1:10" ht="25.5" customHeight="1" x14ac:dyDescent="0.25">
      <c r="A1443" s="16">
        <v>12390</v>
      </c>
      <c r="B1443" s="17" t="s">
        <v>236</v>
      </c>
      <c r="C1443" s="17" t="s">
        <v>237</v>
      </c>
      <c r="D1443" s="17" t="s">
        <v>597</v>
      </c>
      <c r="E1443" s="17" t="s">
        <v>239</v>
      </c>
      <c r="F1443" s="17" t="s">
        <v>0</v>
      </c>
      <c r="G1443" s="17" t="s">
        <v>280</v>
      </c>
      <c r="H1443" s="18">
        <v>565.46</v>
      </c>
      <c r="I1443" s="18">
        <v>173.7</v>
      </c>
      <c r="J1443" s="7" t="str">
        <f>IFERROR(_xlfn.XLOOKUP(F1443,ccustos!A:A,ccustos!B:B),"Sem termo")</f>
        <v>SEPAT</v>
      </c>
    </row>
    <row r="1444" spans="1:10" ht="25.5" customHeight="1" x14ac:dyDescent="0.25">
      <c r="A1444" s="14">
        <v>12396</v>
      </c>
      <c r="B1444" s="7" t="s">
        <v>236</v>
      </c>
      <c r="C1444" s="7" t="s">
        <v>237</v>
      </c>
      <c r="D1444" s="7" t="s">
        <v>597</v>
      </c>
      <c r="E1444" s="7" t="s">
        <v>239</v>
      </c>
      <c r="F1444" s="7" t="s">
        <v>0</v>
      </c>
      <c r="G1444" s="7" t="s">
        <v>280</v>
      </c>
      <c r="H1444" s="15">
        <v>565.47</v>
      </c>
      <c r="I1444" s="15">
        <v>173.7</v>
      </c>
      <c r="J1444" s="7" t="str">
        <f>IFERROR(_xlfn.XLOOKUP(F1444,ccustos!A:A,ccustos!B:B),"Sem termo")</f>
        <v>SEPAT</v>
      </c>
    </row>
    <row r="1445" spans="1:10" ht="36.75" customHeight="1" x14ac:dyDescent="0.25">
      <c r="A1445" s="16">
        <v>12402</v>
      </c>
      <c r="B1445" s="17" t="s">
        <v>236</v>
      </c>
      <c r="C1445" s="17" t="s">
        <v>237</v>
      </c>
      <c r="D1445" s="17" t="s">
        <v>774</v>
      </c>
      <c r="E1445" s="17" t="s">
        <v>239</v>
      </c>
      <c r="F1445" s="17" t="s">
        <v>0</v>
      </c>
      <c r="G1445" s="17" t="s">
        <v>278</v>
      </c>
      <c r="H1445" s="18">
        <v>354.2</v>
      </c>
      <c r="I1445" s="18">
        <v>173.7</v>
      </c>
      <c r="J1445" s="7" t="str">
        <f>IFERROR(_xlfn.XLOOKUP(F1445,ccustos!A:A,ccustos!B:B),"Sem termo")</f>
        <v>SEPAT</v>
      </c>
    </row>
    <row r="1446" spans="1:10" ht="25.5" customHeight="1" x14ac:dyDescent="0.25">
      <c r="A1446" s="14">
        <v>12412</v>
      </c>
      <c r="B1446" s="7" t="s">
        <v>236</v>
      </c>
      <c r="C1446" s="7" t="s">
        <v>325</v>
      </c>
      <c r="D1446" s="7" t="s">
        <v>983</v>
      </c>
      <c r="E1446" s="7" t="s">
        <v>239</v>
      </c>
      <c r="F1446" s="7" t="s">
        <v>43</v>
      </c>
      <c r="G1446" s="7" t="s">
        <v>828</v>
      </c>
      <c r="H1446" s="15">
        <v>400</v>
      </c>
      <c r="I1446" s="15">
        <v>328.67</v>
      </c>
      <c r="J1446" s="7" t="str">
        <f>IFERROR(_xlfn.XLOOKUP(F1446,ccustos!A:A,ccustos!B:B),"Sem termo")</f>
        <v>SEPAT</v>
      </c>
    </row>
    <row r="1447" spans="1:10" ht="25.5" customHeight="1" x14ac:dyDescent="0.25">
      <c r="A1447" s="16">
        <v>12413</v>
      </c>
      <c r="B1447" s="17" t="s">
        <v>236</v>
      </c>
      <c r="C1447" s="17" t="s">
        <v>325</v>
      </c>
      <c r="D1447" s="17" t="s">
        <v>983</v>
      </c>
      <c r="E1447" s="17" t="s">
        <v>239</v>
      </c>
      <c r="F1447" s="17" t="s">
        <v>43</v>
      </c>
      <c r="G1447" s="17" t="s">
        <v>257</v>
      </c>
      <c r="H1447" s="18">
        <v>400</v>
      </c>
      <c r="I1447" s="18">
        <v>766.89</v>
      </c>
      <c r="J1447" s="7" t="str">
        <f>IFERROR(_xlfn.XLOOKUP(F1447,ccustos!A:A,ccustos!B:B),"Sem termo")</f>
        <v>SEPAT</v>
      </c>
    </row>
    <row r="1448" spans="1:10" ht="25.5" customHeight="1" x14ac:dyDescent="0.25">
      <c r="A1448" s="14">
        <v>12416</v>
      </c>
      <c r="B1448" s="7" t="s">
        <v>236</v>
      </c>
      <c r="C1448" s="7" t="s">
        <v>237</v>
      </c>
      <c r="D1448" s="7" t="s">
        <v>538</v>
      </c>
      <c r="E1448" s="7" t="s">
        <v>239</v>
      </c>
      <c r="F1448" s="7" t="s">
        <v>24</v>
      </c>
      <c r="G1448" s="7" t="s">
        <v>278</v>
      </c>
      <c r="H1448" s="15">
        <v>434.5</v>
      </c>
      <c r="I1448" s="15">
        <v>112.78</v>
      </c>
      <c r="J1448" s="7" t="str">
        <f>IFERROR(_xlfn.XLOOKUP(F1448,ccustos!A:A,ccustos!B:B),"Sem termo")</f>
        <v>DEINFRA</v>
      </c>
    </row>
    <row r="1449" spans="1:10" ht="25.5" customHeight="1" x14ac:dyDescent="0.25">
      <c r="A1449" s="16">
        <v>12429</v>
      </c>
      <c r="B1449" s="17" t="s">
        <v>236</v>
      </c>
      <c r="C1449" s="17" t="s">
        <v>237</v>
      </c>
      <c r="D1449" s="17" t="s">
        <v>1037</v>
      </c>
      <c r="E1449" s="17" t="s">
        <v>239</v>
      </c>
      <c r="F1449" s="17" t="s">
        <v>9</v>
      </c>
      <c r="G1449" s="17" t="s">
        <v>243</v>
      </c>
      <c r="H1449" s="18">
        <v>0.1</v>
      </c>
      <c r="I1449" s="18">
        <v>521.1</v>
      </c>
      <c r="J1449" s="7" t="str">
        <f>IFERROR(_xlfn.XLOOKUP(F1449,ccustos!A:A,ccustos!B:B),"Sem termo")</f>
        <v>DEINFRA</v>
      </c>
    </row>
    <row r="1450" spans="1:10" ht="25.5" customHeight="1" x14ac:dyDescent="0.25">
      <c r="A1450" s="14">
        <v>12436</v>
      </c>
      <c r="B1450" s="7" t="s">
        <v>236</v>
      </c>
      <c r="C1450" s="7" t="s">
        <v>241</v>
      </c>
      <c r="D1450" s="7" t="s">
        <v>275</v>
      </c>
      <c r="E1450" s="7" t="s">
        <v>239</v>
      </c>
      <c r="F1450" s="7" t="s">
        <v>0</v>
      </c>
      <c r="G1450" s="7" t="s">
        <v>276</v>
      </c>
      <c r="H1450" s="15">
        <v>170.79</v>
      </c>
      <c r="I1450" s="15">
        <v>141.34</v>
      </c>
      <c r="J1450" s="7" t="str">
        <f>IFERROR(_xlfn.XLOOKUP(F1450,ccustos!A:A,ccustos!B:B),"Sem termo")</f>
        <v>SEPAT</v>
      </c>
    </row>
    <row r="1451" spans="1:10" ht="25.5" customHeight="1" x14ac:dyDescent="0.25">
      <c r="A1451" s="16">
        <v>12450</v>
      </c>
      <c r="B1451" s="17" t="s">
        <v>236</v>
      </c>
      <c r="C1451" s="17" t="s">
        <v>237</v>
      </c>
      <c r="D1451" s="17" t="s">
        <v>538</v>
      </c>
      <c r="E1451" s="17" t="s">
        <v>239</v>
      </c>
      <c r="F1451" s="17" t="s">
        <v>0</v>
      </c>
      <c r="G1451" s="17" t="s">
        <v>278</v>
      </c>
      <c r="H1451" s="18">
        <v>434.5</v>
      </c>
      <c r="I1451" s="18">
        <v>99.93</v>
      </c>
      <c r="J1451" s="7" t="str">
        <f>IFERROR(_xlfn.XLOOKUP(F1451,ccustos!A:A,ccustos!B:B),"Sem termo")</f>
        <v>SEPAT</v>
      </c>
    </row>
    <row r="1452" spans="1:10" ht="25.5" customHeight="1" x14ac:dyDescent="0.25">
      <c r="A1452" s="14">
        <v>12451</v>
      </c>
      <c r="B1452" s="7" t="s">
        <v>236</v>
      </c>
      <c r="C1452" s="7" t="s">
        <v>237</v>
      </c>
      <c r="D1452" s="7" t="s">
        <v>538</v>
      </c>
      <c r="E1452" s="7" t="s">
        <v>239</v>
      </c>
      <c r="F1452" s="7" t="s">
        <v>0</v>
      </c>
      <c r="G1452" s="7" t="s">
        <v>278</v>
      </c>
      <c r="H1452" s="15">
        <v>434.5</v>
      </c>
      <c r="I1452" s="15">
        <v>297.16000000000003</v>
      </c>
      <c r="J1452" s="7" t="str">
        <f>IFERROR(_xlfn.XLOOKUP(F1452,ccustos!A:A,ccustos!B:B),"Sem termo")</f>
        <v>SEPAT</v>
      </c>
    </row>
    <row r="1453" spans="1:10" ht="25.5" customHeight="1" x14ac:dyDescent="0.25">
      <c r="A1453" s="16">
        <v>12454</v>
      </c>
      <c r="B1453" s="17" t="s">
        <v>236</v>
      </c>
      <c r="C1453" s="17" t="s">
        <v>306</v>
      </c>
      <c r="D1453" s="17" t="s">
        <v>710</v>
      </c>
      <c r="E1453" s="17" t="s">
        <v>239</v>
      </c>
      <c r="F1453" s="17" t="s">
        <v>711</v>
      </c>
      <c r="G1453" s="17" t="s">
        <v>291</v>
      </c>
      <c r="H1453" s="18">
        <v>269.86</v>
      </c>
      <c r="I1453" s="18">
        <v>154.72999999999999</v>
      </c>
      <c r="J1453" s="7" t="str">
        <f>IFERROR(_xlfn.XLOOKUP(F1453,ccustos!A:A,ccustos!B:B),"Sem termo")</f>
        <v>Sem termo</v>
      </c>
    </row>
    <row r="1454" spans="1:10" ht="36.75" customHeight="1" x14ac:dyDescent="0.25">
      <c r="A1454" s="14">
        <v>12456</v>
      </c>
      <c r="B1454" s="7" t="s">
        <v>236</v>
      </c>
      <c r="C1454" s="7" t="s">
        <v>241</v>
      </c>
      <c r="D1454" s="7" t="s">
        <v>1038</v>
      </c>
      <c r="E1454" s="7" t="s">
        <v>239</v>
      </c>
      <c r="F1454" s="7" t="s">
        <v>68</v>
      </c>
      <c r="G1454" s="7" t="s">
        <v>308</v>
      </c>
      <c r="H1454" s="15">
        <v>314.75</v>
      </c>
      <c r="I1454" s="15">
        <v>141.34</v>
      </c>
      <c r="J1454" s="7" t="str">
        <f>IFERROR(_xlfn.XLOOKUP(F1454,ccustos!A:A,ccustos!B:B),"Sem termo")</f>
        <v>DEINFRA</v>
      </c>
    </row>
    <row r="1455" spans="1:10" ht="25.5" customHeight="1" x14ac:dyDescent="0.25">
      <c r="A1455" s="16">
        <v>12457</v>
      </c>
      <c r="B1455" s="17" t="s">
        <v>236</v>
      </c>
      <c r="C1455" s="17" t="s">
        <v>241</v>
      </c>
      <c r="D1455" s="17" t="s">
        <v>1039</v>
      </c>
      <c r="E1455" s="17" t="s">
        <v>239</v>
      </c>
      <c r="F1455" s="17" t="s">
        <v>185</v>
      </c>
      <c r="G1455" s="17" t="s">
        <v>243</v>
      </c>
      <c r="H1455" s="18">
        <v>0.1</v>
      </c>
      <c r="I1455" s="18">
        <v>0</v>
      </c>
      <c r="J1455" s="7" t="str">
        <f>IFERROR(_xlfn.XLOOKUP(F1455,ccustos!A:A,ccustos!B:B),"Sem termo")</f>
        <v>CGGE</v>
      </c>
    </row>
    <row r="1456" spans="1:10" ht="25.5" customHeight="1" x14ac:dyDescent="0.25">
      <c r="A1456" s="14">
        <v>12459</v>
      </c>
      <c r="B1456" s="7" t="s">
        <v>236</v>
      </c>
      <c r="C1456" s="7" t="s">
        <v>241</v>
      </c>
      <c r="D1456" s="7" t="s">
        <v>1040</v>
      </c>
      <c r="E1456" s="7" t="s">
        <v>239</v>
      </c>
      <c r="F1456" s="7" t="s">
        <v>9</v>
      </c>
      <c r="G1456" s="7" t="s">
        <v>781</v>
      </c>
      <c r="H1456" s="15">
        <v>0.05</v>
      </c>
      <c r="I1456" s="15">
        <v>424.03</v>
      </c>
      <c r="J1456" s="7" t="str">
        <f>IFERROR(_xlfn.XLOOKUP(F1456,ccustos!A:A,ccustos!B:B),"Sem termo")</f>
        <v>DEINFRA</v>
      </c>
    </row>
    <row r="1457" spans="1:10" ht="36.75" customHeight="1" x14ac:dyDescent="0.25">
      <c r="A1457" s="16">
        <v>12460</v>
      </c>
      <c r="B1457" s="17" t="s">
        <v>236</v>
      </c>
      <c r="C1457" s="17" t="s">
        <v>241</v>
      </c>
      <c r="D1457" s="17" t="s">
        <v>789</v>
      </c>
      <c r="E1457" s="17" t="s">
        <v>239</v>
      </c>
      <c r="F1457" s="17" t="s">
        <v>53</v>
      </c>
      <c r="G1457" s="17" t="s">
        <v>1041</v>
      </c>
      <c r="H1457" s="18">
        <v>0.05</v>
      </c>
      <c r="I1457" s="18">
        <v>424.03</v>
      </c>
      <c r="J1457" s="7" t="str">
        <f>IFERROR(_xlfn.XLOOKUP(F1457,ccustos!A:A,ccustos!B:B),"Sem termo")</f>
        <v>DELIC</v>
      </c>
    </row>
    <row r="1458" spans="1:10" ht="25.5" customHeight="1" x14ac:dyDescent="0.25">
      <c r="A1458" s="14">
        <v>12461</v>
      </c>
      <c r="B1458" s="7" t="s">
        <v>236</v>
      </c>
      <c r="C1458" s="7" t="s">
        <v>241</v>
      </c>
      <c r="D1458" s="7" t="s">
        <v>541</v>
      </c>
      <c r="E1458" s="7" t="s">
        <v>239</v>
      </c>
      <c r="F1458" s="7" t="s">
        <v>205</v>
      </c>
      <c r="G1458" s="7" t="s">
        <v>331</v>
      </c>
      <c r="H1458" s="15">
        <v>446</v>
      </c>
      <c r="I1458" s="15">
        <v>141.34</v>
      </c>
      <c r="J1458" s="7" t="str">
        <f>IFERROR(_xlfn.XLOOKUP(F1458,ccustos!A:A,ccustos!B:B),"Sem termo")</f>
        <v>CCOM</v>
      </c>
    </row>
    <row r="1459" spans="1:10" ht="25.5" customHeight="1" x14ac:dyDescent="0.25">
      <c r="A1459" s="16">
        <v>12462</v>
      </c>
      <c r="B1459" s="17" t="s">
        <v>236</v>
      </c>
      <c r="C1459" s="17" t="s">
        <v>241</v>
      </c>
      <c r="D1459" s="17" t="s">
        <v>1042</v>
      </c>
      <c r="E1459" s="17" t="s">
        <v>239</v>
      </c>
      <c r="F1459" s="17" t="s">
        <v>53</v>
      </c>
      <c r="G1459" s="17" t="s">
        <v>828</v>
      </c>
      <c r="H1459" s="18">
        <v>140</v>
      </c>
      <c r="I1459" s="18">
        <v>141.34</v>
      </c>
      <c r="J1459" s="7" t="str">
        <f>IFERROR(_xlfn.XLOOKUP(F1459,ccustos!A:A,ccustos!B:B),"Sem termo")</f>
        <v>DELIC</v>
      </c>
    </row>
    <row r="1460" spans="1:10" ht="25.5" customHeight="1" x14ac:dyDescent="0.25">
      <c r="A1460" s="14">
        <v>12463</v>
      </c>
      <c r="B1460" s="7" t="s">
        <v>236</v>
      </c>
      <c r="C1460" s="7" t="s">
        <v>241</v>
      </c>
      <c r="D1460" s="7" t="s">
        <v>773</v>
      </c>
      <c r="E1460" s="7" t="s">
        <v>239</v>
      </c>
      <c r="F1460" s="7" t="s">
        <v>303</v>
      </c>
      <c r="G1460" s="7" t="s">
        <v>339</v>
      </c>
      <c r="H1460" s="15">
        <v>364</v>
      </c>
      <c r="I1460" s="15">
        <v>141.34</v>
      </c>
      <c r="J1460" s="7" t="str">
        <f>IFERROR(_xlfn.XLOOKUP(F1460,ccustos!A:A,ccustos!B:B),"Sem termo")</f>
        <v>Sem termo</v>
      </c>
    </row>
    <row r="1461" spans="1:10" ht="25.5" customHeight="1" x14ac:dyDescent="0.25">
      <c r="A1461" s="16">
        <v>12467</v>
      </c>
      <c r="B1461" s="17" t="s">
        <v>236</v>
      </c>
      <c r="C1461" s="17" t="s">
        <v>241</v>
      </c>
      <c r="D1461" s="17" t="s">
        <v>1043</v>
      </c>
      <c r="E1461" s="17" t="s">
        <v>239</v>
      </c>
      <c r="F1461" s="17" t="s">
        <v>711</v>
      </c>
      <c r="G1461" s="17" t="s">
        <v>1044</v>
      </c>
      <c r="H1461" s="18">
        <v>64654.400000000001</v>
      </c>
      <c r="I1461" s="18">
        <v>141.34</v>
      </c>
      <c r="J1461" s="7" t="str">
        <f>IFERROR(_xlfn.XLOOKUP(F1461,ccustos!A:A,ccustos!B:B),"Sem termo")</f>
        <v>Sem termo</v>
      </c>
    </row>
    <row r="1462" spans="1:10" ht="25.5" customHeight="1" x14ac:dyDescent="0.25">
      <c r="A1462" s="14">
        <v>12469</v>
      </c>
      <c r="B1462" s="7" t="s">
        <v>236</v>
      </c>
      <c r="C1462" s="7" t="s">
        <v>237</v>
      </c>
      <c r="D1462" s="7" t="s">
        <v>238</v>
      </c>
      <c r="E1462" s="7" t="s">
        <v>239</v>
      </c>
      <c r="F1462" s="7" t="s">
        <v>15</v>
      </c>
      <c r="G1462" s="7" t="s">
        <v>240</v>
      </c>
      <c r="H1462" s="15">
        <v>75.94</v>
      </c>
      <c r="I1462" s="15">
        <v>64.540000000000006</v>
      </c>
      <c r="J1462" s="7" t="str">
        <f>IFERROR(_xlfn.XLOOKUP(F1462,ccustos!A:A,ccustos!B:B),"Sem termo")</f>
        <v>SEPAT</v>
      </c>
    </row>
    <row r="1463" spans="1:10" ht="25.5" customHeight="1" x14ac:dyDescent="0.25">
      <c r="A1463" s="16">
        <v>12477</v>
      </c>
      <c r="B1463" s="17" t="s">
        <v>236</v>
      </c>
      <c r="C1463" s="17" t="s">
        <v>241</v>
      </c>
      <c r="D1463" s="17" t="s">
        <v>271</v>
      </c>
      <c r="E1463" s="17" t="s">
        <v>239</v>
      </c>
      <c r="F1463" s="17" t="s">
        <v>16</v>
      </c>
      <c r="G1463" s="17" t="s">
        <v>272</v>
      </c>
      <c r="H1463" s="18">
        <v>42.1</v>
      </c>
      <c r="I1463" s="18">
        <v>47.11</v>
      </c>
      <c r="J1463" s="7" t="str">
        <f>IFERROR(_xlfn.XLOOKUP(F1463,ccustos!A:A,ccustos!B:B),"Sem termo")</f>
        <v>SEPAT</v>
      </c>
    </row>
    <row r="1464" spans="1:10" ht="25.5" customHeight="1" x14ac:dyDescent="0.25">
      <c r="A1464" s="14">
        <v>12480</v>
      </c>
      <c r="B1464" s="7" t="s">
        <v>236</v>
      </c>
      <c r="C1464" s="7" t="s">
        <v>241</v>
      </c>
      <c r="D1464" s="7" t="s">
        <v>1045</v>
      </c>
      <c r="E1464" s="7" t="s">
        <v>239</v>
      </c>
      <c r="F1464" s="7" t="s">
        <v>0</v>
      </c>
      <c r="G1464" s="7" t="s">
        <v>291</v>
      </c>
      <c r="H1464" s="15">
        <v>95.58</v>
      </c>
      <c r="I1464" s="15">
        <v>47.11</v>
      </c>
      <c r="J1464" s="7" t="str">
        <f>IFERROR(_xlfn.XLOOKUP(F1464,ccustos!A:A,ccustos!B:B),"Sem termo")</f>
        <v>SEPAT</v>
      </c>
    </row>
    <row r="1465" spans="1:10" ht="25.5" customHeight="1" x14ac:dyDescent="0.25">
      <c r="A1465" s="16">
        <v>12485</v>
      </c>
      <c r="B1465" s="17" t="s">
        <v>236</v>
      </c>
      <c r="C1465" s="17" t="s">
        <v>241</v>
      </c>
      <c r="D1465" s="17" t="s">
        <v>1046</v>
      </c>
      <c r="E1465" s="17" t="s">
        <v>239</v>
      </c>
      <c r="F1465" s="17" t="s">
        <v>186</v>
      </c>
      <c r="G1465" s="17" t="s">
        <v>384</v>
      </c>
      <c r="H1465" s="18">
        <v>234</v>
      </c>
      <c r="I1465" s="18">
        <v>141.34</v>
      </c>
      <c r="J1465" s="7" t="str">
        <f>IFERROR(_xlfn.XLOOKUP(F1465,ccustos!A:A,ccustos!B:B),"Sem termo")</f>
        <v>CGGE</v>
      </c>
    </row>
    <row r="1466" spans="1:10" ht="25.5" customHeight="1" x14ac:dyDescent="0.25">
      <c r="A1466" s="14">
        <v>12490</v>
      </c>
      <c r="B1466" s="7" t="s">
        <v>236</v>
      </c>
      <c r="C1466" s="7" t="s">
        <v>241</v>
      </c>
      <c r="D1466" s="7" t="s">
        <v>1047</v>
      </c>
      <c r="E1466" s="7" t="s">
        <v>239</v>
      </c>
      <c r="F1466" s="7" t="s">
        <v>39</v>
      </c>
      <c r="G1466" s="7" t="s">
        <v>293</v>
      </c>
      <c r="H1466" s="15">
        <v>0.01</v>
      </c>
      <c r="I1466" s="15">
        <v>47.11</v>
      </c>
      <c r="J1466" s="7" t="str">
        <f>IFERROR(_xlfn.XLOOKUP(F1466,ccustos!A:A,ccustos!B:B),"Sem termo")</f>
        <v>COREG</v>
      </c>
    </row>
    <row r="1467" spans="1:10" ht="25.5" customHeight="1" x14ac:dyDescent="0.25">
      <c r="A1467" s="16">
        <v>12491</v>
      </c>
      <c r="B1467" s="17" t="s">
        <v>236</v>
      </c>
      <c r="C1467" s="17" t="s">
        <v>399</v>
      </c>
      <c r="D1467" s="17" t="s">
        <v>824</v>
      </c>
      <c r="E1467" s="17" t="s">
        <v>239</v>
      </c>
      <c r="F1467" s="17" t="s">
        <v>0</v>
      </c>
      <c r="G1467" s="17" t="s">
        <v>1029</v>
      </c>
      <c r="H1467" s="18">
        <v>21000</v>
      </c>
      <c r="I1467" s="18">
        <v>14.55</v>
      </c>
      <c r="J1467" s="7" t="str">
        <f>IFERROR(_xlfn.XLOOKUP(F1467,ccustos!A:A,ccustos!B:B),"Sem termo")</f>
        <v>SEPAT</v>
      </c>
    </row>
    <row r="1468" spans="1:10" ht="36.75" customHeight="1" x14ac:dyDescent="0.25">
      <c r="A1468" s="14">
        <v>12496</v>
      </c>
      <c r="B1468" s="7" t="s">
        <v>236</v>
      </c>
      <c r="C1468" s="7" t="s">
        <v>399</v>
      </c>
      <c r="D1468" s="7" t="s">
        <v>841</v>
      </c>
      <c r="E1468" s="7" t="s">
        <v>239</v>
      </c>
      <c r="F1468" s="7" t="s">
        <v>0</v>
      </c>
      <c r="G1468" s="7" t="s">
        <v>842</v>
      </c>
      <c r="H1468" s="15">
        <v>45</v>
      </c>
      <c r="I1468" s="15">
        <v>14.55</v>
      </c>
      <c r="J1468" s="7" t="str">
        <f>IFERROR(_xlfn.XLOOKUP(F1468,ccustos!A:A,ccustos!B:B),"Sem termo")</f>
        <v>SEPAT</v>
      </c>
    </row>
    <row r="1469" spans="1:10" ht="25.5" customHeight="1" x14ac:dyDescent="0.25">
      <c r="A1469" s="16">
        <v>12501</v>
      </c>
      <c r="B1469" s="17" t="s">
        <v>236</v>
      </c>
      <c r="C1469" s="17" t="s">
        <v>241</v>
      </c>
      <c r="D1469" s="17" t="s">
        <v>271</v>
      </c>
      <c r="E1469" s="17" t="s">
        <v>239</v>
      </c>
      <c r="F1469" s="17" t="s">
        <v>74</v>
      </c>
      <c r="G1469" s="17" t="s">
        <v>272</v>
      </c>
      <c r="H1469" s="18">
        <v>42.2</v>
      </c>
      <c r="I1469" s="18">
        <v>141.34</v>
      </c>
      <c r="J1469" s="7" t="str">
        <f>IFERROR(_xlfn.XLOOKUP(F1469,ccustos!A:A,ccustos!B:B),"Sem termo")</f>
        <v>DEINFRA</v>
      </c>
    </row>
    <row r="1470" spans="1:10" ht="25.5" customHeight="1" x14ac:dyDescent="0.25">
      <c r="A1470" s="14">
        <v>12503</v>
      </c>
      <c r="B1470" s="7" t="s">
        <v>236</v>
      </c>
      <c r="C1470" s="7" t="s">
        <v>237</v>
      </c>
      <c r="D1470" s="7" t="s">
        <v>1048</v>
      </c>
      <c r="E1470" s="7" t="s">
        <v>239</v>
      </c>
      <c r="F1470" s="7" t="s">
        <v>44</v>
      </c>
      <c r="G1470" s="7" t="s">
        <v>278</v>
      </c>
      <c r="H1470" s="15">
        <v>354.2</v>
      </c>
      <c r="I1470" s="15">
        <v>356.01</v>
      </c>
      <c r="J1470" s="7" t="str">
        <f>IFERROR(_xlfn.XLOOKUP(F1470,ccustos!A:A,ccustos!B:B),"Sem termo")</f>
        <v>COFIS</v>
      </c>
    </row>
    <row r="1471" spans="1:10" ht="25.5" customHeight="1" x14ac:dyDescent="0.25">
      <c r="A1471" s="16">
        <v>12504</v>
      </c>
      <c r="B1471" s="17" t="s">
        <v>236</v>
      </c>
      <c r="C1471" s="17" t="s">
        <v>237</v>
      </c>
      <c r="D1471" s="17" t="s">
        <v>1049</v>
      </c>
      <c r="E1471" s="17" t="s">
        <v>239</v>
      </c>
      <c r="F1471" s="17" t="s">
        <v>44</v>
      </c>
      <c r="G1471" s="17" t="s">
        <v>1050</v>
      </c>
      <c r="H1471" s="18">
        <v>747</v>
      </c>
      <c r="I1471" s="18">
        <v>346.53</v>
      </c>
      <c r="J1471" s="7" t="str">
        <f>IFERROR(_xlfn.XLOOKUP(F1471,ccustos!A:A,ccustos!B:B),"Sem termo")</f>
        <v>COFIS</v>
      </c>
    </row>
    <row r="1472" spans="1:10" ht="36.75" customHeight="1" x14ac:dyDescent="0.25">
      <c r="A1472" s="14">
        <v>12505</v>
      </c>
      <c r="B1472" s="7" t="s">
        <v>236</v>
      </c>
      <c r="C1472" s="7" t="s">
        <v>237</v>
      </c>
      <c r="D1472" s="7" t="s">
        <v>1049</v>
      </c>
      <c r="E1472" s="7" t="s">
        <v>239</v>
      </c>
      <c r="F1472" s="7" t="s">
        <v>44</v>
      </c>
      <c r="G1472" s="7" t="s">
        <v>1050</v>
      </c>
      <c r="H1472" s="15">
        <v>747</v>
      </c>
      <c r="I1472" s="15">
        <v>346.53</v>
      </c>
      <c r="J1472" s="7" t="str">
        <f>IFERROR(_xlfn.XLOOKUP(F1472,ccustos!A:A,ccustos!B:B),"Sem termo")</f>
        <v>COFIS</v>
      </c>
    </row>
    <row r="1473" spans="1:10" ht="25.5" customHeight="1" x14ac:dyDescent="0.25">
      <c r="A1473" s="16">
        <v>12506</v>
      </c>
      <c r="B1473" s="17" t="s">
        <v>236</v>
      </c>
      <c r="C1473" s="17" t="s">
        <v>237</v>
      </c>
      <c r="D1473" s="17" t="s">
        <v>483</v>
      </c>
      <c r="E1473" s="17" t="s">
        <v>239</v>
      </c>
      <c r="F1473" s="17" t="s">
        <v>0</v>
      </c>
      <c r="G1473" s="17" t="s">
        <v>311</v>
      </c>
      <c r="H1473" s="18">
        <v>1021.01</v>
      </c>
      <c r="I1473" s="18">
        <v>397.35</v>
      </c>
      <c r="J1473" s="7" t="str">
        <f>IFERROR(_xlfn.XLOOKUP(F1473,ccustos!A:A,ccustos!B:B),"Sem termo")</f>
        <v>SEPAT</v>
      </c>
    </row>
    <row r="1474" spans="1:10" ht="36.75" customHeight="1" x14ac:dyDescent="0.25">
      <c r="A1474" s="14">
        <v>12507</v>
      </c>
      <c r="B1474" s="7" t="s">
        <v>236</v>
      </c>
      <c r="C1474" s="7" t="s">
        <v>237</v>
      </c>
      <c r="D1474" s="7" t="s">
        <v>358</v>
      </c>
      <c r="E1474" s="7" t="s">
        <v>239</v>
      </c>
      <c r="F1474" s="7" t="s">
        <v>185</v>
      </c>
      <c r="G1474" s="7" t="s">
        <v>311</v>
      </c>
      <c r="H1474" s="15">
        <v>1021.01</v>
      </c>
      <c r="I1474" s="15">
        <v>64.08</v>
      </c>
      <c r="J1474" s="7" t="str">
        <f>IFERROR(_xlfn.XLOOKUP(F1474,ccustos!A:A,ccustos!B:B),"Sem termo")</f>
        <v>CGGE</v>
      </c>
    </row>
    <row r="1475" spans="1:10" ht="25.5" customHeight="1" x14ac:dyDescent="0.25">
      <c r="A1475" s="16">
        <v>12508</v>
      </c>
      <c r="B1475" s="17" t="s">
        <v>236</v>
      </c>
      <c r="C1475" s="17" t="s">
        <v>241</v>
      </c>
      <c r="D1475" s="17" t="s">
        <v>354</v>
      </c>
      <c r="E1475" s="17" t="s">
        <v>239</v>
      </c>
      <c r="F1475" s="17" t="s">
        <v>6</v>
      </c>
      <c r="G1475" s="17" t="s">
        <v>339</v>
      </c>
      <c r="H1475" s="18">
        <v>238</v>
      </c>
      <c r="I1475" s="18">
        <v>311.8</v>
      </c>
      <c r="J1475" s="7" t="str">
        <f>IFERROR(_xlfn.XLOOKUP(F1475,ccustos!A:A,ccustos!B:B),"Sem termo")</f>
        <v>SEPAT</v>
      </c>
    </row>
    <row r="1476" spans="1:10" ht="36.75" customHeight="1" x14ac:dyDescent="0.25">
      <c r="A1476" s="14">
        <v>12509</v>
      </c>
      <c r="B1476" s="7" t="s">
        <v>236</v>
      </c>
      <c r="C1476" s="7" t="s">
        <v>241</v>
      </c>
      <c r="D1476" s="7" t="s">
        <v>1051</v>
      </c>
      <c r="E1476" s="7" t="s">
        <v>239</v>
      </c>
      <c r="F1476" s="7" t="s">
        <v>62</v>
      </c>
      <c r="G1476" s="7" t="s">
        <v>1052</v>
      </c>
      <c r="H1476" s="15">
        <v>45000</v>
      </c>
      <c r="I1476" s="15">
        <v>141.34</v>
      </c>
      <c r="J1476" s="7" t="str">
        <f>IFERROR(_xlfn.XLOOKUP(F1476,ccustos!A:A,ccustos!B:B),"Sem termo")</f>
        <v>SETRAN</v>
      </c>
    </row>
    <row r="1477" spans="1:10" ht="36.75" customHeight="1" x14ac:dyDescent="0.25">
      <c r="A1477" s="16">
        <v>12512</v>
      </c>
      <c r="B1477" s="17" t="s">
        <v>236</v>
      </c>
      <c r="C1477" s="17" t="s">
        <v>722</v>
      </c>
      <c r="D1477" s="17" t="s">
        <v>1053</v>
      </c>
      <c r="E1477" s="17" t="s">
        <v>239</v>
      </c>
      <c r="F1477" s="17" t="s">
        <v>37</v>
      </c>
      <c r="G1477" s="17" t="s">
        <v>463</v>
      </c>
      <c r="H1477" s="18">
        <v>658.1</v>
      </c>
      <c r="I1477" s="18">
        <v>220.42</v>
      </c>
      <c r="J1477" s="7" t="str">
        <f>IFERROR(_xlfn.XLOOKUP(F1477,ccustos!A:A,ccustos!B:B),"Sem termo")</f>
        <v>PROJUR</v>
      </c>
    </row>
    <row r="1478" spans="1:10" ht="25.5" customHeight="1" x14ac:dyDescent="0.25">
      <c r="A1478" s="14">
        <v>12515</v>
      </c>
      <c r="B1478" s="7" t="s">
        <v>236</v>
      </c>
      <c r="C1478" s="7" t="s">
        <v>1054</v>
      </c>
      <c r="D1478" s="7" t="s">
        <v>1055</v>
      </c>
      <c r="E1478" s="7" t="s">
        <v>250</v>
      </c>
      <c r="F1478" s="7" t="s">
        <v>0</v>
      </c>
      <c r="G1478" s="7" t="s">
        <v>1056</v>
      </c>
      <c r="H1478" s="15">
        <v>500</v>
      </c>
      <c r="I1478" s="15">
        <v>107.29</v>
      </c>
      <c r="J1478" s="7" t="str">
        <f>IFERROR(_xlfn.XLOOKUP(F1478,ccustos!A:A,ccustos!B:B),"Sem termo")</f>
        <v>SEPAT</v>
      </c>
    </row>
    <row r="1479" spans="1:10" ht="36.75" customHeight="1" x14ac:dyDescent="0.25">
      <c r="A1479" s="16">
        <v>12517</v>
      </c>
      <c r="B1479" s="17" t="s">
        <v>236</v>
      </c>
      <c r="C1479" s="17" t="s">
        <v>1054</v>
      </c>
      <c r="D1479" s="17" t="s">
        <v>1057</v>
      </c>
      <c r="E1479" s="17" t="s">
        <v>250</v>
      </c>
      <c r="F1479" s="17" t="s">
        <v>0</v>
      </c>
      <c r="G1479" s="17" t="s">
        <v>1056</v>
      </c>
      <c r="H1479" s="18">
        <v>500</v>
      </c>
      <c r="I1479" s="18">
        <v>107.29</v>
      </c>
      <c r="J1479" s="7" t="str">
        <f>IFERROR(_xlfn.XLOOKUP(F1479,ccustos!A:A,ccustos!B:B),"Sem termo")</f>
        <v>SEPAT</v>
      </c>
    </row>
    <row r="1480" spans="1:10" ht="25.5" customHeight="1" x14ac:dyDescent="0.25">
      <c r="A1480" s="14">
        <v>12518</v>
      </c>
      <c r="B1480" s="7" t="s">
        <v>236</v>
      </c>
      <c r="C1480" s="7" t="s">
        <v>1054</v>
      </c>
      <c r="D1480" s="7" t="s">
        <v>1057</v>
      </c>
      <c r="E1480" s="7" t="s">
        <v>250</v>
      </c>
      <c r="F1480" s="7" t="s">
        <v>0</v>
      </c>
      <c r="G1480" s="7" t="s">
        <v>1058</v>
      </c>
      <c r="H1480" s="15">
        <v>600</v>
      </c>
      <c r="I1480" s="15">
        <v>107.29</v>
      </c>
      <c r="J1480" s="7" t="str">
        <f>IFERROR(_xlfn.XLOOKUP(F1480,ccustos!A:A,ccustos!B:B),"Sem termo")</f>
        <v>SEPAT</v>
      </c>
    </row>
    <row r="1481" spans="1:10" ht="25.5" customHeight="1" x14ac:dyDescent="0.25">
      <c r="A1481" s="16">
        <v>12519</v>
      </c>
      <c r="B1481" s="17" t="s">
        <v>236</v>
      </c>
      <c r="C1481" s="17" t="s">
        <v>1054</v>
      </c>
      <c r="D1481" s="17" t="s">
        <v>1057</v>
      </c>
      <c r="E1481" s="17" t="s">
        <v>250</v>
      </c>
      <c r="F1481" s="17" t="s">
        <v>0</v>
      </c>
      <c r="G1481" s="17" t="s">
        <v>1056</v>
      </c>
      <c r="H1481" s="18">
        <v>500</v>
      </c>
      <c r="I1481" s="18">
        <v>107.29</v>
      </c>
      <c r="J1481" s="7" t="str">
        <f>IFERROR(_xlfn.XLOOKUP(F1481,ccustos!A:A,ccustos!B:B),"Sem termo")</f>
        <v>SEPAT</v>
      </c>
    </row>
    <row r="1482" spans="1:10" ht="25.5" customHeight="1" x14ac:dyDescent="0.25">
      <c r="A1482" s="14">
        <v>12520</v>
      </c>
      <c r="B1482" s="7" t="s">
        <v>236</v>
      </c>
      <c r="C1482" s="7" t="s">
        <v>1054</v>
      </c>
      <c r="D1482" s="7" t="s">
        <v>1059</v>
      </c>
      <c r="E1482" s="7" t="s">
        <v>250</v>
      </c>
      <c r="F1482" s="7" t="s">
        <v>0</v>
      </c>
      <c r="G1482" s="7" t="s">
        <v>1058</v>
      </c>
      <c r="H1482" s="15">
        <v>600</v>
      </c>
      <c r="I1482" s="15">
        <v>114.88</v>
      </c>
      <c r="J1482" s="7" t="str">
        <f>IFERROR(_xlfn.XLOOKUP(F1482,ccustos!A:A,ccustos!B:B),"Sem termo")</f>
        <v>SEPAT</v>
      </c>
    </row>
    <row r="1483" spans="1:10" ht="25.5" customHeight="1" x14ac:dyDescent="0.25">
      <c r="A1483" s="16">
        <v>12521</v>
      </c>
      <c r="B1483" s="17" t="s">
        <v>236</v>
      </c>
      <c r="C1483" s="17" t="s">
        <v>1054</v>
      </c>
      <c r="D1483" s="17" t="s">
        <v>1057</v>
      </c>
      <c r="E1483" s="17" t="s">
        <v>250</v>
      </c>
      <c r="F1483" s="17" t="s">
        <v>0</v>
      </c>
      <c r="G1483" s="17" t="s">
        <v>1058</v>
      </c>
      <c r="H1483" s="18">
        <v>600</v>
      </c>
      <c r="I1483" s="18">
        <v>107.29</v>
      </c>
      <c r="J1483" s="7" t="str">
        <f>IFERROR(_xlfn.XLOOKUP(F1483,ccustos!A:A,ccustos!B:B),"Sem termo")</f>
        <v>SEPAT</v>
      </c>
    </row>
    <row r="1484" spans="1:10" ht="36.75" customHeight="1" x14ac:dyDescent="0.25">
      <c r="A1484" s="14">
        <v>12579</v>
      </c>
      <c r="B1484" s="7" t="s">
        <v>236</v>
      </c>
      <c r="C1484" s="7" t="s">
        <v>313</v>
      </c>
      <c r="D1484" s="7" t="s">
        <v>1060</v>
      </c>
      <c r="E1484" s="7" t="s">
        <v>250</v>
      </c>
      <c r="F1484" s="7" t="s">
        <v>20</v>
      </c>
      <c r="G1484" s="7" t="s">
        <v>1061</v>
      </c>
      <c r="H1484" s="15">
        <v>560</v>
      </c>
      <c r="I1484" s="15">
        <v>360.76</v>
      </c>
      <c r="J1484" s="7" t="str">
        <f>IFERROR(_xlfn.XLOOKUP(F1484,ccustos!A:A,ccustos!B:B),"Sem termo")</f>
        <v>CGTI</v>
      </c>
    </row>
    <row r="1485" spans="1:10" ht="36.75" customHeight="1" x14ac:dyDescent="0.25">
      <c r="A1485" s="16">
        <v>12617</v>
      </c>
      <c r="B1485" s="17" t="s">
        <v>236</v>
      </c>
      <c r="C1485" s="17" t="s">
        <v>831</v>
      </c>
      <c r="D1485" s="17" t="s">
        <v>1062</v>
      </c>
      <c r="E1485" s="17" t="s">
        <v>335</v>
      </c>
      <c r="F1485" s="17" t="s">
        <v>303</v>
      </c>
      <c r="G1485" s="17" t="s">
        <v>1063</v>
      </c>
      <c r="H1485" s="18">
        <v>1780</v>
      </c>
      <c r="I1485" s="18">
        <v>1680.56</v>
      </c>
      <c r="J1485" s="7" t="str">
        <f>IFERROR(_xlfn.XLOOKUP(F1485,ccustos!A:A,ccustos!B:B),"Sem termo")</f>
        <v>Sem termo</v>
      </c>
    </row>
    <row r="1486" spans="1:10" ht="25.5" customHeight="1" x14ac:dyDescent="0.25">
      <c r="A1486" s="14">
        <v>12618</v>
      </c>
      <c r="B1486" s="7" t="s">
        <v>236</v>
      </c>
      <c r="C1486" s="7" t="s">
        <v>831</v>
      </c>
      <c r="D1486" s="7" t="s">
        <v>1062</v>
      </c>
      <c r="E1486" s="7" t="s">
        <v>335</v>
      </c>
      <c r="F1486" s="7" t="s">
        <v>56</v>
      </c>
      <c r="G1486" s="7" t="s">
        <v>1063</v>
      </c>
      <c r="H1486" s="15">
        <v>1780</v>
      </c>
      <c r="I1486" s="15">
        <v>1680.56</v>
      </c>
      <c r="J1486" s="7" t="str">
        <f>IFERROR(_xlfn.XLOOKUP(F1486,ccustos!A:A,ccustos!B:B),"Sem termo")</f>
        <v>SEPROT</v>
      </c>
    </row>
    <row r="1487" spans="1:10" ht="25.5" customHeight="1" x14ac:dyDescent="0.25">
      <c r="A1487" s="16">
        <v>12621</v>
      </c>
      <c r="B1487" s="17" t="s">
        <v>236</v>
      </c>
      <c r="C1487" s="17" t="s">
        <v>881</v>
      </c>
      <c r="D1487" s="17" t="s">
        <v>882</v>
      </c>
      <c r="E1487" s="17" t="s">
        <v>335</v>
      </c>
      <c r="F1487" s="17" t="s">
        <v>20</v>
      </c>
      <c r="G1487" s="17" t="s">
        <v>1064</v>
      </c>
      <c r="H1487" s="18">
        <v>13700</v>
      </c>
      <c r="I1487" s="18">
        <v>6061.92</v>
      </c>
      <c r="J1487" s="7" t="str">
        <f>IFERROR(_xlfn.XLOOKUP(F1487,ccustos!A:A,ccustos!B:B),"Sem termo")</f>
        <v>CGTI</v>
      </c>
    </row>
    <row r="1488" spans="1:10" ht="25.5" customHeight="1" x14ac:dyDescent="0.25">
      <c r="A1488" s="14">
        <v>12622</v>
      </c>
      <c r="B1488" s="7" t="s">
        <v>236</v>
      </c>
      <c r="C1488" s="7" t="s">
        <v>881</v>
      </c>
      <c r="D1488" s="7" t="s">
        <v>882</v>
      </c>
      <c r="E1488" s="7" t="s">
        <v>335</v>
      </c>
      <c r="F1488" s="7" t="s">
        <v>20</v>
      </c>
      <c r="G1488" s="7" t="s">
        <v>1064</v>
      </c>
      <c r="H1488" s="15">
        <v>13700</v>
      </c>
      <c r="I1488" s="15">
        <v>0</v>
      </c>
      <c r="J1488" s="7" t="str">
        <f>IFERROR(_xlfn.XLOOKUP(F1488,ccustos!A:A,ccustos!B:B),"Sem termo")</f>
        <v>CGTI</v>
      </c>
    </row>
    <row r="1489" spans="1:10" ht="25.5" customHeight="1" x14ac:dyDescent="0.25">
      <c r="A1489" s="16">
        <v>12623</v>
      </c>
      <c r="B1489" s="17" t="s">
        <v>236</v>
      </c>
      <c r="C1489" s="17" t="s">
        <v>881</v>
      </c>
      <c r="D1489" s="17" t="s">
        <v>882</v>
      </c>
      <c r="E1489" s="17" t="s">
        <v>335</v>
      </c>
      <c r="F1489" s="17" t="s">
        <v>20</v>
      </c>
      <c r="G1489" s="17" t="s">
        <v>1064</v>
      </c>
      <c r="H1489" s="18">
        <v>13700</v>
      </c>
      <c r="I1489" s="18">
        <v>0</v>
      </c>
      <c r="J1489" s="7" t="str">
        <f>IFERROR(_xlfn.XLOOKUP(F1489,ccustos!A:A,ccustos!B:B),"Sem termo")</f>
        <v>CGTI</v>
      </c>
    </row>
    <row r="1490" spans="1:10" ht="36.75" customHeight="1" x14ac:dyDescent="0.25">
      <c r="A1490" s="14">
        <v>12629</v>
      </c>
      <c r="B1490" s="7" t="s">
        <v>236</v>
      </c>
      <c r="C1490" s="7" t="s">
        <v>237</v>
      </c>
      <c r="D1490" s="7" t="s">
        <v>1065</v>
      </c>
      <c r="E1490" s="7" t="s">
        <v>239</v>
      </c>
      <c r="F1490" s="7" t="s">
        <v>0</v>
      </c>
      <c r="G1490" s="7" t="s">
        <v>1066</v>
      </c>
      <c r="H1490" s="15">
        <v>68924.160000000003</v>
      </c>
      <c r="I1490" s="15">
        <v>28.44</v>
      </c>
      <c r="J1490" s="7" t="str">
        <f>IFERROR(_xlfn.XLOOKUP(F1490,ccustos!A:A,ccustos!B:B),"Sem termo")</f>
        <v>SEPAT</v>
      </c>
    </row>
    <row r="1491" spans="1:10" ht="36.75" customHeight="1" x14ac:dyDescent="0.25">
      <c r="A1491" s="16">
        <v>12630</v>
      </c>
      <c r="B1491" s="17" t="s">
        <v>236</v>
      </c>
      <c r="C1491" s="17" t="s">
        <v>237</v>
      </c>
      <c r="D1491" s="17" t="s">
        <v>1065</v>
      </c>
      <c r="E1491" s="17" t="s">
        <v>239</v>
      </c>
      <c r="F1491" s="17" t="s">
        <v>0</v>
      </c>
      <c r="G1491" s="17" t="s">
        <v>1067</v>
      </c>
      <c r="H1491" s="18">
        <v>212900</v>
      </c>
      <c r="I1491" s="18">
        <v>28.44</v>
      </c>
      <c r="J1491" s="7" t="str">
        <f>IFERROR(_xlfn.XLOOKUP(F1491,ccustos!A:A,ccustos!B:B),"Sem termo")</f>
        <v>SEPAT</v>
      </c>
    </row>
    <row r="1492" spans="1:10" ht="36.75" customHeight="1" x14ac:dyDescent="0.25">
      <c r="A1492" s="14">
        <v>12641</v>
      </c>
      <c r="B1492" s="7" t="s">
        <v>236</v>
      </c>
      <c r="C1492" s="7" t="s">
        <v>241</v>
      </c>
      <c r="D1492" s="7" t="s">
        <v>1068</v>
      </c>
      <c r="E1492" s="7" t="s">
        <v>239</v>
      </c>
      <c r="F1492" s="7" t="s">
        <v>46</v>
      </c>
      <c r="G1492" s="7" t="s">
        <v>1069</v>
      </c>
      <c r="H1492" s="15">
        <v>1799.28</v>
      </c>
      <c r="I1492" s="15">
        <v>914.32</v>
      </c>
      <c r="J1492" s="7" t="str">
        <f>IFERROR(_xlfn.XLOOKUP(F1492,ccustos!A:A,ccustos!B:B),"Sem termo")</f>
        <v>CCI</v>
      </c>
    </row>
    <row r="1493" spans="1:10" ht="25.5" customHeight="1" x14ac:dyDescent="0.25">
      <c r="A1493" s="16">
        <v>12644</v>
      </c>
      <c r="B1493" s="17" t="s">
        <v>236</v>
      </c>
      <c r="C1493" s="17" t="s">
        <v>732</v>
      </c>
      <c r="D1493" s="17" t="s">
        <v>1070</v>
      </c>
      <c r="E1493" s="17" t="s">
        <v>734</v>
      </c>
      <c r="F1493" s="17" t="s">
        <v>46</v>
      </c>
      <c r="G1493" s="17" t="s">
        <v>1071</v>
      </c>
      <c r="H1493" s="18">
        <v>600</v>
      </c>
      <c r="I1493" s="18">
        <v>0</v>
      </c>
      <c r="J1493" s="7" t="str">
        <f>IFERROR(_xlfn.XLOOKUP(F1493,ccustos!A:A,ccustos!B:B),"Sem termo")</f>
        <v>CCI</v>
      </c>
    </row>
    <row r="1494" spans="1:10" ht="25.5" customHeight="1" x14ac:dyDescent="0.25">
      <c r="A1494" s="14">
        <v>12650</v>
      </c>
      <c r="B1494" s="7" t="s">
        <v>236</v>
      </c>
      <c r="C1494" s="7" t="s">
        <v>241</v>
      </c>
      <c r="D1494" s="7" t="s">
        <v>1072</v>
      </c>
      <c r="E1494" s="7" t="s">
        <v>239</v>
      </c>
      <c r="F1494" s="7" t="s">
        <v>25</v>
      </c>
      <c r="G1494" s="7" t="s">
        <v>1069</v>
      </c>
      <c r="H1494" s="15">
        <v>1799.28</v>
      </c>
      <c r="I1494" s="15">
        <v>914.32</v>
      </c>
      <c r="J1494" s="7" t="str">
        <f>IFERROR(_xlfn.XLOOKUP(F1494,ccustos!A:A,ccustos!B:B),"Sem termo")</f>
        <v>COTEC</v>
      </c>
    </row>
    <row r="1495" spans="1:10" ht="25.5" customHeight="1" x14ac:dyDescent="0.25">
      <c r="A1495" s="16">
        <v>12656</v>
      </c>
      <c r="B1495" s="17" t="s">
        <v>236</v>
      </c>
      <c r="C1495" s="17" t="s">
        <v>237</v>
      </c>
      <c r="D1495" s="17" t="s">
        <v>277</v>
      </c>
      <c r="E1495" s="17" t="s">
        <v>239</v>
      </c>
      <c r="F1495" s="17" t="s">
        <v>68</v>
      </c>
      <c r="G1495" s="17" t="s">
        <v>278</v>
      </c>
      <c r="H1495" s="18">
        <v>201.3</v>
      </c>
      <c r="I1495" s="18">
        <v>173.7</v>
      </c>
      <c r="J1495" s="7" t="str">
        <f>IFERROR(_xlfn.XLOOKUP(F1495,ccustos!A:A,ccustos!B:B),"Sem termo")</f>
        <v>DEINFRA</v>
      </c>
    </row>
    <row r="1496" spans="1:10" ht="25.5" customHeight="1" x14ac:dyDescent="0.25">
      <c r="A1496" s="14">
        <v>12659</v>
      </c>
      <c r="B1496" s="7" t="s">
        <v>236</v>
      </c>
      <c r="C1496" s="7" t="s">
        <v>237</v>
      </c>
      <c r="D1496" s="7" t="s">
        <v>595</v>
      </c>
      <c r="E1496" s="7" t="s">
        <v>239</v>
      </c>
      <c r="F1496" s="7" t="s">
        <v>0</v>
      </c>
      <c r="G1496" s="7" t="s">
        <v>311</v>
      </c>
      <c r="H1496" s="15">
        <v>1021.01</v>
      </c>
      <c r="I1496" s="15">
        <v>453.21</v>
      </c>
      <c r="J1496" s="7" t="str">
        <f>IFERROR(_xlfn.XLOOKUP(F1496,ccustos!A:A,ccustos!B:B),"Sem termo")</f>
        <v>SEPAT</v>
      </c>
    </row>
    <row r="1497" spans="1:10" ht="25.5" customHeight="1" x14ac:dyDescent="0.25">
      <c r="A1497" s="16">
        <v>12661</v>
      </c>
      <c r="B1497" s="17" t="s">
        <v>236</v>
      </c>
      <c r="C1497" s="17" t="s">
        <v>241</v>
      </c>
      <c r="D1497" s="17" t="s">
        <v>1073</v>
      </c>
      <c r="E1497" s="17" t="s">
        <v>239</v>
      </c>
      <c r="F1497" s="17" t="s">
        <v>83</v>
      </c>
      <c r="G1497" s="17" t="s">
        <v>1069</v>
      </c>
      <c r="H1497" s="18">
        <v>1799.28</v>
      </c>
      <c r="I1497" s="18">
        <v>914.32</v>
      </c>
      <c r="J1497" s="7" t="str">
        <f>IFERROR(_xlfn.XLOOKUP(F1497,ccustos!A:A,ccustos!B:B),"Sem termo")</f>
        <v>GABIN</v>
      </c>
    </row>
    <row r="1498" spans="1:10" ht="25.5" customHeight="1" x14ac:dyDescent="0.25">
      <c r="A1498" s="14">
        <v>12663</v>
      </c>
      <c r="B1498" s="7" t="s">
        <v>236</v>
      </c>
      <c r="C1498" s="7" t="s">
        <v>241</v>
      </c>
      <c r="D1498" s="7" t="s">
        <v>1074</v>
      </c>
      <c r="E1498" s="7" t="s">
        <v>239</v>
      </c>
      <c r="F1498" s="7" t="s">
        <v>40</v>
      </c>
      <c r="G1498" s="7" t="s">
        <v>1069</v>
      </c>
      <c r="H1498" s="15">
        <v>1799.28</v>
      </c>
      <c r="I1498" s="15">
        <v>914.32</v>
      </c>
      <c r="J1498" s="7" t="str">
        <f>IFERROR(_xlfn.XLOOKUP(F1498,ccustos!A:A,ccustos!B:B),"Sem termo")</f>
        <v>COPI</v>
      </c>
    </row>
    <row r="1499" spans="1:10" ht="36.75" customHeight="1" x14ac:dyDescent="0.25">
      <c r="A1499" s="16">
        <v>12667</v>
      </c>
      <c r="B1499" s="17" t="s">
        <v>236</v>
      </c>
      <c r="C1499" s="17" t="s">
        <v>241</v>
      </c>
      <c r="D1499" s="17" t="s">
        <v>1074</v>
      </c>
      <c r="E1499" s="17" t="s">
        <v>239</v>
      </c>
      <c r="F1499" s="17" t="s">
        <v>51</v>
      </c>
      <c r="G1499" s="17" t="s">
        <v>1069</v>
      </c>
      <c r="H1499" s="18">
        <v>1799.28</v>
      </c>
      <c r="I1499" s="18">
        <v>914.32</v>
      </c>
      <c r="J1499" s="7" t="str">
        <f>IFERROR(_xlfn.XLOOKUP(F1499,ccustos!A:A,ccustos!B:B),"Sem termo")</f>
        <v>COREG</v>
      </c>
    </row>
    <row r="1500" spans="1:10" ht="36.75" customHeight="1" x14ac:dyDescent="0.25">
      <c r="A1500" s="14">
        <v>12681</v>
      </c>
      <c r="B1500" s="7" t="s">
        <v>236</v>
      </c>
      <c r="C1500" s="7" t="s">
        <v>241</v>
      </c>
      <c r="D1500" s="7" t="s">
        <v>1075</v>
      </c>
      <c r="E1500" s="7" t="s">
        <v>239</v>
      </c>
      <c r="F1500" s="7" t="s">
        <v>44</v>
      </c>
      <c r="G1500" s="7" t="s">
        <v>1069</v>
      </c>
      <c r="H1500" s="15">
        <v>1799.28</v>
      </c>
      <c r="I1500" s="15">
        <v>914.32</v>
      </c>
      <c r="J1500" s="7" t="str">
        <f>IFERROR(_xlfn.XLOOKUP(F1500,ccustos!A:A,ccustos!B:B),"Sem termo")</f>
        <v>COFIS</v>
      </c>
    </row>
    <row r="1501" spans="1:10" ht="36.75" customHeight="1" x14ac:dyDescent="0.25">
      <c r="A1501" s="16">
        <v>12682</v>
      </c>
      <c r="B1501" s="17" t="s">
        <v>236</v>
      </c>
      <c r="C1501" s="17" t="s">
        <v>241</v>
      </c>
      <c r="D1501" s="17" t="s">
        <v>1076</v>
      </c>
      <c r="E1501" s="17" t="s">
        <v>239</v>
      </c>
      <c r="F1501" s="17" t="s">
        <v>205</v>
      </c>
      <c r="G1501" s="17" t="s">
        <v>331</v>
      </c>
      <c r="H1501" s="18">
        <v>646</v>
      </c>
      <c r="I1501" s="18">
        <v>314.23</v>
      </c>
      <c r="J1501" s="7" t="str">
        <f>IFERROR(_xlfn.XLOOKUP(F1501,ccustos!A:A,ccustos!B:B),"Sem termo")</f>
        <v>CCOM</v>
      </c>
    </row>
    <row r="1502" spans="1:10" ht="48" customHeight="1" x14ac:dyDescent="0.25">
      <c r="A1502" s="14">
        <v>12705</v>
      </c>
      <c r="B1502" s="7" t="s">
        <v>236</v>
      </c>
      <c r="C1502" s="7" t="s">
        <v>241</v>
      </c>
      <c r="D1502" s="7" t="s">
        <v>1077</v>
      </c>
      <c r="E1502" s="7" t="s">
        <v>239</v>
      </c>
      <c r="F1502" s="7" t="s">
        <v>66</v>
      </c>
      <c r="G1502" s="7" t="s">
        <v>1069</v>
      </c>
      <c r="H1502" s="15">
        <v>1799.28</v>
      </c>
      <c r="I1502" s="15">
        <v>914.32</v>
      </c>
      <c r="J1502" s="7" t="str">
        <f>IFERROR(_xlfn.XLOOKUP(F1502,ccustos!A:A,ccustos!B:B),"Sem termo")</f>
        <v>COAD</v>
      </c>
    </row>
    <row r="1503" spans="1:10" ht="25.5" customHeight="1" x14ac:dyDescent="0.25">
      <c r="A1503" s="16">
        <v>12706</v>
      </c>
      <c r="B1503" s="17" t="s">
        <v>236</v>
      </c>
      <c r="C1503" s="17" t="s">
        <v>474</v>
      </c>
      <c r="D1503" s="17" t="s">
        <v>1078</v>
      </c>
      <c r="E1503" s="17" t="s">
        <v>250</v>
      </c>
      <c r="F1503" s="17" t="s">
        <v>48</v>
      </c>
      <c r="G1503" s="17" t="s">
        <v>1079</v>
      </c>
      <c r="H1503" s="18">
        <v>2038</v>
      </c>
      <c r="I1503" s="18">
        <v>157.85</v>
      </c>
      <c r="J1503" s="7" t="str">
        <f>IFERROR(_xlfn.XLOOKUP(F1503,ccustos!A:A,ccustos!B:B),"Sem termo")</f>
        <v>DEPES</v>
      </c>
    </row>
    <row r="1504" spans="1:10" ht="25.5" customHeight="1" x14ac:dyDescent="0.25">
      <c r="A1504" s="14">
        <v>12727</v>
      </c>
      <c r="B1504" s="7" t="s">
        <v>236</v>
      </c>
      <c r="C1504" s="7" t="s">
        <v>241</v>
      </c>
      <c r="D1504" s="7" t="s">
        <v>789</v>
      </c>
      <c r="E1504" s="7" t="s">
        <v>239</v>
      </c>
      <c r="F1504" s="7" t="s">
        <v>54</v>
      </c>
      <c r="G1504" s="7" t="s">
        <v>331</v>
      </c>
      <c r="H1504" s="15">
        <v>298</v>
      </c>
      <c r="I1504" s="15">
        <v>141.57</v>
      </c>
      <c r="J1504" s="7" t="str">
        <f>IFERROR(_xlfn.XLOOKUP(F1504,ccustos!A:A,ccustos!B:B),"Sem termo")</f>
        <v>DEFIN</v>
      </c>
    </row>
    <row r="1505" spans="1:10" ht="25.5" customHeight="1" x14ac:dyDescent="0.25">
      <c r="A1505" s="16">
        <v>12750</v>
      </c>
      <c r="B1505" s="17" t="s">
        <v>236</v>
      </c>
      <c r="C1505" s="17" t="s">
        <v>1080</v>
      </c>
      <c r="D1505" s="17" t="s">
        <v>1081</v>
      </c>
      <c r="E1505" s="17" t="s">
        <v>250</v>
      </c>
      <c r="F1505" s="17" t="s">
        <v>20</v>
      </c>
      <c r="G1505" s="17" t="s">
        <v>1082</v>
      </c>
      <c r="H1505" s="18">
        <v>79.900000000000006</v>
      </c>
      <c r="I1505" s="18">
        <v>90.6</v>
      </c>
      <c r="J1505" s="7" t="str">
        <f>IFERROR(_xlfn.XLOOKUP(F1505,ccustos!A:A,ccustos!B:B),"Sem termo")</f>
        <v>CGTI</v>
      </c>
    </row>
    <row r="1506" spans="1:10" ht="25.5" customHeight="1" x14ac:dyDescent="0.25">
      <c r="A1506" s="14">
        <v>12751</v>
      </c>
      <c r="B1506" s="7" t="s">
        <v>236</v>
      </c>
      <c r="C1506" s="7" t="s">
        <v>612</v>
      </c>
      <c r="D1506" s="7" t="s">
        <v>1083</v>
      </c>
      <c r="E1506" s="7" t="s">
        <v>335</v>
      </c>
      <c r="F1506" s="7" t="s">
        <v>6</v>
      </c>
      <c r="G1506" s="7" t="s">
        <v>960</v>
      </c>
      <c r="H1506" s="15">
        <v>1191.6500000000001</v>
      </c>
      <c r="I1506" s="15">
        <v>728.2</v>
      </c>
      <c r="J1506" s="7" t="str">
        <f>IFERROR(_xlfn.XLOOKUP(F1506,ccustos!A:A,ccustos!B:B),"Sem termo")</f>
        <v>SEPAT</v>
      </c>
    </row>
    <row r="1507" spans="1:10" ht="25.5" customHeight="1" x14ac:dyDescent="0.25">
      <c r="A1507" s="16">
        <v>12752</v>
      </c>
      <c r="B1507" s="17" t="s">
        <v>236</v>
      </c>
      <c r="C1507" s="17" t="s">
        <v>612</v>
      </c>
      <c r="D1507" s="17" t="s">
        <v>1084</v>
      </c>
      <c r="E1507" s="17" t="s">
        <v>335</v>
      </c>
      <c r="F1507" s="17" t="s">
        <v>6</v>
      </c>
      <c r="G1507" s="17" t="s">
        <v>960</v>
      </c>
      <c r="H1507" s="18">
        <v>1191.6500000000001</v>
      </c>
      <c r="I1507" s="18">
        <v>728.2</v>
      </c>
      <c r="J1507" s="7" t="str">
        <f>IFERROR(_xlfn.XLOOKUP(F1507,ccustos!A:A,ccustos!B:B),"Sem termo")</f>
        <v>SEPAT</v>
      </c>
    </row>
    <row r="1508" spans="1:10" ht="25.5" customHeight="1" x14ac:dyDescent="0.25">
      <c r="A1508" s="14">
        <v>12753</v>
      </c>
      <c r="B1508" s="7" t="s">
        <v>236</v>
      </c>
      <c r="C1508" s="7" t="s">
        <v>612</v>
      </c>
      <c r="D1508" s="7" t="s">
        <v>1084</v>
      </c>
      <c r="E1508" s="7" t="s">
        <v>335</v>
      </c>
      <c r="F1508" s="7" t="s">
        <v>6</v>
      </c>
      <c r="G1508" s="7" t="s">
        <v>960</v>
      </c>
      <c r="H1508" s="15">
        <v>1191.6500000000001</v>
      </c>
      <c r="I1508" s="15">
        <v>728.2</v>
      </c>
      <c r="J1508" s="7" t="str">
        <f>IFERROR(_xlfn.XLOOKUP(F1508,ccustos!A:A,ccustos!B:B),"Sem termo")</f>
        <v>SEPAT</v>
      </c>
    </row>
    <row r="1509" spans="1:10" ht="36.75" customHeight="1" x14ac:dyDescent="0.25">
      <c r="A1509" s="16">
        <v>12754</v>
      </c>
      <c r="B1509" s="17" t="s">
        <v>236</v>
      </c>
      <c r="C1509" s="17" t="s">
        <v>612</v>
      </c>
      <c r="D1509" s="17" t="s">
        <v>1085</v>
      </c>
      <c r="E1509" s="17" t="s">
        <v>335</v>
      </c>
      <c r="F1509" s="17" t="s">
        <v>6</v>
      </c>
      <c r="G1509" s="17" t="s">
        <v>960</v>
      </c>
      <c r="H1509" s="18">
        <v>1191.6500000000001</v>
      </c>
      <c r="I1509" s="18">
        <v>728.2</v>
      </c>
      <c r="J1509" s="7" t="str">
        <f>IFERROR(_xlfn.XLOOKUP(F1509,ccustos!A:A,ccustos!B:B),"Sem termo")</f>
        <v>SEPAT</v>
      </c>
    </row>
    <row r="1510" spans="1:10" ht="25.5" customHeight="1" x14ac:dyDescent="0.25">
      <c r="A1510" s="14">
        <v>12764</v>
      </c>
      <c r="B1510" s="7" t="s">
        <v>236</v>
      </c>
      <c r="C1510" s="7" t="s">
        <v>337</v>
      </c>
      <c r="D1510" s="7" t="s">
        <v>346</v>
      </c>
      <c r="E1510" s="7" t="s">
        <v>239</v>
      </c>
      <c r="F1510" s="7" t="s">
        <v>6</v>
      </c>
      <c r="G1510" s="7" t="s">
        <v>331</v>
      </c>
      <c r="H1510" s="15">
        <v>298</v>
      </c>
      <c r="I1510" s="15">
        <v>213.43</v>
      </c>
      <c r="J1510" s="7" t="str">
        <f>IFERROR(_xlfn.XLOOKUP(F1510,ccustos!A:A,ccustos!B:B),"Sem termo")</f>
        <v>SEPAT</v>
      </c>
    </row>
    <row r="1511" spans="1:10" ht="25.5" customHeight="1" x14ac:dyDescent="0.25">
      <c r="A1511" s="16">
        <v>12773</v>
      </c>
      <c r="B1511" s="17" t="s">
        <v>236</v>
      </c>
      <c r="C1511" s="17" t="s">
        <v>762</v>
      </c>
      <c r="D1511" s="17" t="s">
        <v>1086</v>
      </c>
      <c r="E1511" s="17" t="s">
        <v>250</v>
      </c>
      <c r="F1511" s="17" t="s">
        <v>256</v>
      </c>
      <c r="G1511" s="17" t="s">
        <v>764</v>
      </c>
      <c r="H1511" s="18">
        <v>42980</v>
      </c>
      <c r="I1511" s="18">
        <v>0</v>
      </c>
      <c r="J1511" s="7" t="str">
        <f>IFERROR(_xlfn.XLOOKUP(F1511,ccustos!A:A,ccustos!B:B),"Sem termo")</f>
        <v>Sem termo</v>
      </c>
    </row>
    <row r="1512" spans="1:10" ht="25.5" customHeight="1" x14ac:dyDescent="0.25">
      <c r="A1512" s="14">
        <v>12776</v>
      </c>
      <c r="B1512" s="7" t="s">
        <v>236</v>
      </c>
      <c r="C1512" s="7" t="s">
        <v>844</v>
      </c>
      <c r="D1512" s="7" t="s">
        <v>1087</v>
      </c>
      <c r="E1512" s="7" t="s">
        <v>250</v>
      </c>
      <c r="F1512" s="7" t="s">
        <v>256</v>
      </c>
      <c r="G1512" s="7" t="s">
        <v>768</v>
      </c>
      <c r="H1512" s="15">
        <v>3000</v>
      </c>
      <c r="I1512" s="15">
        <v>1794.43</v>
      </c>
      <c r="J1512" s="7" t="str">
        <f>IFERROR(_xlfn.XLOOKUP(F1512,ccustos!A:A,ccustos!B:B),"Sem termo")</f>
        <v>Sem termo</v>
      </c>
    </row>
    <row r="1513" spans="1:10" ht="25.5" customHeight="1" x14ac:dyDescent="0.25">
      <c r="A1513" s="16">
        <v>12778</v>
      </c>
      <c r="B1513" s="17" t="s">
        <v>236</v>
      </c>
      <c r="C1513" s="17" t="s">
        <v>306</v>
      </c>
      <c r="D1513" s="17" t="s">
        <v>1088</v>
      </c>
      <c r="E1513" s="17" t="s">
        <v>239</v>
      </c>
      <c r="F1513" s="17" t="s">
        <v>63</v>
      </c>
      <c r="G1513" s="17" t="s">
        <v>664</v>
      </c>
      <c r="H1513" s="18">
        <v>7216.5</v>
      </c>
      <c r="I1513" s="18">
        <v>715.24</v>
      </c>
      <c r="J1513" s="7" t="str">
        <f>IFERROR(_xlfn.XLOOKUP(F1513,ccustos!A:A,ccustos!B:B),"Sem termo")</f>
        <v>SEPAT</v>
      </c>
    </row>
    <row r="1514" spans="1:10" ht="25.5" customHeight="1" x14ac:dyDescent="0.25">
      <c r="A1514" s="14">
        <v>12781</v>
      </c>
      <c r="B1514" s="7" t="s">
        <v>236</v>
      </c>
      <c r="C1514" s="7" t="s">
        <v>387</v>
      </c>
      <c r="D1514" s="7" t="s">
        <v>1089</v>
      </c>
      <c r="E1514" s="7" t="s">
        <v>250</v>
      </c>
      <c r="F1514" s="7" t="s">
        <v>61</v>
      </c>
      <c r="G1514" s="7" t="s">
        <v>389</v>
      </c>
      <c r="H1514" s="15">
        <v>720</v>
      </c>
      <c r="I1514" s="15">
        <v>357.02</v>
      </c>
      <c r="J1514" s="7" t="str">
        <f>IFERROR(_xlfn.XLOOKUP(F1514,ccustos!A:A,ccustos!B:B),"Sem termo")</f>
        <v>SEPAT</v>
      </c>
    </row>
    <row r="1515" spans="1:10" ht="36.75" customHeight="1" x14ac:dyDescent="0.25">
      <c r="A1515" s="16">
        <v>12798</v>
      </c>
      <c r="B1515" s="17" t="s">
        <v>236</v>
      </c>
      <c r="C1515" s="17" t="s">
        <v>325</v>
      </c>
      <c r="D1515" s="17" t="s">
        <v>983</v>
      </c>
      <c r="E1515" s="17" t="s">
        <v>239</v>
      </c>
      <c r="F1515" s="17" t="s">
        <v>211</v>
      </c>
      <c r="G1515" s="17" t="s">
        <v>253</v>
      </c>
      <c r="H1515" s="18">
        <v>593</v>
      </c>
      <c r="I1515" s="18">
        <v>328.67</v>
      </c>
      <c r="J1515" s="7" t="str">
        <f>IFERROR(_xlfn.XLOOKUP(F1515,ccustos!A:A,ccustos!B:B),"Sem termo")</f>
        <v>DIGEO</v>
      </c>
    </row>
    <row r="1516" spans="1:10" ht="25.5" customHeight="1" x14ac:dyDescent="0.25">
      <c r="A1516" s="14">
        <v>12799</v>
      </c>
      <c r="B1516" s="7" t="s">
        <v>236</v>
      </c>
      <c r="C1516" s="7" t="s">
        <v>399</v>
      </c>
      <c r="D1516" s="7" t="s">
        <v>1090</v>
      </c>
      <c r="E1516" s="7" t="s">
        <v>239</v>
      </c>
      <c r="F1516" s="7" t="s">
        <v>16</v>
      </c>
      <c r="G1516" s="7" t="s">
        <v>1091</v>
      </c>
      <c r="H1516" s="15">
        <v>820</v>
      </c>
      <c r="I1516" s="15">
        <v>155.13999999999999</v>
      </c>
      <c r="J1516" s="7" t="str">
        <f>IFERROR(_xlfn.XLOOKUP(F1516,ccustos!A:A,ccustos!B:B),"Sem termo")</f>
        <v>SEPAT</v>
      </c>
    </row>
    <row r="1517" spans="1:10" ht="36.75" customHeight="1" x14ac:dyDescent="0.25">
      <c r="A1517" s="16">
        <v>12822</v>
      </c>
      <c r="B1517" s="17" t="s">
        <v>236</v>
      </c>
      <c r="C1517" s="17" t="s">
        <v>1092</v>
      </c>
      <c r="D1517" s="17" t="s">
        <v>1093</v>
      </c>
      <c r="E1517" s="17" t="s">
        <v>250</v>
      </c>
      <c r="F1517" s="17" t="s">
        <v>8</v>
      </c>
      <c r="G1517" s="17" t="s">
        <v>386</v>
      </c>
      <c r="H1517" s="18">
        <v>19.84</v>
      </c>
      <c r="I1517" s="18">
        <v>97.07</v>
      </c>
      <c r="J1517" s="7" t="str">
        <f>IFERROR(_xlfn.XLOOKUP(F1517,ccustos!A:A,ccustos!B:B),"Sem termo")</f>
        <v>DEINFRA</v>
      </c>
    </row>
    <row r="1518" spans="1:10" ht="25.5" customHeight="1" x14ac:dyDescent="0.25">
      <c r="A1518" s="14">
        <v>12823</v>
      </c>
      <c r="B1518" s="7" t="s">
        <v>236</v>
      </c>
      <c r="C1518" s="7" t="s">
        <v>1092</v>
      </c>
      <c r="D1518" s="7" t="s">
        <v>1093</v>
      </c>
      <c r="E1518" s="7" t="s">
        <v>250</v>
      </c>
      <c r="F1518" s="7" t="s">
        <v>8</v>
      </c>
      <c r="G1518" s="7" t="s">
        <v>386</v>
      </c>
      <c r="H1518" s="15">
        <v>19.84</v>
      </c>
      <c r="I1518" s="15">
        <v>97.07</v>
      </c>
      <c r="J1518" s="7" t="str">
        <f>IFERROR(_xlfn.XLOOKUP(F1518,ccustos!A:A,ccustos!B:B),"Sem termo")</f>
        <v>DEINFRA</v>
      </c>
    </row>
    <row r="1519" spans="1:10" ht="25.5" customHeight="1" x14ac:dyDescent="0.25">
      <c r="A1519" s="16">
        <v>12825</v>
      </c>
      <c r="B1519" s="17" t="s">
        <v>236</v>
      </c>
      <c r="C1519" s="17" t="s">
        <v>1094</v>
      </c>
      <c r="D1519" s="17" t="s">
        <v>1095</v>
      </c>
      <c r="E1519" s="17" t="s">
        <v>250</v>
      </c>
      <c r="F1519" s="17" t="s">
        <v>8</v>
      </c>
      <c r="G1519" s="17" t="s">
        <v>253</v>
      </c>
      <c r="H1519" s="18">
        <v>63.51</v>
      </c>
      <c r="I1519" s="18">
        <v>45.98</v>
      </c>
      <c r="J1519" s="7" t="str">
        <f>IFERROR(_xlfn.XLOOKUP(F1519,ccustos!A:A,ccustos!B:B),"Sem termo")</f>
        <v>DEINFRA</v>
      </c>
    </row>
    <row r="1520" spans="1:10" ht="25.5" customHeight="1" x14ac:dyDescent="0.25">
      <c r="A1520" s="14">
        <v>12826</v>
      </c>
      <c r="B1520" s="7" t="s">
        <v>236</v>
      </c>
      <c r="C1520" s="7" t="s">
        <v>1094</v>
      </c>
      <c r="D1520" s="7" t="s">
        <v>1096</v>
      </c>
      <c r="E1520" s="7" t="s">
        <v>250</v>
      </c>
      <c r="F1520" s="7" t="s">
        <v>8</v>
      </c>
      <c r="G1520" s="7" t="s">
        <v>253</v>
      </c>
      <c r="H1520" s="15">
        <v>94.25</v>
      </c>
      <c r="I1520" s="15">
        <v>45.98</v>
      </c>
      <c r="J1520" s="7" t="str">
        <f>IFERROR(_xlfn.XLOOKUP(F1520,ccustos!A:A,ccustos!B:B),"Sem termo")</f>
        <v>DEINFRA</v>
      </c>
    </row>
    <row r="1521" spans="1:10" ht="25.5" customHeight="1" x14ac:dyDescent="0.25">
      <c r="A1521" s="16">
        <v>12829</v>
      </c>
      <c r="B1521" s="17" t="s">
        <v>236</v>
      </c>
      <c r="C1521" s="17" t="s">
        <v>1097</v>
      </c>
      <c r="D1521" s="17" t="s">
        <v>1098</v>
      </c>
      <c r="E1521" s="17" t="s">
        <v>250</v>
      </c>
      <c r="F1521" s="17" t="s">
        <v>8</v>
      </c>
      <c r="G1521" s="17" t="s">
        <v>386</v>
      </c>
      <c r="H1521" s="18">
        <v>573.72</v>
      </c>
      <c r="I1521" s="18">
        <v>171.74</v>
      </c>
      <c r="J1521" s="7" t="str">
        <f>IFERROR(_xlfn.XLOOKUP(F1521,ccustos!A:A,ccustos!B:B),"Sem termo")</f>
        <v>DEINFRA</v>
      </c>
    </row>
    <row r="1522" spans="1:10" ht="36.75" customHeight="1" x14ac:dyDescent="0.25">
      <c r="A1522" s="14">
        <v>12830</v>
      </c>
      <c r="B1522" s="7" t="s">
        <v>236</v>
      </c>
      <c r="C1522" s="7" t="s">
        <v>294</v>
      </c>
      <c r="D1522" s="7" t="s">
        <v>1099</v>
      </c>
      <c r="E1522" s="7" t="s">
        <v>239</v>
      </c>
      <c r="F1522" s="7" t="s">
        <v>8</v>
      </c>
      <c r="G1522" s="7" t="s">
        <v>1100</v>
      </c>
      <c r="H1522" s="15">
        <v>170</v>
      </c>
      <c r="I1522" s="15">
        <v>137.19999999999999</v>
      </c>
      <c r="J1522" s="7" t="str">
        <f>IFERROR(_xlfn.XLOOKUP(F1522,ccustos!A:A,ccustos!B:B),"Sem termo")</f>
        <v>DEINFRA</v>
      </c>
    </row>
    <row r="1523" spans="1:10" ht="36.75" customHeight="1" x14ac:dyDescent="0.25">
      <c r="A1523" s="16">
        <v>12835</v>
      </c>
      <c r="B1523" s="17" t="s">
        <v>236</v>
      </c>
      <c r="C1523" s="17" t="s">
        <v>1101</v>
      </c>
      <c r="D1523" s="17" t="s">
        <v>1102</v>
      </c>
      <c r="E1523" s="17" t="s">
        <v>250</v>
      </c>
      <c r="F1523" s="17" t="s">
        <v>8</v>
      </c>
      <c r="G1523" s="17" t="s">
        <v>1103</v>
      </c>
      <c r="H1523" s="18">
        <v>99.72</v>
      </c>
      <c r="I1523" s="18">
        <v>76.22</v>
      </c>
      <c r="J1523" s="7" t="str">
        <f>IFERROR(_xlfn.XLOOKUP(F1523,ccustos!A:A,ccustos!B:B),"Sem termo")</f>
        <v>DEINFRA</v>
      </c>
    </row>
    <row r="1524" spans="1:10" ht="25.5" customHeight="1" x14ac:dyDescent="0.25">
      <c r="A1524" s="14">
        <v>12836</v>
      </c>
      <c r="B1524" s="7" t="s">
        <v>236</v>
      </c>
      <c r="C1524" s="7" t="s">
        <v>908</v>
      </c>
      <c r="D1524" s="7" t="s">
        <v>1104</v>
      </c>
      <c r="E1524" s="7" t="s">
        <v>239</v>
      </c>
      <c r="F1524" s="7" t="s">
        <v>8</v>
      </c>
      <c r="G1524" s="7" t="s">
        <v>253</v>
      </c>
      <c r="H1524" s="15">
        <v>77.38</v>
      </c>
      <c r="I1524" s="15">
        <v>53.64</v>
      </c>
      <c r="J1524" s="7" t="str">
        <f>IFERROR(_xlfn.XLOOKUP(F1524,ccustos!A:A,ccustos!B:B),"Sem termo")</f>
        <v>DEINFRA</v>
      </c>
    </row>
    <row r="1525" spans="1:10" ht="25.5" customHeight="1" x14ac:dyDescent="0.25">
      <c r="A1525" s="16">
        <v>12837</v>
      </c>
      <c r="B1525" s="17" t="s">
        <v>236</v>
      </c>
      <c r="C1525" s="17" t="s">
        <v>908</v>
      </c>
      <c r="D1525" s="17" t="s">
        <v>1105</v>
      </c>
      <c r="E1525" s="17" t="s">
        <v>239</v>
      </c>
      <c r="F1525" s="17" t="s">
        <v>8</v>
      </c>
      <c r="G1525" s="17" t="s">
        <v>386</v>
      </c>
      <c r="H1525" s="18">
        <v>27.66</v>
      </c>
      <c r="I1525" s="18">
        <v>18.73</v>
      </c>
      <c r="J1525" s="7" t="str">
        <f>IFERROR(_xlfn.XLOOKUP(F1525,ccustos!A:A,ccustos!B:B),"Sem termo")</f>
        <v>DEINFRA</v>
      </c>
    </row>
    <row r="1526" spans="1:10" ht="36.75" customHeight="1" x14ac:dyDescent="0.25">
      <c r="A1526" s="14">
        <v>12854</v>
      </c>
      <c r="B1526" s="7" t="s">
        <v>236</v>
      </c>
      <c r="C1526" s="7" t="s">
        <v>241</v>
      </c>
      <c r="D1526" s="7" t="s">
        <v>1106</v>
      </c>
      <c r="E1526" s="7" t="s">
        <v>239</v>
      </c>
      <c r="F1526" s="7" t="s">
        <v>8</v>
      </c>
      <c r="G1526" s="7" t="s">
        <v>246</v>
      </c>
      <c r="H1526" s="15">
        <v>0.01</v>
      </c>
      <c r="I1526" s="15">
        <v>141.34</v>
      </c>
      <c r="J1526" s="7" t="str">
        <f>IFERROR(_xlfn.XLOOKUP(F1526,ccustos!A:A,ccustos!B:B),"Sem termo")</f>
        <v>DEINFRA</v>
      </c>
    </row>
    <row r="1527" spans="1:10" ht="25.5" customHeight="1" x14ac:dyDescent="0.25">
      <c r="A1527" s="16">
        <v>12909</v>
      </c>
      <c r="B1527" s="17" t="s">
        <v>236</v>
      </c>
      <c r="C1527" s="17" t="s">
        <v>325</v>
      </c>
      <c r="D1527" s="17" t="s">
        <v>1107</v>
      </c>
      <c r="E1527" s="17" t="s">
        <v>239</v>
      </c>
      <c r="F1527" s="17" t="s">
        <v>0</v>
      </c>
      <c r="G1527" s="17" t="s">
        <v>532</v>
      </c>
      <c r="H1527" s="18">
        <v>4194.1400000000003</v>
      </c>
      <c r="I1527" s="18">
        <v>265.66000000000003</v>
      </c>
      <c r="J1527" s="7" t="str">
        <f>IFERROR(_xlfn.XLOOKUP(F1527,ccustos!A:A,ccustos!B:B),"Sem termo")</f>
        <v>SEPAT</v>
      </c>
    </row>
    <row r="1528" spans="1:10" ht="25.5" customHeight="1" x14ac:dyDescent="0.25">
      <c r="A1528" s="14">
        <v>12915</v>
      </c>
      <c r="B1528" s="7" t="s">
        <v>236</v>
      </c>
      <c r="C1528" s="7" t="s">
        <v>237</v>
      </c>
      <c r="D1528" s="7" t="s">
        <v>238</v>
      </c>
      <c r="E1528" s="7" t="s">
        <v>239</v>
      </c>
      <c r="F1528" s="7" t="s">
        <v>15</v>
      </c>
      <c r="G1528" s="7" t="s">
        <v>240</v>
      </c>
      <c r="H1528" s="15">
        <v>75.94</v>
      </c>
      <c r="I1528" s="15">
        <v>64.540000000000006</v>
      </c>
      <c r="J1528" s="7" t="str">
        <f>IFERROR(_xlfn.XLOOKUP(F1528,ccustos!A:A,ccustos!B:B),"Sem termo")</f>
        <v>SEPAT</v>
      </c>
    </row>
    <row r="1529" spans="1:10" ht="36.75" customHeight="1" x14ac:dyDescent="0.25">
      <c r="A1529" s="16">
        <v>12916</v>
      </c>
      <c r="B1529" s="17" t="s">
        <v>236</v>
      </c>
      <c r="C1529" s="17" t="s">
        <v>732</v>
      </c>
      <c r="D1529" s="17" t="s">
        <v>1108</v>
      </c>
      <c r="E1529" s="17" t="s">
        <v>734</v>
      </c>
      <c r="F1529" s="17" t="s">
        <v>27</v>
      </c>
      <c r="G1529" s="17" t="s">
        <v>1100</v>
      </c>
      <c r="H1529" s="18">
        <v>1000</v>
      </c>
      <c r="I1529" s="18">
        <v>1000</v>
      </c>
      <c r="J1529" s="7" t="str">
        <f>IFERROR(_xlfn.XLOOKUP(F1529,ccustos!A:A,ccustos!B:B),"Sem termo")</f>
        <v>CCI</v>
      </c>
    </row>
    <row r="1530" spans="1:10" ht="36.75" customHeight="1" x14ac:dyDescent="0.25">
      <c r="A1530" s="14">
        <v>12918</v>
      </c>
      <c r="B1530" s="7" t="s">
        <v>236</v>
      </c>
      <c r="C1530" s="7" t="s">
        <v>399</v>
      </c>
      <c r="D1530" s="7" t="s">
        <v>747</v>
      </c>
      <c r="E1530" s="7" t="s">
        <v>239</v>
      </c>
      <c r="F1530" s="7" t="s">
        <v>74</v>
      </c>
      <c r="G1530" s="7" t="s">
        <v>748</v>
      </c>
      <c r="H1530" s="15">
        <v>258</v>
      </c>
      <c r="I1530" s="15">
        <v>0</v>
      </c>
      <c r="J1530" s="7" t="str">
        <f>IFERROR(_xlfn.XLOOKUP(F1530,ccustos!A:A,ccustos!B:B),"Sem termo")</f>
        <v>DEINFRA</v>
      </c>
    </row>
    <row r="1531" spans="1:10" ht="25.5" customHeight="1" x14ac:dyDescent="0.25">
      <c r="A1531" s="16">
        <v>12920</v>
      </c>
      <c r="B1531" s="17" t="s">
        <v>236</v>
      </c>
      <c r="C1531" s="17" t="s">
        <v>399</v>
      </c>
      <c r="D1531" s="17" t="s">
        <v>747</v>
      </c>
      <c r="E1531" s="17" t="s">
        <v>239</v>
      </c>
      <c r="F1531" s="17" t="s">
        <v>70</v>
      </c>
      <c r="G1531" s="17" t="s">
        <v>748</v>
      </c>
      <c r="H1531" s="18">
        <v>230</v>
      </c>
      <c r="I1531" s="18">
        <v>38.54</v>
      </c>
      <c r="J1531" s="7" t="str">
        <f>IFERROR(_xlfn.XLOOKUP(F1531,ccustos!A:A,ccustos!B:B),"Sem termo")</f>
        <v>SEBIB</v>
      </c>
    </row>
    <row r="1532" spans="1:10" ht="36.75" customHeight="1" x14ac:dyDescent="0.25">
      <c r="A1532" s="14">
        <v>12921</v>
      </c>
      <c r="B1532" s="7" t="s">
        <v>236</v>
      </c>
      <c r="C1532" s="7" t="s">
        <v>399</v>
      </c>
      <c r="D1532" s="7" t="s">
        <v>747</v>
      </c>
      <c r="E1532" s="7" t="s">
        <v>239</v>
      </c>
      <c r="F1532" s="7" t="s">
        <v>70</v>
      </c>
      <c r="G1532" s="7" t="s">
        <v>748</v>
      </c>
      <c r="H1532" s="15">
        <v>230</v>
      </c>
      <c r="I1532" s="15">
        <v>38.54</v>
      </c>
      <c r="J1532" s="7" t="str">
        <f>IFERROR(_xlfn.XLOOKUP(F1532,ccustos!A:A,ccustos!B:B),"Sem termo")</f>
        <v>SEBIB</v>
      </c>
    </row>
    <row r="1533" spans="1:10" ht="25.5" customHeight="1" x14ac:dyDescent="0.25">
      <c r="A1533" s="16">
        <v>12937</v>
      </c>
      <c r="B1533" s="17" t="s">
        <v>236</v>
      </c>
      <c r="C1533" s="17" t="s">
        <v>306</v>
      </c>
      <c r="D1533" s="17" t="s">
        <v>514</v>
      </c>
      <c r="E1533" s="17" t="s">
        <v>239</v>
      </c>
      <c r="F1533" s="17" t="s">
        <v>9</v>
      </c>
      <c r="G1533" s="17" t="s">
        <v>463</v>
      </c>
      <c r="H1533" s="18">
        <v>667.77</v>
      </c>
      <c r="I1533" s="18">
        <v>154.72999999999999</v>
      </c>
      <c r="J1533" s="7" t="str">
        <f>IFERROR(_xlfn.XLOOKUP(F1533,ccustos!A:A,ccustos!B:B),"Sem termo")</f>
        <v>DEINFRA</v>
      </c>
    </row>
    <row r="1534" spans="1:10" ht="25.5" customHeight="1" x14ac:dyDescent="0.25">
      <c r="A1534" s="14">
        <v>12946</v>
      </c>
      <c r="B1534" s="7" t="s">
        <v>236</v>
      </c>
      <c r="C1534" s="7" t="s">
        <v>294</v>
      </c>
      <c r="D1534" s="7" t="s">
        <v>1109</v>
      </c>
      <c r="E1534" s="7" t="s">
        <v>239</v>
      </c>
      <c r="F1534" s="7" t="s">
        <v>0</v>
      </c>
      <c r="G1534" s="7" t="s">
        <v>589</v>
      </c>
      <c r="H1534" s="15">
        <v>674.5</v>
      </c>
      <c r="I1534" s="15">
        <v>0</v>
      </c>
      <c r="J1534" s="7" t="str">
        <f>IFERROR(_xlfn.XLOOKUP(F1534,ccustos!A:A,ccustos!B:B),"Sem termo")</f>
        <v>SEPAT</v>
      </c>
    </row>
    <row r="1535" spans="1:10" ht="25.5" customHeight="1" x14ac:dyDescent="0.25">
      <c r="A1535" s="16">
        <v>12947</v>
      </c>
      <c r="B1535" s="17" t="s">
        <v>236</v>
      </c>
      <c r="C1535" s="17" t="s">
        <v>399</v>
      </c>
      <c r="D1535" s="17" t="s">
        <v>747</v>
      </c>
      <c r="E1535" s="17" t="s">
        <v>239</v>
      </c>
      <c r="F1535" s="17" t="s">
        <v>70</v>
      </c>
      <c r="G1535" s="17" t="s">
        <v>748</v>
      </c>
      <c r="H1535" s="18">
        <v>258</v>
      </c>
      <c r="I1535" s="18">
        <v>155.13999999999999</v>
      </c>
      <c r="J1535" s="7" t="str">
        <f>IFERROR(_xlfn.XLOOKUP(F1535,ccustos!A:A,ccustos!B:B),"Sem termo")</f>
        <v>SEBIB</v>
      </c>
    </row>
    <row r="1536" spans="1:10" ht="25.5" customHeight="1" x14ac:dyDescent="0.25">
      <c r="A1536" s="14">
        <v>12948</v>
      </c>
      <c r="B1536" s="7" t="s">
        <v>236</v>
      </c>
      <c r="C1536" s="7" t="s">
        <v>399</v>
      </c>
      <c r="D1536" s="7" t="s">
        <v>747</v>
      </c>
      <c r="E1536" s="7" t="s">
        <v>239</v>
      </c>
      <c r="F1536" s="7" t="s">
        <v>70</v>
      </c>
      <c r="G1536" s="7" t="s">
        <v>748</v>
      </c>
      <c r="H1536" s="15">
        <v>258</v>
      </c>
      <c r="I1536" s="15">
        <v>155.13999999999999</v>
      </c>
      <c r="J1536" s="7" t="str">
        <f>IFERROR(_xlfn.XLOOKUP(F1536,ccustos!A:A,ccustos!B:B),"Sem termo")</f>
        <v>SEBIB</v>
      </c>
    </row>
    <row r="1537" spans="1:10" ht="25.5" customHeight="1" x14ac:dyDescent="0.25">
      <c r="A1537" s="16">
        <v>12949</v>
      </c>
      <c r="B1537" s="17" t="s">
        <v>236</v>
      </c>
      <c r="C1537" s="17" t="s">
        <v>399</v>
      </c>
      <c r="D1537" s="17" t="s">
        <v>747</v>
      </c>
      <c r="E1537" s="17" t="s">
        <v>239</v>
      </c>
      <c r="F1537" s="17" t="s">
        <v>70</v>
      </c>
      <c r="G1537" s="17" t="s">
        <v>748</v>
      </c>
      <c r="H1537" s="18">
        <v>258</v>
      </c>
      <c r="I1537" s="18">
        <v>155.13999999999999</v>
      </c>
      <c r="J1537" s="7" t="str">
        <f>IFERROR(_xlfn.XLOOKUP(F1537,ccustos!A:A,ccustos!B:B),"Sem termo")</f>
        <v>SEBIB</v>
      </c>
    </row>
    <row r="1538" spans="1:10" ht="25.5" customHeight="1" x14ac:dyDescent="0.25">
      <c r="A1538" s="14">
        <v>12950</v>
      </c>
      <c r="B1538" s="7" t="s">
        <v>236</v>
      </c>
      <c r="C1538" s="7" t="s">
        <v>399</v>
      </c>
      <c r="D1538" s="7" t="s">
        <v>747</v>
      </c>
      <c r="E1538" s="7" t="s">
        <v>239</v>
      </c>
      <c r="F1538" s="7" t="s">
        <v>70</v>
      </c>
      <c r="G1538" s="7" t="s">
        <v>748</v>
      </c>
      <c r="H1538" s="15">
        <v>258</v>
      </c>
      <c r="I1538" s="15">
        <v>155.13999999999999</v>
      </c>
      <c r="J1538" s="7" t="str">
        <f>IFERROR(_xlfn.XLOOKUP(F1538,ccustos!A:A,ccustos!B:B),"Sem termo")</f>
        <v>SEBIB</v>
      </c>
    </row>
    <row r="1539" spans="1:10" ht="25.5" customHeight="1" x14ac:dyDescent="0.25">
      <c r="A1539" s="16">
        <v>12951</v>
      </c>
      <c r="B1539" s="17" t="s">
        <v>236</v>
      </c>
      <c r="C1539" s="17" t="s">
        <v>399</v>
      </c>
      <c r="D1539" s="17" t="s">
        <v>747</v>
      </c>
      <c r="E1539" s="17" t="s">
        <v>239</v>
      </c>
      <c r="F1539" s="17" t="s">
        <v>70</v>
      </c>
      <c r="G1539" s="17" t="s">
        <v>748</v>
      </c>
      <c r="H1539" s="18">
        <v>258</v>
      </c>
      <c r="I1539" s="18">
        <v>155.13999999999999</v>
      </c>
      <c r="J1539" s="7" t="str">
        <f>IFERROR(_xlfn.XLOOKUP(F1539,ccustos!A:A,ccustos!B:B),"Sem termo")</f>
        <v>SEBIB</v>
      </c>
    </row>
    <row r="1540" spans="1:10" ht="25.5" customHeight="1" x14ac:dyDescent="0.25">
      <c r="A1540" s="14">
        <v>12952</v>
      </c>
      <c r="B1540" s="7" t="s">
        <v>236</v>
      </c>
      <c r="C1540" s="7" t="s">
        <v>399</v>
      </c>
      <c r="D1540" s="7" t="s">
        <v>747</v>
      </c>
      <c r="E1540" s="7" t="s">
        <v>239</v>
      </c>
      <c r="F1540" s="7" t="s">
        <v>70</v>
      </c>
      <c r="G1540" s="7" t="s">
        <v>748</v>
      </c>
      <c r="H1540" s="15">
        <v>258</v>
      </c>
      <c r="I1540" s="15">
        <v>155.13999999999999</v>
      </c>
      <c r="J1540" s="7" t="str">
        <f>IFERROR(_xlfn.XLOOKUP(F1540,ccustos!A:A,ccustos!B:B),"Sem termo")</f>
        <v>SEBIB</v>
      </c>
    </row>
    <row r="1541" spans="1:10" ht="25.5" customHeight="1" x14ac:dyDescent="0.25">
      <c r="A1541" s="16">
        <v>12953</v>
      </c>
      <c r="B1541" s="17" t="s">
        <v>236</v>
      </c>
      <c r="C1541" s="17" t="s">
        <v>399</v>
      </c>
      <c r="D1541" s="17" t="s">
        <v>747</v>
      </c>
      <c r="E1541" s="17" t="s">
        <v>239</v>
      </c>
      <c r="F1541" s="17" t="s">
        <v>70</v>
      </c>
      <c r="G1541" s="17" t="s">
        <v>748</v>
      </c>
      <c r="H1541" s="18">
        <v>258</v>
      </c>
      <c r="I1541" s="18">
        <v>155.13999999999999</v>
      </c>
      <c r="J1541" s="7" t="str">
        <f>IFERROR(_xlfn.XLOOKUP(F1541,ccustos!A:A,ccustos!B:B),"Sem termo")</f>
        <v>SEBIB</v>
      </c>
    </row>
    <row r="1542" spans="1:10" ht="25.5" customHeight="1" x14ac:dyDescent="0.25">
      <c r="A1542" s="14">
        <v>12954</v>
      </c>
      <c r="B1542" s="7" t="s">
        <v>236</v>
      </c>
      <c r="C1542" s="7" t="s">
        <v>399</v>
      </c>
      <c r="D1542" s="7" t="s">
        <v>747</v>
      </c>
      <c r="E1542" s="7" t="s">
        <v>239</v>
      </c>
      <c r="F1542" s="7" t="s">
        <v>70</v>
      </c>
      <c r="G1542" s="7" t="s">
        <v>748</v>
      </c>
      <c r="H1542" s="15">
        <v>230</v>
      </c>
      <c r="I1542" s="15">
        <v>155.13999999999999</v>
      </c>
      <c r="J1542" s="7" t="str">
        <f>IFERROR(_xlfn.XLOOKUP(F1542,ccustos!A:A,ccustos!B:B),"Sem termo")</f>
        <v>SEBIB</v>
      </c>
    </row>
    <row r="1543" spans="1:10" ht="25.5" customHeight="1" x14ac:dyDescent="0.25">
      <c r="A1543" s="16">
        <v>12955</v>
      </c>
      <c r="B1543" s="17" t="s">
        <v>236</v>
      </c>
      <c r="C1543" s="17" t="s">
        <v>399</v>
      </c>
      <c r="D1543" s="17" t="s">
        <v>747</v>
      </c>
      <c r="E1543" s="17" t="s">
        <v>239</v>
      </c>
      <c r="F1543" s="17" t="s">
        <v>70</v>
      </c>
      <c r="G1543" s="17" t="s">
        <v>748</v>
      </c>
      <c r="H1543" s="18">
        <v>258</v>
      </c>
      <c r="I1543" s="18">
        <v>155.13999999999999</v>
      </c>
      <c r="J1543" s="7" t="str">
        <f>IFERROR(_xlfn.XLOOKUP(F1543,ccustos!A:A,ccustos!B:B),"Sem termo")</f>
        <v>SEBIB</v>
      </c>
    </row>
    <row r="1544" spans="1:10" ht="25.5" customHeight="1" x14ac:dyDescent="0.25">
      <c r="A1544" s="14">
        <v>12956</v>
      </c>
      <c r="B1544" s="7" t="s">
        <v>236</v>
      </c>
      <c r="C1544" s="7" t="s">
        <v>399</v>
      </c>
      <c r="D1544" s="7" t="s">
        <v>747</v>
      </c>
      <c r="E1544" s="7" t="s">
        <v>239</v>
      </c>
      <c r="F1544" s="7" t="s">
        <v>70</v>
      </c>
      <c r="G1544" s="7" t="s">
        <v>748</v>
      </c>
      <c r="H1544" s="15">
        <v>258</v>
      </c>
      <c r="I1544" s="15">
        <v>155.13999999999999</v>
      </c>
      <c r="J1544" s="7" t="str">
        <f>IFERROR(_xlfn.XLOOKUP(F1544,ccustos!A:A,ccustos!B:B),"Sem termo")</f>
        <v>SEBIB</v>
      </c>
    </row>
    <row r="1545" spans="1:10" ht="25.5" customHeight="1" x14ac:dyDescent="0.25">
      <c r="A1545" s="16">
        <v>12957</v>
      </c>
      <c r="B1545" s="17" t="s">
        <v>236</v>
      </c>
      <c r="C1545" s="17" t="s">
        <v>399</v>
      </c>
      <c r="D1545" s="17" t="s">
        <v>747</v>
      </c>
      <c r="E1545" s="17" t="s">
        <v>239</v>
      </c>
      <c r="F1545" s="17" t="s">
        <v>70</v>
      </c>
      <c r="G1545" s="17" t="s">
        <v>748</v>
      </c>
      <c r="H1545" s="18">
        <v>258</v>
      </c>
      <c r="I1545" s="18">
        <v>155.13999999999999</v>
      </c>
      <c r="J1545" s="7" t="str">
        <f>IFERROR(_xlfn.XLOOKUP(F1545,ccustos!A:A,ccustos!B:B),"Sem termo")</f>
        <v>SEBIB</v>
      </c>
    </row>
    <row r="1546" spans="1:10" ht="25.5" customHeight="1" x14ac:dyDescent="0.25">
      <c r="A1546" s="14">
        <v>12958</v>
      </c>
      <c r="B1546" s="7" t="s">
        <v>236</v>
      </c>
      <c r="C1546" s="7" t="s">
        <v>399</v>
      </c>
      <c r="D1546" s="7" t="s">
        <v>747</v>
      </c>
      <c r="E1546" s="7" t="s">
        <v>239</v>
      </c>
      <c r="F1546" s="7" t="s">
        <v>70</v>
      </c>
      <c r="G1546" s="7" t="s">
        <v>748</v>
      </c>
      <c r="H1546" s="15">
        <v>258</v>
      </c>
      <c r="I1546" s="15">
        <v>155.13999999999999</v>
      </c>
      <c r="J1546" s="7" t="str">
        <f>IFERROR(_xlfn.XLOOKUP(F1546,ccustos!A:A,ccustos!B:B),"Sem termo")</f>
        <v>SEBIB</v>
      </c>
    </row>
    <row r="1547" spans="1:10" ht="25.5" customHeight="1" x14ac:dyDescent="0.25">
      <c r="A1547" s="16">
        <v>12959</v>
      </c>
      <c r="B1547" s="17" t="s">
        <v>236</v>
      </c>
      <c r="C1547" s="17" t="s">
        <v>399</v>
      </c>
      <c r="D1547" s="17" t="s">
        <v>747</v>
      </c>
      <c r="E1547" s="17" t="s">
        <v>239</v>
      </c>
      <c r="F1547" s="17" t="s">
        <v>70</v>
      </c>
      <c r="G1547" s="17" t="s">
        <v>748</v>
      </c>
      <c r="H1547" s="18">
        <v>258</v>
      </c>
      <c r="I1547" s="18">
        <v>155.13999999999999</v>
      </c>
      <c r="J1547" s="7" t="str">
        <f>IFERROR(_xlfn.XLOOKUP(F1547,ccustos!A:A,ccustos!B:B),"Sem termo")</f>
        <v>SEBIB</v>
      </c>
    </row>
    <row r="1548" spans="1:10" ht="25.5" customHeight="1" x14ac:dyDescent="0.25">
      <c r="A1548" s="14">
        <v>12960</v>
      </c>
      <c r="B1548" s="7" t="s">
        <v>236</v>
      </c>
      <c r="C1548" s="7" t="s">
        <v>399</v>
      </c>
      <c r="D1548" s="7" t="s">
        <v>747</v>
      </c>
      <c r="E1548" s="7" t="s">
        <v>239</v>
      </c>
      <c r="F1548" s="7" t="s">
        <v>70</v>
      </c>
      <c r="G1548" s="7" t="s">
        <v>748</v>
      </c>
      <c r="H1548" s="15">
        <v>230</v>
      </c>
      <c r="I1548" s="15">
        <v>155.13999999999999</v>
      </c>
      <c r="J1548" s="7" t="str">
        <f>IFERROR(_xlfn.XLOOKUP(F1548,ccustos!A:A,ccustos!B:B),"Sem termo")</f>
        <v>SEBIB</v>
      </c>
    </row>
    <row r="1549" spans="1:10" ht="25.5" customHeight="1" x14ac:dyDescent="0.25">
      <c r="A1549" s="16">
        <v>12961</v>
      </c>
      <c r="B1549" s="17" t="s">
        <v>236</v>
      </c>
      <c r="C1549" s="17" t="s">
        <v>399</v>
      </c>
      <c r="D1549" s="17" t="s">
        <v>747</v>
      </c>
      <c r="E1549" s="17" t="s">
        <v>239</v>
      </c>
      <c r="F1549" s="17" t="s">
        <v>70</v>
      </c>
      <c r="G1549" s="17" t="s">
        <v>748</v>
      </c>
      <c r="H1549" s="18">
        <v>258</v>
      </c>
      <c r="I1549" s="18">
        <v>155.13999999999999</v>
      </c>
      <c r="J1549" s="7" t="str">
        <f>IFERROR(_xlfn.XLOOKUP(F1549,ccustos!A:A,ccustos!B:B),"Sem termo")</f>
        <v>SEBIB</v>
      </c>
    </row>
    <row r="1550" spans="1:10" ht="25.5" customHeight="1" x14ac:dyDescent="0.25">
      <c r="A1550" s="14">
        <v>12962</v>
      </c>
      <c r="B1550" s="7" t="s">
        <v>236</v>
      </c>
      <c r="C1550" s="7" t="s">
        <v>399</v>
      </c>
      <c r="D1550" s="7" t="s">
        <v>747</v>
      </c>
      <c r="E1550" s="7" t="s">
        <v>239</v>
      </c>
      <c r="F1550" s="7" t="s">
        <v>70</v>
      </c>
      <c r="G1550" s="7" t="s">
        <v>748</v>
      </c>
      <c r="H1550" s="15">
        <v>258</v>
      </c>
      <c r="I1550" s="15">
        <v>155.13999999999999</v>
      </c>
      <c r="J1550" s="7" t="str">
        <f>IFERROR(_xlfn.XLOOKUP(F1550,ccustos!A:A,ccustos!B:B),"Sem termo")</f>
        <v>SEBIB</v>
      </c>
    </row>
    <row r="1551" spans="1:10" ht="25.5" customHeight="1" x14ac:dyDescent="0.25">
      <c r="A1551" s="16">
        <v>12963</v>
      </c>
      <c r="B1551" s="17" t="s">
        <v>236</v>
      </c>
      <c r="C1551" s="17" t="s">
        <v>399</v>
      </c>
      <c r="D1551" s="17" t="s">
        <v>747</v>
      </c>
      <c r="E1551" s="17" t="s">
        <v>239</v>
      </c>
      <c r="F1551" s="17" t="s">
        <v>70</v>
      </c>
      <c r="G1551" s="17" t="s">
        <v>748</v>
      </c>
      <c r="H1551" s="18">
        <v>258</v>
      </c>
      <c r="I1551" s="18">
        <v>155.13999999999999</v>
      </c>
      <c r="J1551" s="7" t="str">
        <f>IFERROR(_xlfn.XLOOKUP(F1551,ccustos!A:A,ccustos!B:B),"Sem termo")</f>
        <v>SEBIB</v>
      </c>
    </row>
    <row r="1552" spans="1:10" ht="25.5" customHeight="1" x14ac:dyDescent="0.25">
      <c r="A1552" s="14">
        <v>12964</v>
      </c>
      <c r="B1552" s="7" t="s">
        <v>236</v>
      </c>
      <c r="C1552" s="7" t="s">
        <v>399</v>
      </c>
      <c r="D1552" s="7" t="s">
        <v>747</v>
      </c>
      <c r="E1552" s="7" t="s">
        <v>239</v>
      </c>
      <c r="F1552" s="7" t="s">
        <v>70</v>
      </c>
      <c r="G1552" s="7" t="s">
        <v>748</v>
      </c>
      <c r="H1552" s="15">
        <v>258</v>
      </c>
      <c r="I1552" s="15">
        <v>155.13999999999999</v>
      </c>
      <c r="J1552" s="7" t="str">
        <f>IFERROR(_xlfn.XLOOKUP(F1552,ccustos!A:A,ccustos!B:B),"Sem termo")</f>
        <v>SEBIB</v>
      </c>
    </row>
    <row r="1553" spans="1:10" ht="25.5" customHeight="1" x14ac:dyDescent="0.25">
      <c r="A1553" s="16">
        <v>12965</v>
      </c>
      <c r="B1553" s="17" t="s">
        <v>236</v>
      </c>
      <c r="C1553" s="17" t="s">
        <v>399</v>
      </c>
      <c r="D1553" s="17" t="s">
        <v>747</v>
      </c>
      <c r="E1553" s="17" t="s">
        <v>239</v>
      </c>
      <c r="F1553" s="17" t="s">
        <v>70</v>
      </c>
      <c r="G1553" s="17" t="s">
        <v>748</v>
      </c>
      <c r="H1553" s="18">
        <v>258</v>
      </c>
      <c r="I1553" s="18">
        <v>155.13999999999999</v>
      </c>
      <c r="J1553" s="7" t="str">
        <f>IFERROR(_xlfn.XLOOKUP(F1553,ccustos!A:A,ccustos!B:B),"Sem termo")</f>
        <v>SEBIB</v>
      </c>
    </row>
    <row r="1554" spans="1:10" ht="25.5" customHeight="1" x14ac:dyDescent="0.25">
      <c r="A1554" s="14">
        <v>12966</v>
      </c>
      <c r="B1554" s="7" t="s">
        <v>236</v>
      </c>
      <c r="C1554" s="7" t="s">
        <v>399</v>
      </c>
      <c r="D1554" s="7" t="s">
        <v>747</v>
      </c>
      <c r="E1554" s="7" t="s">
        <v>239</v>
      </c>
      <c r="F1554" s="7" t="s">
        <v>70</v>
      </c>
      <c r="G1554" s="7" t="s">
        <v>748</v>
      </c>
      <c r="H1554" s="15">
        <v>258</v>
      </c>
      <c r="I1554" s="15">
        <v>155.13999999999999</v>
      </c>
      <c r="J1554" s="7" t="str">
        <f>IFERROR(_xlfn.XLOOKUP(F1554,ccustos!A:A,ccustos!B:B),"Sem termo")</f>
        <v>SEBIB</v>
      </c>
    </row>
    <row r="1555" spans="1:10" ht="25.5" customHeight="1" x14ac:dyDescent="0.25">
      <c r="A1555" s="16">
        <v>12967</v>
      </c>
      <c r="B1555" s="17" t="s">
        <v>236</v>
      </c>
      <c r="C1555" s="17" t="s">
        <v>399</v>
      </c>
      <c r="D1555" s="17" t="s">
        <v>747</v>
      </c>
      <c r="E1555" s="17" t="s">
        <v>239</v>
      </c>
      <c r="F1555" s="17" t="s">
        <v>70</v>
      </c>
      <c r="G1555" s="17" t="s">
        <v>748</v>
      </c>
      <c r="H1555" s="18">
        <v>258</v>
      </c>
      <c r="I1555" s="18">
        <v>155.13999999999999</v>
      </c>
      <c r="J1555" s="7" t="str">
        <f>IFERROR(_xlfn.XLOOKUP(F1555,ccustos!A:A,ccustos!B:B),"Sem termo")</f>
        <v>SEBIB</v>
      </c>
    </row>
    <row r="1556" spans="1:10" ht="25.5" customHeight="1" x14ac:dyDescent="0.25">
      <c r="A1556" s="14">
        <v>12968</v>
      </c>
      <c r="B1556" s="7" t="s">
        <v>236</v>
      </c>
      <c r="C1556" s="7" t="s">
        <v>399</v>
      </c>
      <c r="D1556" s="7" t="s">
        <v>747</v>
      </c>
      <c r="E1556" s="7" t="s">
        <v>239</v>
      </c>
      <c r="F1556" s="7" t="s">
        <v>70</v>
      </c>
      <c r="G1556" s="7" t="s">
        <v>748</v>
      </c>
      <c r="H1556" s="15">
        <v>230</v>
      </c>
      <c r="I1556" s="15">
        <v>155.13999999999999</v>
      </c>
      <c r="J1556" s="7" t="str">
        <f>IFERROR(_xlfn.XLOOKUP(F1556,ccustos!A:A,ccustos!B:B),"Sem termo")</f>
        <v>SEBIB</v>
      </c>
    </row>
    <row r="1557" spans="1:10" ht="25.5" customHeight="1" x14ac:dyDescent="0.25">
      <c r="A1557" s="16">
        <v>12969</v>
      </c>
      <c r="B1557" s="17" t="s">
        <v>236</v>
      </c>
      <c r="C1557" s="17" t="s">
        <v>399</v>
      </c>
      <c r="D1557" s="17" t="s">
        <v>747</v>
      </c>
      <c r="E1557" s="17" t="s">
        <v>239</v>
      </c>
      <c r="F1557" s="17" t="s">
        <v>70</v>
      </c>
      <c r="G1557" s="17" t="s">
        <v>748</v>
      </c>
      <c r="H1557" s="18">
        <v>258</v>
      </c>
      <c r="I1557" s="18">
        <v>155.13999999999999</v>
      </c>
      <c r="J1557" s="7" t="str">
        <f>IFERROR(_xlfn.XLOOKUP(F1557,ccustos!A:A,ccustos!B:B),"Sem termo")</f>
        <v>SEBIB</v>
      </c>
    </row>
    <row r="1558" spans="1:10" ht="25.5" customHeight="1" x14ac:dyDescent="0.25">
      <c r="A1558" s="14">
        <v>12970</v>
      </c>
      <c r="B1558" s="7" t="s">
        <v>236</v>
      </c>
      <c r="C1558" s="7" t="s">
        <v>1110</v>
      </c>
      <c r="D1558" s="7" t="s">
        <v>1111</v>
      </c>
      <c r="E1558" s="7" t="s">
        <v>250</v>
      </c>
      <c r="F1558" s="7" t="s">
        <v>65</v>
      </c>
      <c r="G1558" s="7" t="s">
        <v>384</v>
      </c>
      <c r="H1558" s="15">
        <v>20878.7</v>
      </c>
      <c r="I1558" s="15">
        <v>1243.1500000000001</v>
      </c>
      <c r="J1558" s="7" t="str">
        <f>IFERROR(_xlfn.XLOOKUP(F1558,ccustos!A:A,ccustos!B:B),"Sem termo")</f>
        <v>DEINFRA</v>
      </c>
    </row>
    <row r="1559" spans="1:10" ht="25.5" customHeight="1" x14ac:dyDescent="0.25">
      <c r="A1559" s="16">
        <v>12972</v>
      </c>
      <c r="B1559" s="17" t="s">
        <v>236</v>
      </c>
      <c r="C1559" s="17" t="s">
        <v>927</v>
      </c>
      <c r="D1559" s="17" t="s">
        <v>1112</v>
      </c>
      <c r="E1559" s="17" t="s">
        <v>250</v>
      </c>
      <c r="F1559" s="17" t="s">
        <v>256</v>
      </c>
      <c r="G1559" s="17" t="s">
        <v>382</v>
      </c>
      <c r="H1559" s="18">
        <v>1000</v>
      </c>
      <c r="I1559" s="18">
        <v>381.12</v>
      </c>
      <c r="J1559" s="7" t="str">
        <f>IFERROR(_xlfn.XLOOKUP(F1559,ccustos!A:A,ccustos!B:B),"Sem termo")</f>
        <v>Sem termo</v>
      </c>
    </row>
    <row r="1560" spans="1:10" ht="25.5" customHeight="1" x14ac:dyDescent="0.25">
      <c r="A1560" s="14">
        <v>12977</v>
      </c>
      <c r="B1560" s="7" t="s">
        <v>236</v>
      </c>
      <c r="C1560" s="7" t="s">
        <v>1113</v>
      </c>
      <c r="D1560" s="7" t="s">
        <v>1114</v>
      </c>
      <c r="E1560" s="7" t="s">
        <v>734</v>
      </c>
      <c r="F1560" s="7" t="s">
        <v>211</v>
      </c>
      <c r="G1560" s="7" t="s">
        <v>973</v>
      </c>
      <c r="H1560" s="15">
        <v>3100</v>
      </c>
      <c r="I1560" s="15">
        <v>3100</v>
      </c>
      <c r="J1560" s="7" t="str">
        <f>IFERROR(_xlfn.XLOOKUP(F1560,ccustos!A:A,ccustos!B:B),"Sem termo")</f>
        <v>DIGEO</v>
      </c>
    </row>
    <row r="1561" spans="1:10" ht="25.5" customHeight="1" x14ac:dyDescent="0.25">
      <c r="A1561" s="16">
        <v>12978</v>
      </c>
      <c r="B1561" s="17" t="s">
        <v>236</v>
      </c>
      <c r="C1561" s="17" t="s">
        <v>1113</v>
      </c>
      <c r="D1561" s="17" t="s">
        <v>1114</v>
      </c>
      <c r="E1561" s="17" t="s">
        <v>734</v>
      </c>
      <c r="F1561" s="17" t="s">
        <v>211</v>
      </c>
      <c r="G1561" s="17" t="s">
        <v>973</v>
      </c>
      <c r="H1561" s="18">
        <v>3100</v>
      </c>
      <c r="I1561" s="18">
        <v>3100</v>
      </c>
      <c r="J1561" s="7" t="str">
        <f>IFERROR(_xlfn.XLOOKUP(F1561,ccustos!A:A,ccustos!B:B),"Sem termo")</f>
        <v>DIGEO</v>
      </c>
    </row>
    <row r="1562" spans="1:10" ht="25.5" customHeight="1" x14ac:dyDescent="0.25">
      <c r="A1562" s="14">
        <v>12979</v>
      </c>
      <c r="B1562" s="7" t="s">
        <v>236</v>
      </c>
      <c r="C1562" s="7" t="s">
        <v>1113</v>
      </c>
      <c r="D1562" s="7" t="s">
        <v>1115</v>
      </c>
      <c r="E1562" s="7" t="s">
        <v>734</v>
      </c>
      <c r="F1562" s="7" t="s">
        <v>83</v>
      </c>
      <c r="G1562" s="7" t="s">
        <v>973</v>
      </c>
      <c r="H1562" s="15">
        <v>4750</v>
      </c>
      <c r="I1562" s="15">
        <v>4750</v>
      </c>
      <c r="J1562" s="7" t="str">
        <f>IFERROR(_xlfn.XLOOKUP(F1562,ccustos!A:A,ccustos!B:B),"Sem termo")</f>
        <v>GABIN</v>
      </c>
    </row>
    <row r="1563" spans="1:10" ht="25.5" customHeight="1" x14ac:dyDescent="0.25">
      <c r="A1563" s="16">
        <v>12980</v>
      </c>
      <c r="B1563" s="17" t="s">
        <v>236</v>
      </c>
      <c r="C1563" s="17" t="s">
        <v>1113</v>
      </c>
      <c r="D1563" s="17" t="s">
        <v>1116</v>
      </c>
      <c r="E1563" s="17" t="s">
        <v>734</v>
      </c>
      <c r="F1563" s="17" t="s">
        <v>83</v>
      </c>
      <c r="G1563" s="17" t="s">
        <v>973</v>
      </c>
      <c r="H1563" s="18">
        <v>5900</v>
      </c>
      <c r="I1563" s="18">
        <v>5900</v>
      </c>
      <c r="J1563" s="7" t="str">
        <f>IFERROR(_xlfn.XLOOKUP(F1563,ccustos!A:A,ccustos!B:B),"Sem termo")</f>
        <v>GABIN</v>
      </c>
    </row>
    <row r="1564" spans="1:10" ht="25.5" customHeight="1" x14ac:dyDescent="0.25">
      <c r="A1564" s="14">
        <v>12983</v>
      </c>
      <c r="B1564" s="7" t="s">
        <v>236</v>
      </c>
      <c r="C1564" s="7" t="s">
        <v>878</v>
      </c>
      <c r="D1564" s="7" t="s">
        <v>1117</v>
      </c>
      <c r="E1564" s="7" t="s">
        <v>335</v>
      </c>
      <c r="F1564" s="7" t="s">
        <v>20</v>
      </c>
      <c r="G1564" s="7" t="s">
        <v>1118</v>
      </c>
      <c r="H1564" s="15">
        <v>1162</v>
      </c>
      <c r="I1564" s="15">
        <v>0</v>
      </c>
      <c r="J1564" s="7" t="str">
        <f>IFERROR(_xlfn.XLOOKUP(F1564,ccustos!A:A,ccustos!B:B),"Sem termo")</f>
        <v>CGTI</v>
      </c>
    </row>
    <row r="1565" spans="1:10" ht="25.5" customHeight="1" x14ac:dyDescent="0.25">
      <c r="A1565" s="16">
        <v>12984</v>
      </c>
      <c r="B1565" s="17" t="s">
        <v>236</v>
      </c>
      <c r="C1565" s="17" t="s">
        <v>878</v>
      </c>
      <c r="D1565" s="17" t="s">
        <v>1119</v>
      </c>
      <c r="E1565" s="17" t="s">
        <v>335</v>
      </c>
      <c r="F1565" s="17" t="s">
        <v>20</v>
      </c>
      <c r="G1565" s="17" t="s">
        <v>1118</v>
      </c>
      <c r="H1565" s="18">
        <v>1162</v>
      </c>
      <c r="I1565" s="18">
        <v>0</v>
      </c>
      <c r="J1565" s="7" t="str">
        <f>IFERROR(_xlfn.XLOOKUP(F1565,ccustos!A:A,ccustos!B:B),"Sem termo")</f>
        <v>CGTI</v>
      </c>
    </row>
    <row r="1566" spans="1:10" ht="25.5" customHeight="1" x14ac:dyDescent="0.25">
      <c r="A1566" s="14">
        <v>12986</v>
      </c>
      <c r="B1566" s="7" t="s">
        <v>236</v>
      </c>
      <c r="C1566" s="7" t="s">
        <v>732</v>
      </c>
      <c r="D1566" s="7" t="s">
        <v>1120</v>
      </c>
      <c r="E1566" s="7" t="s">
        <v>734</v>
      </c>
      <c r="F1566" s="7" t="s">
        <v>211</v>
      </c>
      <c r="G1566" s="7" t="s">
        <v>973</v>
      </c>
      <c r="H1566" s="15">
        <v>3200</v>
      </c>
      <c r="I1566" s="15">
        <v>3200</v>
      </c>
      <c r="J1566" s="7" t="str">
        <f>IFERROR(_xlfn.XLOOKUP(F1566,ccustos!A:A,ccustos!B:B),"Sem termo")</f>
        <v>DIGEO</v>
      </c>
    </row>
    <row r="1567" spans="1:10" ht="25.5" customHeight="1" x14ac:dyDescent="0.25">
      <c r="A1567" s="16">
        <v>12987</v>
      </c>
      <c r="B1567" s="17" t="s">
        <v>236</v>
      </c>
      <c r="C1567" s="17" t="s">
        <v>732</v>
      </c>
      <c r="D1567" s="17" t="s">
        <v>1120</v>
      </c>
      <c r="E1567" s="17" t="s">
        <v>734</v>
      </c>
      <c r="F1567" s="17" t="s">
        <v>211</v>
      </c>
      <c r="G1567" s="17" t="s">
        <v>973</v>
      </c>
      <c r="H1567" s="18">
        <v>3200</v>
      </c>
      <c r="I1567" s="18">
        <v>3200</v>
      </c>
      <c r="J1567" s="7" t="str">
        <f>IFERROR(_xlfn.XLOOKUP(F1567,ccustos!A:A,ccustos!B:B),"Sem termo")</f>
        <v>DIGEO</v>
      </c>
    </row>
    <row r="1568" spans="1:10" ht="25.5" customHeight="1" x14ac:dyDescent="0.25">
      <c r="A1568" s="14">
        <v>12988</v>
      </c>
      <c r="B1568" s="7" t="s">
        <v>236</v>
      </c>
      <c r="C1568" s="7" t="s">
        <v>732</v>
      </c>
      <c r="D1568" s="7" t="s">
        <v>1121</v>
      </c>
      <c r="E1568" s="7" t="s">
        <v>734</v>
      </c>
      <c r="F1568" s="7" t="s">
        <v>83</v>
      </c>
      <c r="G1568" s="7" t="s">
        <v>973</v>
      </c>
      <c r="H1568" s="15">
        <v>4350</v>
      </c>
      <c r="I1568" s="15">
        <v>0</v>
      </c>
      <c r="J1568" s="7" t="str">
        <f>IFERROR(_xlfn.XLOOKUP(F1568,ccustos!A:A,ccustos!B:B),"Sem termo")</f>
        <v>GABIN</v>
      </c>
    </row>
    <row r="1569" spans="1:10" ht="25.5" customHeight="1" x14ac:dyDescent="0.25">
      <c r="A1569" s="16">
        <v>12989</v>
      </c>
      <c r="B1569" s="17" t="s">
        <v>236</v>
      </c>
      <c r="C1569" s="17" t="s">
        <v>732</v>
      </c>
      <c r="D1569" s="17" t="s">
        <v>1122</v>
      </c>
      <c r="E1569" s="17" t="s">
        <v>734</v>
      </c>
      <c r="F1569" s="17" t="s">
        <v>83</v>
      </c>
      <c r="G1569" s="17" t="s">
        <v>973</v>
      </c>
      <c r="H1569" s="18">
        <v>4350</v>
      </c>
      <c r="I1569" s="18">
        <v>0</v>
      </c>
      <c r="J1569" s="7" t="str">
        <f>IFERROR(_xlfn.XLOOKUP(F1569,ccustos!A:A,ccustos!B:B),"Sem termo")</f>
        <v>GABIN</v>
      </c>
    </row>
    <row r="1570" spans="1:10" ht="25.5" customHeight="1" x14ac:dyDescent="0.25">
      <c r="A1570" s="14">
        <v>12990</v>
      </c>
      <c r="B1570" s="7" t="s">
        <v>236</v>
      </c>
      <c r="C1570" s="7" t="s">
        <v>732</v>
      </c>
      <c r="D1570" s="7" t="s">
        <v>1123</v>
      </c>
      <c r="E1570" s="7" t="s">
        <v>734</v>
      </c>
      <c r="F1570" s="7" t="s">
        <v>83</v>
      </c>
      <c r="G1570" s="7" t="s">
        <v>973</v>
      </c>
      <c r="H1570" s="15">
        <v>5800</v>
      </c>
      <c r="I1570" s="15">
        <v>5800</v>
      </c>
      <c r="J1570" s="7" t="str">
        <f>IFERROR(_xlfn.XLOOKUP(F1570,ccustos!A:A,ccustos!B:B),"Sem termo")</f>
        <v>GABIN</v>
      </c>
    </row>
    <row r="1571" spans="1:10" ht="25.5" customHeight="1" x14ac:dyDescent="0.25">
      <c r="A1571" s="16">
        <v>12991</v>
      </c>
      <c r="B1571" s="17" t="s">
        <v>236</v>
      </c>
      <c r="C1571" s="17" t="s">
        <v>732</v>
      </c>
      <c r="D1571" s="17" t="s">
        <v>1124</v>
      </c>
      <c r="E1571" s="17" t="s">
        <v>734</v>
      </c>
      <c r="F1571" s="17" t="s">
        <v>1125</v>
      </c>
      <c r="G1571" s="17" t="s">
        <v>1126</v>
      </c>
      <c r="H1571" s="18">
        <v>3215.73</v>
      </c>
      <c r="I1571" s="18">
        <v>3215.73</v>
      </c>
      <c r="J1571" s="7" t="str">
        <f>IFERROR(_xlfn.XLOOKUP(F1571,ccustos!A:A,ccustos!B:B),"Sem termo")</f>
        <v>Sem termo</v>
      </c>
    </row>
    <row r="1572" spans="1:10" ht="25.5" customHeight="1" x14ac:dyDescent="0.25">
      <c r="A1572" s="14">
        <v>12992</v>
      </c>
      <c r="B1572" s="7" t="s">
        <v>236</v>
      </c>
      <c r="C1572" s="7" t="s">
        <v>762</v>
      </c>
      <c r="D1572" s="7" t="s">
        <v>1127</v>
      </c>
      <c r="E1572" s="7" t="s">
        <v>250</v>
      </c>
      <c r="F1572" s="7" t="s">
        <v>256</v>
      </c>
      <c r="G1572" s="7" t="s">
        <v>764</v>
      </c>
      <c r="H1572" s="15">
        <v>37990</v>
      </c>
      <c r="I1572" s="15">
        <v>0</v>
      </c>
      <c r="J1572" s="7" t="str">
        <f>IFERROR(_xlfn.XLOOKUP(F1572,ccustos!A:A,ccustos!B:B),"Sem termo")</f>
        <v>Sem termo</v>
      </c>
    </row>
    <row r="1573" spans="1:10" ht="25.5" customHeight="1" x14ac:dyDescent="0.25">
      <c r="A1573" s="16">
        <v>12993</v>
      </c>
      <c r="B1573" s="17" t="s">
        <v>236</v>
      </c>
      <c r="C1573" s="17" t="s">
        <v>762</v>
      </c>
      <c r="D1573" s="17" t="s">
        <v>1127</v>
      </c>
      <c r="E1573" s="17" t="s">
        <v>250</v>
      </c>
      <c r="F1573" s="17" t="s">
        <v>256</v>
      </c>
      <c r="G1573" s="17" t="s">
        <v>764</v>
      </c>
      <c r="H1573" s="18">
        <v>37990</v>
      </c>
      <c r="I1573" s="18">
        <v>0</v>
      </c>
      <c r="J1573" s="7" t="str">
        <f>IFERROR(_xlfn.XLOOKUP(F1573,ccustos!A:A,ccustos!B:B),"Sem termo")</f>
        <v>Sem termo</v>
      </c>
    </row>
    <row r="1574" spans="1:10" ht="25.5" customHeight="1" x14ac:dyDescent="0.25">
      <c r="A1574" s="14">
        <v>12994</v>
      </c>
      <c r="B1574" s="7" t="s">
        <v>236</v>
      </c>
      <c r="C1574" s="7" t="s">
        <v>1128</v>
      </c>
      <c r="D1574" s="7" t="s">
        <v>1129</v>
      </c>
      <c r="E1574" s="7" t="s">
        <v>239</v>
      </c>
      <c r="F1574" s="7" t="s">
        <v>256</v>
      </c>
      <c r="G1574" s="7" t="s">
        <v>382</v>
      </c>
      <c r="H1574" s="15">
        <v>1500</v>
      </c>
      <c r="I1574" s="15">
        <v>762.24</v>
      </c>
      <c r="J1574" s="7" t="str">
        <f>IFERROR(_xlfn.XLOOKUP(F1574,ccustos!A:A,ccustos!B:B),"Sem termo")</f>
        <v>Sem termo</v>
      </c>
    </row>
    <row r="1575" spans="1:10" ht="25.5" customHeight="1" x14ac:dyDescent="0.25">
      <c r="A1575" s="16">
        <v>12996</v>
      </c>
      <c r="B1575" s="17" t="s">
        <v>236</v>
      </c>
      <c r="C1575" s="17" t="s">
        <v>320</v>
      </c>
      <c r="D1575" s="17" t="s">
        <v>1130</v>
      </c>
      <c r="E1575" s="17" t="s">
        <v>250</v>
      </c>
      <c r="F1575" s="17" t="s">
        <v>43</v>
      </c>
      <c r="G1575" s="17" t="s">
        <v>768</v>
      </c>
      <c r="H1575" s="18">
        <v>4950</v>
      </c>
      <c r="I1575" s="18">
        <v>881.72</v>
      </c>
      <c r="J1575" s="7" t="str">
        <f>IFERROR(_xlfn.XLOOKUP(F1575,ccustos!A:A,ccustos!B:B),"Sem termo")</f>
        <v>SEPAT</v>
      </c>
    </row>
    <row r="1576" spans="1:10" ht="25.5" customHeight="1" x14ac:dyDescent="0.25">
      <c r="A1576" s="14">
        <v>12999</v>
      </c>
      <c r="B1576" s="7" t="s">
        <v>236</v>
      </c>
      <c r="C1576" s="7" t="s">
        <v>1131</v>
      </c>
      <c r="D1576" s="7" t="s">
        <v>1132</v>
      </c>
      <c r="E1576" s="7" t="s">
        <v>239</v>
      </c>
      <c r="F1576" s="7" t="s">
        <v>59</v>
      </c>
      <c r="G1576" s="7" t="s">
        <v>1133</v>
      </c>
      <c r="H1576" s="15">
        <v>460</v>
      </c>
      <c r="I1576" s="15">
        <v>132.83000000000001</v>
      </c>
      <c r="J1576" s="7" t="str">
        <f>IFERROR(_xlfn.XLOOKUP(F1576,ccustos!A:A,ccustos!B:B),"Sem termo")</f>
        <v>SEPAT</v>
      </c>
    </row>
    <row r="1577" spans="1:10" ht="25.5" customHeight="1" x14ac:dyDescent="0.25">
      <c r="A1577" s="16">
        <v>13008</v>
      </c>
      <c r="B1577" s="17" t="s">
        <v>236</v>
      </c>
      <c r="C1577" s="17" t="s">
        <v>1134</v>
      </c>
      <c r="D1577" s="17" t="s">
        <v>1135</v>
      </c>
      <c r="E1577" s="17" t="s">
        <v>250</v>
      </c>
      <c r="F1577" s="17" t="s">
        <v>47</v>
      </c>
      <c r="G1577" s="17" t="s">
        <v>1136</v>
      </c>
      <c r="H1577" s="18">
        <v>900</v>
      </c>
      <c r="I1577" s="18">
        <v>400.17</v>
      </c>
      <c r="J1577" s="7" t="str">
        <f>IFERROR(_xlfn.XLOOKUP(F1577,ccustos!A:A,ccustos!B:B),"Sem termo")</f>
        <v>CDPROF</v>
      </c>
    </row>
    <row r="1578" spans="1:10" ht="25.5" customHeight="1" x14ac:dyDescent="0.25">
      <c r="A1578" s="14">
        <v>13009</v>
      </c>
      <c r="B1578" s="7" t="s">
        <v>236</v>
      </c>
      <c r="C1578" s="7" t="s">
        <v>1134</v>
      </c>
      <c r="D1578" s="7" t="s">
        <v>1135</v>
      </c>
      <c r="E1578" s="7" t="s">
        <v>250</v>
      </c>
      <c r="F1578" s="7" t="s">
        <v>47</v>
      </c>
      <c r="G1578" s="7" t="s">
        <v>1136</v>
      </c>
      <c r="H1578" s="15">
        <v>900</v>
      </c>
      <c r="I1578" s="15">
        <v>400.17</v>
      </c>
      <c r="J1578" s="7" t="str">
        <f>IFERROR(_xlfn.XLOOKUP(F1578,ccustos!A:A,ccustos!B:B),"Sem termo")</f>
        <v>CDPROF</v>
      </c>
    </row>
    <row r="1579" spans="1:10" ht="25.5" customHeight="1" x14ac:dyDescent="0.25">
      <c r="A1579" s="16">
        <v>13010</v>
      </c>
      <c r="B1579" s="17" t="s">
        <v>236</v>
      </c>
      <c r="C1579" s="17" t="s">
        <v>1134</v>
      </c>
      <c r="D1579" s="17" t="s">
        <v>1135</v>
      </c>
      <c r="E1579" s="17" t="s">
        <v>250</v>
      </c>
      <c r="F1579" s="17" t="s">
        <v>47</v>
      </c>
      <c r="G1579" s="17" t="s">
        <v>1136</v>
      </c>
      <c r="H1579" s="18">
        <v>900</v>
      </c>
      <c r="I1579" s="18">
        <v>400.17</v>
      </c>
      <c r="J1579" s="7" t="str">
        <f>IFERROR(_xlfn.XLOOKUP(F1579,ccustos!A:A,ccustos!B:B),"Sem termo")</f>
        <v>CDPROF</v>
      </c>
    </row>
    <row r="1580" spans="1:10" ht="25.5" customHeight="1" x14ac:dyDescent="0.25">
      <c r="A1580" s="14">
        <v>13011</v>
      </c>
      <c r="B1580" s="7" t="s">
        <v>236</v>
      </c>
      <c r="C1580" s="7" t="s">
        <v>1134</v>
      </c>
      <c r="D1580" s="7" t="s">
        <v>1135</v>
      </c>
      <c r="E1580" s="7" t="s">
        <v>250</v>
      </c>
      <c r="F1580" s="7" t="s">
        <v>47</v>
      </c>
      <c r="G1580" s="7" t="s">
        <v>1136</v>
      </c>
      <c r="H1580" s="15">
        <v>900</v>
      </c>
      <c r="I1580" s="15">
        <v>400.17</v>
      </c>
      <c r="J1580" s="7" t="str">
        <f>IFERROR(_xlfn.XLOOKUP(F1580,ccustos!A:A,ccustos!B:B),"Sem termo")</f>
        <v>CDPROF</v>
      </c>
    </row>
    <row r="1581" spans="1:10" ht="25.5" customHeight="1" x14ac:dyDescent="0.25">
      <c r="A1581" s="16">
        <v>13012</v>
      </c>
      <c r="B1581" s="17" t="s">
        <v>236</v>
      </c>
      <c r="C1581" s="17" t="s">
        <v>1134</v>
      </c>
      <c r="D1581" s="17" t="s">
        <v>1135</v>
      </c>
      <c r="E1581" s="17" t="s">
        <v>250</v>
      </c>
      <c r="F1581" s="17" t="s">
        <v>81</v>
      </c>
      <c r="G1581" s="17" t="s">
        <v>1136</v>
      </c>
      <c r="H1581" s="18">
        <v>900</v>
      </c>
      <c r="I1581" s="18">
        <v>400.17</v>
      </c>
      <c r="J1581" s="7" t="str">
        <f>IFERROR(_xlfn.XLOOKUP(F1581,ccustos!A:A,ccustos!B:B),"Sem termo")</f>
        <v>SEPAT</v>
      </c>
    </row>
    <row r="1582" spans="1:10" ht="25.5" customHeight="1" x14ac:dyDescent="0.25">
      <c r="A1582" s="14">
        <v>13013</v>
      </c>
      <c r="B1582" s="7" t="s">
        <v>236</v>
      </c>
      <c r="C1582" s="7" t="s">
        <v>1134</v>
      </c>
      <c r="D1582" s="7" t="s">
        <v>1135</v>
      </c>
      <c r="E1582" s="7" t="s">
        <v>250</v>
      </c>
      <c r="F1582" s="7" t="s">
        <v>47</v>
      </c>
      <c r="G1582" s="7" t="s">
        <v>1137</v>
      </c>
      <c r="H1582" s="15">
        <v>900</v>
      </c>
      <c r="I1582" s="15">
        <v>400.17</v>
      </c>
      <c r="J1582" s="7" t="str">
        <f>IFERROR(_xlfn.XLOOKUP(F1582,ccustos!A:A,ccustos!B:B),"Sem termo")</f>
        <v>CDPROF</v>
      </c>
    </row>
    <row r="1583" spans="1:10" ht="25.5" customHeight="1" x14ac:dyDescent="0.25">
      <c r="A1583" s="16">
        <v>13014</v>
      </c>
      <c r="B1583" s="17" t="s">
        <v>236</v>
      </c>
      <c r="C1583" s="17" t="s">
        <v>1134</v>
      </c>
      <c r="D1583" s="17" t="s">
        <v>1135</v>
      </c>
      <c r="E1583" s="17" t="s">
        <v>250</v>
      </c>
      <c r="F1583" s="17" t="s">
        <v>47</v>
      </c>
      <c r="G1583" s="17" t="s">
        <v>1136</v>
      </c>
      <c r="H1583" s="18">
        <v>900</v>
      </c>
      <c r="I1583" s="18">
        <v>400.17</v>
      </c>
      <c r="J1583" s="7" t="str">
        <f>IFERROR(_xlfn.XLOOKUP(F1583,ccustos!A:A,ccustos!B:B),"Sem termo")</f>
        <v>CDPROF</v>
      </c>
    </row>
    <row r="1584" spans="1:10" ht="25.5" customHeight="1" x14ac:dyDescent="0.25">
      <c r="A1584" s="14">
        <v>13015</v>
      </c>
      <c r="B1584" s="7" t="s">
        <v>236</v>
      </c>
      <c r="C1584" s="7" t="s">
        <v>1134</v>
      </c>
      <c r="D1584" s="7" t="s">
        <v>1135</v>
      </c>
      <c r="E1584" s="7" t="s">
        <v>250</v>
      </c>
      <c r="F1584" s="7" t="s">
        <v>47</v>
      </c>
      <c r="G1584" s="7" t="s">
        <v>1136</v>
      </c>
      <c r="H1584" s="15">
        <v>900</v>
      </c>
      <c r="I1584" s="15">
        <v>400.17</v>
      </c>
      <c r="J1584" s="7" t="str">
        <f>IFERROR(_xlfn.XLOOKUP(F1584,ccustos!A:A,ccustos!B:B),"Sem termo")</f>
        <v>CDPROF</v>
      </c>
    </row>
    <row r="1585" spans="1:10" ht="25.5" customHeight="1" x14ac:dyDescent="0.25">
      <c r="A1585" s="16">
        <v>13016</v>
      </c>
      <c r="B1585" s="17" t="s">
        <v>236</v>
      </c>
      <c r="C1585" s="17" t="s">
        <v>1134</v>
      </c>
      <c r="D1585" s="17" t="s">
        <v>1135</v>
      </c>
      <c r="E1585" s="17" t="s">
        <v>250</v>
      </c>
      <c r="F1585" s="17" t="s">
        <v>81</v>
      </c>
      <c r="G1585" s="17" t="s">
        <v>1136</v>
      </c>
      <c r="H1585" s="18">
        <v>900</v>
      </c>
      <c r="I1585" s="18">
        <v>400.17</v>
      </c>
      <c r="J1585" s="7" t="str">
        <f>IFERROR(_xlfn.XLOOKUP(F1585,ccustos!A:A,ccustos!B:B),"Sem termo")</f>
        <v>SEPAT</v>
      </c>
    </row>
    <row r="1586" spans="1:10" ht="25.5" customHeight="1" x14ac:dyDescent="0.25">
      <c r="A1586" s="14">
        <v>13017</v>
      </c>
      <c r="B1586" s="7" t="s">
        <v>236</v>
      </c>
      <c r="C1586" s="7" t="s">
        <v>1134</v>
      </c>
      <c r="D1586" s="7" t="s">
        <v>1135</v>
      </c>
      <c r="E1586" s="7" t="s">
        <v>250</v>
      </c>
      <c r="F1586" s="7" t="s">
        <v>20</v>
      </c>
      <c r="G1586" s="7" t="s">
        <v>1136</v>
      </c>
      <c r="H1586" s="15">
        <v>900</v>
      </c>
      <c r="I1586" s="15">
        <v>400.17</v>
      </c>
      <c r="J1586" s="7" t="str">
        <f>IFERROR(_xlfn.XLOOKUP(F1586,ccustos!A:A,ccustos!B:B),"Sem termo")</f>
        <v>CGTI</v>
      </c>
    </row>
    <row r="1587" spans="1:10" ht="25.5" customHeight="1" x14ac:dyDescent="0.25">
      <c r="A1587" s="16">
        <v>13018</v>
      </c>
      <c r="B1587" s="17" t="s">
        <v>236</v>
      </c>
      <c r="C1587" s="17" t="s">
        <v>1134</v>
      </c>
      <c r="D1587" s="17" t="s">
        <v>1135</v>
      </c>
      <c r="E1587" s="17" t="s">
        <v>250</v>
      </c>
      <c r="F1587" s="17" t="s">
        <v>47</v>
      </c>
      <c r="G1587" s="17" t="s">
        <v>1136</v>
      </c>
      <c r="H1587" s="18">
        <v>900</v>
      </c>
      <c r="I1587" s="18">
        <v>400.17</v>
      </c>
      <c r="J1587" s="7" t="str">
        <f>IFERROR(_xlfn.XLOOKUP(F1587,ccustos!A:A,ccustos!B:B),"Sem termo")</f>
        <v>CDPROF</v>
      </c>
    </row>
    <row r="1588" spans="1:10" ht="25.5" customHeight="1" x14ac:dyDescent="0.25">
      <c r="A1588" s="14">
        <v>13019</v>
      </c>
      <c r="B1588" s="7" t="s">
        <v>236</v>
      </c>
      <c r="C1588" s="7" t="s">
        <v>1134</v>
      </c>
      <c r="D1588" s="7" t="s">
        <v>1135</v>
      </c>
      <c r="E1588" s="7" t="s">
        <v>250</v>
      </c>
      <c r="F1588" s="7" t="s">
        <v>47</v>
      </c>
      <c r="G1588" s="7" t="s">
        <v>1136</v>
      </c>
      <c r="H1588" s="15">
        <v>900</v>
      </c>
      <c r="I1588" s="15">
        <v>400.17</v>
      </c>
      <c r="J1588" s="7" t="str">
        <f>IFERROR(_xlfn.XLOOKUP(F1588,ccustos!A:A,ccustos!B:B),"Sem termo")</f>
        <v>CDPROF</v>
      </c>
    </row>
    <row r="1589" spans="1:10" ht="25.5" customHeight="1" x14ac:dyDescent="0.25">
      <c r="A1589" s="16">
        <v>13020</v>
      </c>
      <c r="B1589" s="17" t="s">
        <v>236</v>
      </c>
      <c r="C1589" s="17" t="s">
        <v>313</v>
      </c>
      <c r="D1589" s="17" t="s">
        <v>1138</v>
      </c>
      <c r="E1589" s="17" t="s">
        <v>250</v>
      </c>
      <c r="F1589" s="17" t="s">
        <v>709</v>
      </c>
      <c r="G1589" s="17" t="s">
        <v>1139</v>
      </c>
      <c r="H1589" s="18">
        <v>485</v>
      </c>
      <c r="I1589" s="18">
        <v>334.26</v>
      </c>
      <c r="J1589" s="7" t="str">
        <f>IFERROR(_xlfn.XLOOKUP(F1589,ccustos!A:A,ccustos!B:B),"Sem termo")</f>
        <v>Sem termo</v>
      </c>
    </row>
    <row r="1590" spans="1:10" ht="25.5" customHeight="1" x14ac:dyDescent="0.25">
      <c r="A1590" s="14">
        <v>13021</v>
      </c>
      <c r="B1590" s="7" t="s">
        <v>236</v>
      </c>
      <c r="C1590" s="7" t="s">
        <v>474</v>
      </c>
      <c r="D1590" s="7" t="s">
        <v>1140</v>
      </c>
      <c r="E1590" s="7" t="s">
        <v>250</v>
      </c>
      <c r="F1590" s="7" t="s">
        <v>47</v>
      </c>
      <c r="G1590" s="7" t="s">
        <v>1141</v>
      </c>
      <c r="H1590" s="15">
        <v>815</v>
      </c>
      <c r="I1590" s="15">
        <v>448.9</v>
      </c>
      <c r="J1590" s="7" t="str">
        <f>IFERROR(_xlfn.XLOOKUP(F1590,ccustos!A:A,ccustos!B:B),"Sem termo")</f>
        <v>CDPROF</v>
      </c>
    </row>
    <row r="1591" spans="1:10" ht="36.75" customHeight="1" x14ac:dyDescent="0.25">
      <c r="A1591" s="16">
        <v>13026</v>
      </c>
      <c r="B1591" s="17" t="s">
        <v>236</v>
      </c>
      <c r="C1591" s="17" t="s">
        <v>815</v>
      </c>
      <c r="D1591" s="17" t="s">
        <v>1142</v>
      </c>
      <c r="E1591" s="17" t="s">
        <v>239</v>
      </c>
      <c r="F1591" s="17" t="s">
        <v>303</v>
      </c>
      <c r="G1591" s="17" t="s">
        <v>1143</v>
      </c>
      <c r="H1591" s="18">
        <v>331</v>
      </c>
      <c r="I1591" s="18">
        <v>0</v>
      </c>
      <c r="J1591" s="7" t="str">
        <f>IFERROR(_xlfn.XLOOKUP(F1591,ccustos!A:A,ccustos!B:B),"Sem termo")</f>
        <v>Sem termo</v>
      </c>
    </row>
    <row r="1592" spans="1:10" ht="25.5" customHeight="1" x14ac:dyDescent="0.25">
      <c r="A1592" s="14">
        <v>13029</v>
      </c>
      <c r="B1592" s="7" t="s">
        <v>236</v>
      </c>
      <c r="C1592" s="7" t="s">
        <v>1144</v>
      </c>
      <c r="D1592" s="7" t="s">
        <v>1145</v>
      </c>
      <c r="E1592" s="7" t="s">
        <v>250</v>
      </c>
      <c r="F1592" s="7" t="s">
        <v>256</v>
      </c>
      <c r="G1592" s="7" t="s">
        <v>1146</v>
      </c>
      <c r="H1592" s="15">
        <v>499</v>
      </c>
      <c r="I1592" s="15">
        <v>277.43</v>
      </c>
      <c r="J1592" s="7" t="str">
        <f>IFERROR(_xlfn.XLOOKUP(F1592,ccustos!A:A,ccustos!B:B),"Sem termo")</f>
        <v>Sem termo</v>
      </c>
    </row>
    <row r="1593" spans="1:10" ht="25.5" customHeight="1" x14ac:dyDescent="0.25">
      <c r="A1593" s="16">
        <v>13033</v>
      </c>
      <c r="B1593" s="17" t="s">
        <v>236</v>
      </c>
      <c r="C1593" s="17" t="s">
        <v>313</v>
      </c>
      <c r="D1593" s="17" t="s">
        <v>1147</v>
      </c>
      <c r="E1593" s="17" t="s">
        <v>250</v>
      </c>
      <c r="F1593" s="17" t="s">
        <v>205</v>
      </c>
      <c r="G1593" s="17" t="s">
        <v>1148</v>
      </c>
      <c r="H1593" s="18">
        <v>452</v>
      </c>
      <c r="I1593" s="18">
        <v>328.17</v>
      </c>
      <c r="J1593" s="7" t="str">
        <f>IFERROR(_xlfn.XLOOKUP(F1593,ccustos!A:A,ccustos!B:B),"Sem termo")</f>
        <v>CCOM</v>
      </c>
    </row>
    <row r="1594" spans="1:10" ht="25.5" customHeight="1" x14ac:dyDescent="0.25">
      <c r="A1594" s="14">
        <v>13034</v>
      </c>
      <c r="B1594" s="7" t="s">
        <v>236</v>
      </c>
      <c r="C1594" s="7" t="s">
        <v>1149</v>
      </c>
      <c r="D1594" s="7" t="s">
        <v>1150</v>
      </c>
      <c r="E1594" s="7" t="s">
        <v>250</v>
      </c>
      <c r="F1594" s="7" t="s">
        <v>7</v>
      </c>
      <c r="G1594" s="7" t="s">
        <v>1151</v>
      </c>
      <c r="H1594" s="15">
        <v>1915</v>
      </c>
      <c r="I1594" s="15">
        <v>0</v>
      </c>
      <c r="J1594" s="7" t="str">
        <f>IFERROR(_xlfn.XLOOKUP(F1594,ccustos!A:A,ccustos!B:B),"Sem termo")</f>
        <v>SEPAT</v>
      </c>
    </row>
    <row r="1595" spans="1:10" ht="25.5" customHeight="1" x14ac:dyDescent="0.25">
      <c r="A1595" s="16">
        <v>13035</v>
      </c>
      <c r="B1595" s="17" t="s">
        <v>236</v>
      </c>
      <c r="C1595" s="17" t="s">
        <v>1149</v>
      </c>
      <c r="D1595" s="17" t="s">
        <v>1152</v>
      </c>
      <c r="E1595" s="17" t="s">
        <v>250</v>
      </c>
      <c r="F1595" s="17" t="s">
        <v>11</v>
      </c>
      <c r="G1595" s="17" t="s">
        <v>1151</v>
      </c>
      <c r="H1595" s="18">
        <v>1915</v>
      </c>
      <c r="I1595" s="18">
        <v>0</v>
      </c>
      <c r="J1595" s="7" t="str">
        <f>IFERROR(_xlfn.XLOOKUP(F1595,ccustos!A:A,ccustos!B:B),"Sem termo")</f>
        <v>DEINFRA</v>
      </c>
    </row>
    <row r="1596" spans="1:10" ht="25.5" customHeight="1" x14ac:dyDescent="0.25">
      <c r="A1596" s="14">
        <v>13036</v>
      </c>
      <c r="B1596" s="7" t="s">
        <v>236</v>
      </c>
      <c r="C1596" s="7" t="s">
        <v>612</v>
      </c>
      <c r="D1596" s="7" t="s">
        <v>1153</v>
      </c>
      <c r="E1596" s="7" t="s">
        <v>335</v>
      </c>
      <c r="F1596" s="7" t="s">
        <v>192</v>
      </c>
      <c r="G1596" s="7" t="s">
        <v>1154</v>
      </c>
      <c r="H1596" s="15">
        <v>915</v>
      </c>
      <c r="I1596" s="15">
        <v>660.29</v>
      </c>
      <c r="J1596" s="7" t="str">
        <f>IFERROR(_xlfn.XLOOKUP(F1596,ccustos!A:A,ccustos!B:B),"Sem termo")</f>
        <v>SEPAT</v>
      </c>
    </row>
    <row r="1597" spans="1:10" ht="25.5" customHeight="1" x14ac:dyDescent="0.25">
      <c r="A1597" s="16">
        <v>13038</v>
      </c>
      <c r="B1597" s="17" t="s">
        <v>236</v>
      </c>
      <c r="C1597" s="17" t="s">
        <v>1155</v>
      </c>
      <c r="D1597" s="17" t="s">
        <v>1156</v>
      </c>
      <c r="E1597" s="17" t="s">
        <v>318</v>
      </c>
      <c r="F1597" s="17" t="s">
        <v>0</v>
      </c>
      <c r="G1597" s="17" t="s">
        <v>1157</v>
      </c>
      <c r="H1597" s="18">
        <v>1350</v>
      </c>
      <c r="I1597" s="18">
        <v>888.95</v>
      </c>
      <c r="J1597" s="7" t="str">
        <f>IFERROR(_xlfn.XLOOKUP(F1597,ccustos!A:A,ccustos!B:B),"Sem termo")</f>
        <v>SEPAT</v>
      </c>
    </row>
    <row r="1598" spans="1:10" ht="25.5" customHeight="1" x14ac:dyDescent="0.25">
      <c r="A1598" s="14">
        <v>13039</v>
      </c>
      <c r="B1598" s="7" t="s">
        <v>236</v>
      </c>
      <c r="C1598" s="7" t="s">
        <v>1155</v>
      </c>
      <c r="D1598" s="7" t="s">
        <v>1158</v>
      </c>
      <c r="E1598" s="7" t="s">
        <v>318</v>
      </c>
      <c r="F1598" s="7" t="s">
        <v>35</v>
      </c>
      <c r="G1598" s="7" t="s">
        <v>1154</v>
      </c>
      <c r="H1598" s="15">
        <v>1350</v>
      </c>
      <c r="I1598" s="15">
        <v>888.95</v>
      </c>
      <c r="J1598" s="7" t="str">
        <f>IFERROR(_xlfn.XLOOKUP(F1598,ccustos!A:A,ccustos!B:B),"Sem termo")</f>
        <v>DEINFRA</v>
      </c>
    </row>
    <row r="1599" spans="1:10" ht="25.5" customHeight="1" x14ac:dyDescent="0.25">
      <c r="A1599" s="16">
        <v>13040</v>
      </c>
      <c r="B1599" s="17" t="s">
        <v>236</v>
      </c>
      <c r="C1599" s="17" t="s">
        <v>1155</v>
      </c>
      <c r="D1599" s="17" t="s">
        <v>1159</v>
      </c>
      <c r="E1599" s="17" t="s">
        <v>318</v>
      </c>
      <c r="F1599" s="17" t="s">
        <v>0</v>
      </c>
      <c r="G1599" s="17" t="s">
        <v>1154</v>
      </c>
      <c r="H1599" s="18">
        <v>819</v>
      </c>
      <c r="I1599" s="18">
        <v>686.02</v>
      </c>
      <c r="J1599" s="7" t="str">
        <f>IFERROR(_xlfn.XLOOKUP(F1599,ccustos!A:A,ccustos!B:B),"Sem termo")</f>
        <v>SEPAT</v>
      </c>
    </row>
    <row r="1600" spans="1:10" ht="25.5" customHeight="1" x14ac:dyDescent="0.25">
      <c r="A1600" s="14">
        <v>13041</v>
      </c>
      <c r="B1600" s="7" t="s">
        <v>236</v>
      </c>
      <c r="C1600" s="7" t="s">
        <v>424</v>
      </c>
      <c r="D1600" s="7" t="s">
        <v>1160</v>
      </c>
      <c r="E1600" s="7" t="s">
        <v>318</v>
      </c>
      <c r="F1600" s="7" t="s">
        <v>0</v>
      </c>
      <c r="G1600" s="7" t="s">
        <v>1161</v>
      </c>
      <c r="H1600" s="15">
        <v>1205.4000000000001</v>
      </c>
      <c r="I1600" s="15">
        <v>793.88</v>
      </c>
      <c r="J1600" s="7" t="str">
        <f>IFERROR(_xlfn.XLOOKUP(F1600,ccustos!A:A,ccustos!B:B),"Sem termo")</f>
        <v>SEPAT</v>
      </c>
    </row>
    <row r="1601" spans="1:10" ht="25.5" customHeight="1" x14ac:dyDescent="0.25">
      <c r="A1601" s="16">
        <v>13042</v>
      </c>
      <c r="B1601" s="17" t="s">
        <v>236</v>
      </c>
      <c r="C1601" s="17" t="s">
        <v>424</v>
      </c>
      <c r="D1601" s="17" t="s">
        <v>1160</v>
      </c>
      <c r="E1601" s="17" t="s">
        <v>318</v>
      </c>
      <c r="F1601" s="17" t="s">
        <v>35</v>
      </c>
      <c r="G1601" s="17" t="s">
        <v>1157</v>
      </c>
      <c r="H1601" s="18">
        <v>1205.4000000000001</v>
      </c>
      <c r="I1601" s="18">
        <v>793.88</v>
      </c>
      <c r="J1601" s="7" t="str">
        <f>IFERROR(_xlfn.XLOOKUP(F1601,ccustos!A:A,ccustos!B:B),"Sem termo")</f>
        <v>DEINFRA</v>
      </c>
    </row>
    <row r="1602" spans="1:10" ht="25.5" customHeight="1" x14ac:dyDescent="0.25">
      <c r="A1602" s="14">
        <v>13043</v>
      </c>
      <c r="B1602" s="7" t="s">
        <v>236</v>
      </c>
      <c r="C1602" s="7" t="s">
        <v>1000</v>
      </c>
      <c r="D1602" s="7" t="s">
        <v>1162</v>
      </c>
      <c r="E1602" s="7" t="s">
        <v>1002</v>
      </c>
      <c r="F1602" s="7" t="s">
        <v>62</v>
      </c>
      <c r="G1602" s="7" t="s">
        <v>1163</v>
      </c>
      <c r="H1602" s="15">
        <v>78721.600000000006</v>
      </c>
      <c r="I1602" s="15">
        <v>51524</v>
      </c>
      <c r="J1602" s="7" t="str">
        <f>IFERROR(_xlfn.XLOOKUP(F1602,ccustos!A:A,ccustos!B:B),"Sem termo")</f>
        <v>SETRAN</v>
      </c>
    </row>
    <row r="1603" spans="1:10" ht="36.75" customHeight="1" x14ac:dyDescent="0.25">
      <c r="A1603" s="16">
        <v>13044</v>
      </c>
      <c r="B1603" s="17" t="s">
        <v>236</v>
      </c>
      <c r="C1603" s="17" t="s">
        <v>1000</v>
      </c>
      <c r="D1603" s="17" t="s">
        <v>1162</v>
      </c>
      <c r="E1603" s="17" t="s">
        <v>1002</v>
      </c>
      <c r="F1603" s="17" t="s">
        <v>62</v>
      </c>
      <c r="G1603" s="17" t="s">
        <v>1163</v>
      </c>
      <c r="H1603" s="18">
        <v>78721.600000000006</v>
      </c>
      <c r="I1603" s="18">
        <v>51524</v>
      </c>
      <c r="J1603" s="7" t="str">
        <f>IFERROR(_xlfn.XLOOKUP(F1603,ccustos!A:A,ccustos!B:B),"Sem termo")</f>
        <v>SETRAN</v>
      </c>
    </row>
    <row r="1604" spans="1:10" ht="25.5" customHeight="1" x14ac:dyDescent="0.25">
      <c r="A1604" s="14">
        <v>13045</v>
      </c>
      <c r="B1604" s="7" t="s">
        <v>236</v>
      </c>
      <c r="C1604" s="7" t="s">
        <v>1000</v>
      </c>
      <c r="D1604" s="7" t="s">
        <v>1162</v>
      </c>
      <c r="E1604" s="7" t="s">
        <v>1002</v>
      </c>
      <c r="F1604" s="7" t="s">
        <v>62</v>
      </c>
      <c r="G1604" s="7" t="s">
        <v>1163</v>
      </c>
      <c r="H1604" s="15">
        <v>78721.600000000006</v>
      </c>
      <c r="I1604" s="15">
        <v>51524</v>
      </c>
      <c r="J1604" s="7" t="str">
        <f>IFERROR(_xlfn.XLOOKUP(F1604,ccustos!A:A,ccustos!B:B),"Sem termo")</f>
        <v>SETRAN</v>
      </c>
    </row>
    <row r="1605" spans="1:10" ht="25.5" customHeight="1" x14ac:dyDescent="0.25">
      <c r="A1605" s="16">
        <v>13046</v>
      </c>
      <c r="B1605" s="17" t="s">
        <v>236</v>
      </c>
      <c r="C1605" s="17" t="s">
        <v>1000</v>
      </c>
      <c r="D1605" s="17" t="s">
        <v>1162</v>
      </c>
      <c r="E1605" s="17" t="s">
        <v>1002</v>
      </c>
      <c r="F1605" s="17" t="s">
        <v>62</v>
      </c>
      <c r="G1605" s="17" t="s">
        <v>1163</v>
      </c>
      <c r="H1605" s="18">
        <v>78721.600000000006</v>
      </c>
      <c r="I1605" s="18">
        <v>51524</v>
      </c>
      <c r="J1605" s="7" t="str">
        <f>IFERROR(_xlfn.XLOOKUP(F1605,ccustos!A:A,ccustos!B:B),"Sem termo")</f>
        <v>SETRAN</v>
      </c>
    </row>
    <row r="1606" spans="1:10" ht="25.5" customHeight="1" x14ac:dyDescent="0.25">
      <c r="A1606" s="14">
        <v>13047</v>
      </c>
      <c r="B1606" s="7" t="s">
        <v>236</v>
      </c>
      <c r="C1606" s="7" t="s">
        <v>1164</v>
      </c>
      <c r="D1606" s="7" t="s">
        <v>1165</v>
      </c>
      <c r="E1606" s="7" t="s">
        <v>250</v>
      </c>
      <c r="F1606" s="7" t="s">
        <v>76</v>
      </c>
      <c r="G1606" s="7" t="s">
        <v>1166</v>
      </c>
      <c r="H1606" s="15">
        <v>5750</v>
      </c>
      <c r="I1606" s="15">
        <v>3767.89</v>
      </c>
      <c r="J1606" s="7" t="str">
        <f>IFERROR(_xlfn.XLOOKUP(F1606,ccustos!A:A,ccustos!B:B),"Sem termo")</f>
        <v>SEPAT</v>
      </c>
    </row>
    <row r="1607" spans="1:10" ht="36.75" customHeight="1" x14ac:dyDescent="0.25">
      <c r="A1607" s="16">
        <v>13048</v>
      </c>
      <c r="B1607" s="17" t="s">
        <v>236</v>
      </c>
      <c r="C1607" s="17" t="s">
        <v>1164</v>
      </c>
      <c r="D1607" s="17" t="s">
        <v>1165</v>
      </c>
      <c r="E1607" s="17" t="s">
        <v>250</v>
      </c>
      <c r="F1607" s="17" t="s">
        <v>59</v>
      </c>
      <c r="G1607" s="17" t="s">
        <v>1167</v>
      </c>
      <c r="H1607" s="18">
        <v>5750</v>
      </c>
      <c r="I1607" s="18">
        <v>3797.28</v>
      </c>
      <c r="J1607" s="7" t="str">
        <f>IFERROR(_xlfn.XLOOKUP(F1607,ccustos!A:A,ccustos!B:B),"Sem termo")</f>
        <v>SEPAT</v>
      </c>
    </row>
    <row r="1608" spans="1:10" ht="25.5" customHeight="1" x14ac:dyDescent="0.25">
      <c r="A1608" s="14">
        <v>13050</v>
      </c>
      <c r="B1608" s="7" t="s">
        <v>236</v>
      </c>
      <c r="C1608" s="7" t="s">
        <v>1168</v>
      </c>
      <c r="D1608" s="7" t="s">
        <v>1169</v>
      </c>
      <c r="E1608" s="7" t="s">
        <v>250</v>
      </c>
      <c r="F1608" s="7" t="s">
        <v>63</v>
      </c>
      <c r="G1608" s="7" t="s">
        <v>251</v>
      </c>
      <c r="H1608" s="15">
        <v>900</v>
      </c>
      <c r="I1608" s="15">
        <v>436.28</v>
      </c>
      <c r="J1608" s="7" t="str">
        <f>IFERROR(_xlfn.XLOOKUP(F1608,ccustos!A:A,ccustos!B:B),"Sem termo")</f>
        <v>SEPAT</v>
      </c>
    </row>
    <row r="1609" spans="1:10" ht="25.5" customHeight="1" x14ac:dyDescent="0.25">
      <c r="A1609" s="16">
        <v>13051</v>
      </c>
      <c r="B1609" s="17" t="s">
        <v>236</v>
      </c>
      <c r="C1609" s="17" t="s">
        <v>237</v>
      </c>
      <c r="D1609" s="17" t="s">
        <v>238</v>
      </c>
      <c r="E1609" s="17" t="s">
        <v>239</v>
      </c>
      <c r="F1609" s="17" t="s">
        <v>16</v>
      </c>
      <c r="G1609" s="17" t="s">
        <v>240</v>
      </c>
      <c r="H1609" s="18">
        <v>75.94</v>
      </c>
      <c r="I1609" s="18">
        <v>64.540000000000006</v>
      </c>
      <c r="J1609" s="7" t="str">
        <f>IFERROR(_xlfn.XLOOKUP(F1609,ccustos!A:A,ccustos!B:B),"Sem termo")</f>
        <v>SEPAT</v>
      </c>
    </row>
    <row r="1610" spans="1:10" ht="25.5" customHeight="1" x14ac:dyDescent="0.25">
      <c r="A1610" s="14">
        <v>13067</v>
      </c>
      <c r="B1610" s="7" t="s">
        <v>236</v>
      </c>
      <c r="C1610" s="7" t="s">
        <v>333</v>
      </c>
      <c r="D1610" s="7" t="s">
        <v>1170</v>
      </c>
      <c r="E1610" s="7" t="s">
        <v>335</v>
      </c>
      <c r="F1610" s="7" t="s">
        <v>27</v>
      </c>
      <c r="G1610" s="7" t="s">
        <v>1171</v>
      </c>
      <c r="H1610" s="15">
        <v>570</v>
      </c>
      <c r="I1610" s="15">
        <v>292.27</v>
      </c>
      <c r="J1610" s="7" t="str">
        <f>IFERROR(_xlfn.XLOOKUP(F1610,ccustos!A:A,ccustos!B:B),"Sem termo")</f>
        <v>CCI</v>
      </c>
    </row>
    <row r="1611" spans="1:10" ht="25.5" customHeight="1" x14ac:dyDescent="0.25">
      <c r="A1611" s="16">
        <v>13068</v>
      </c>
      <c r="B1611" s="17" t="s">
        <v>236</v>
      </c>
      <c r="C1611" s="17" t="s">
        <v>333</v>
      </c>
      <c r="D1611" s="17" t="s">
        <v>1170</v>
      </c>
      <c r="E1611" s="17" t="s">
        <v>335</v>
      </c>
      <c r="F1611" s="17" t="s">
        <v>22</v>
      </c>
      <c r="G1611" s="17" t="s">
        <v>1171</v>
      </c>
      <c r="H1611" s="18">
        <v>570</v>
      </c>
      <c r="I1611" s="18">
        <v>292.27</v>
      </c>
      <c r="J1611" s="7" t="str">
        <f>IFERROR(_xlfn.XLOOKUP(F1611,ccustos!A:A,ccustos!B:B),"Sem termo")</f>
        <v>COTEC</v>
      </c>
    </row>
    <row r="1612" spans="1:10" ht="25.5" customHeight="1" x14ac:dyDescent="0.25">
      <c r="A1612" s="14">
        <v>13069</v>
      </c>
      <c r="B1612" s="7" t="s">
        <v>236</v>
      </c>
      <c r="C1612" s="7" t="s">
        <v>333</v>
      </c>
      <c r="D1612" s="7" t="s">
        <v>1170</v>
      </c>
      <c r="E1612" s="7" t="s">
        <v>335</v>
      </c>
      <c r="F1612" s="7" t="s">
        <v>20</v>
      </c>
      <c r="G1612" s="7" t="s">
        <v>1171</v>
      </c>
      <c r="H1612" s="15">
        <v>570</v>
      </c>
      <c r="I1612" s="15">
        <v>292.27</v>
      </c>
      <c r="J1612" s="7" t="str">
        <f>IFERROR(_xlfn.XLOOKUP(F1612,ccustos!A:A,ccustos!B:B),"Sem termo")</f>
        <v>CGTI</v>
      </c>
    </row>
    <row r="1613" spans="1:10" ht="25.5" customHeight="1" x14ac:dyDescent="0.25">
      <c r="A1613" s="16">
        <v>13070</v>
      </c>
      <c r="B1613" s="17" t="s">
        <v>236</v>
      </c>
      <c r="C1613" s="17" t="s">
        <v>333</v>
      </c>
      <c r="D1613" s="17" t="s">
        <v>1170</v>
      </c>
      <c r="E1613" s="17" t="s">
        <v>335</v>
      </c>
      <c r="F1613" s="17" t="s">
        <v>27</v>
      </c>
      <c r="G1613" s="17" t="s">
        <v>1171</v>
      </c>
      <c r="H1613" s="18">
        <v>570</v>
      </c>
      <c r="I1613" s="18">
        <v>292.27</v>
      </c>
      <c r="J1613" s="7" t="str">
        <f>IFERROR(_xlfn.XLOOKUP(F1613,ccustos!A:A,ccustos!B:B),"Sem termo")</f>
        <v>CCI</v>
      </c>
    </row>
    <row r="1614" spans="1:10" ht="25.5" customHeight="1" x14ac:dyDescent="0.25">
      <c r="A1614" s="14">
        <v>13071</v>
      </c>
      <c r="B1614" s="7" t="s">
        <v>236</v>
      </c>
      <c r="C1614" s="7" t="s">
        <v>333</v>
      </c>
      <c r="D1614" s="7" t="s">
        <v>1170</v>
      </c>
      <c r="E1614" s="7" t="s">
        <v>335</v>
      </c>
      <c r="F1614" s="7" t="s">
        <v>27</v>
      </c>
      <c r="G1614" s="7" t="s">
        <v>1171</v>
      </c>
      <c r="H1614" s="15">
        <v>570</v>
      </c>
      <c r="I1614" s="15">
        <v>292.27</v>
      </c>
      <c r="J1614" s="7" t="str">
        <f>IFERROR(_xlfn.XLOOKUP(F1614,ccustos!A:A,ccustos!B:B),"Sem termo")</f>
        <v>CCI</v>
      </c>
    </row>
    <row r="1615" spans="1:10" ht="25.5" customHeight="1" x14ac:dyDescent="0.25">
      <c r="A1615" s="16">
        <v>13072</v>
      </c>
      <c r="B1615" s="17" t="s">
        <v>236</v>
      </c>
      <c r="C1615" s="17" t="s">
        <v>333</v>
      </c>
      <c r="D1615" s="17" t="s">
        <v>1170</v>
      </c>
      <c r="E1615" s="17" t="s">
        <v>335</v>
      </c>
      <c r="F1615" s="17" t="s">
        <v>27</v>
      </c>
      <c r="G1615" s="17" t="s">
        <v>1171</v>
      </c>
      <c r="H1615" s="18">
        <v>570</v>
      </c>
      <c r="I1615" s="18">
        <v>292.27</v>
      </c>
      <c r="J1615" s="7" t="str">
        <f>IFERROR(_xlfn.XLOOKUP(F1615,ccustos!A:A,ccustos!B:B),"Sem termo")</f>
        <v>CCI</v>
      </c>
    </row>
    <row r="1616" spans="1:10" ht="36.75" customHeight="1" x14ac:dyDescent="0.25">
      <c r="A1616" s="14">
        <v>13073</v>
      </c>
      <c r="B1616" s="7" t="s">
        <v>236</v>
      </c>
      <c r="C1616" s="7" t="s">
        <v>333</v>
      </c>
      <c r="D1616" s="7" t="s">
        <v>1170</v>
      </c>
      <c r="E1616" s="7" t="s">
        <v>335</v>
      </c>
      <c r="F1616" s="7" t="s">
        <v>27</v>
      </c>
      <c r="G1616" s="7" t="s">
        <v>1171</v>
      </c>
      <c r="H1616" s="15">
        <v>570</v>
      </c>
      <c r="I1616" s="15">
        <v>292.27</v>
      </c>
      <c r="J1616" s="7" t="str">
        <f>IFERROR(_xlfn.XLOOKUP(F1616,ccustos!A:A,ccustos!B:B),"Sem termo")</f>
        <v>CCI</v>
      </c>
    </row>
    <row r="1617" spans="1:10" ht="25.5" customHeight="1" x14ac:dyDescent="0.25">
      <c r="A1617" s="16">
        <v>13074</v>
      </c>
      <c r="B1617" s="17" t="s">
        <v>236</v>
      </c>
      <c r="C1617" s="17" t="s">
        <v>333</v>
      </c>
      <c r="D1617" s="17" t="s">
        <v>1170</v>
      </c>
      <c r="E1617" s="17" t="s">
        <v>335</v>
      </c>
      <c r="F1617" s="17" t="s">
        <v>30</v>
      </c>
      <c r="G1617" s="17" t="s">
        <v>1171</v>
      </c>
      <c r="H1617" s="18">
        <v>570</v>
      </c>
      <c r="I1617" s="18">
        <v>292.27</v>
      </c>
      <c r="J1617" s="7" t="str">
        <f>IFERROR(_xlfn.XLOOKUP(F1617,ccustos!A:A,ccustos!B:B),"Sem termo")</f>
        <v>COFIS</v>
      </c>
    </row>
    <row r="1618" spans="1:10" ht="25.5" customHeight="1" x14ac:dyDescent="0.25">
      <c r="A1618" s="14">
        <v>13075</v>
      </c>
      <c r="B1618" s="7" t="s">
        <v>236</v>
      </c>
      <c r="C1618" s="7" t="s">
        <v>333</v>
      </c>
      <c r="D1618" s="7" t="s">
        <v>1170</v>
      </c>
      <c r="E1618" s="7" t="s">
        <v>335</v>
      </c>
      <c r="F1618" s="7" t="s">
        <v>48</v>
      </c>
      <c r="G1618" s="7" t="s">
        <v>1171</v>
      </c>
      <c r="H1618" s="15">
        <v>570</v>
      </c>
      <c r="I1618" s="15">
        <v>292.27</v>
      </c>
      <c r="J1618" s="7" t="str">
        <f>IFERROR(_xlfn.XLOOKUP(F1618,ccustos!A:A,ccustos!B:B),"Sem termo")</f>
        <v>DEPES</v>
      </c>
    </row>
    <row r="1619" spans="1:10" ht="25.5" customHeight="1" x14ac:dyDescent="0.25">
      <c r="A1619" s="16">
        <v>13076</v>
      </c>
      <c r="B1619" s="17" t="s">
        <v>236</v>
      </c>
      <c r="C1619" s="17" t="s">
        <v>333</v>
      </c>
      <c r="D1619" s="17" t="s">
        <v>1170</v>
      </c>
      <c r="E1619" s="17" t="s">
        <v>335</v>
      </c>
      <c r="F1619" s="17" t="s">
        <v>27</v>
      </c>
      <c r="G1619" s="17" t="s">
        <v>1171</v>
      </c>
      <c r="H1619" s="18">
        <v>570</v>
      </c>
      <c r="I1619" s="18">
        <v>292.27</v>
      </c>
      <c r="J1619" s="7" t="str">
        <f>IFERROR(_xlfn.XLOOKUP(F1619,ccustos!A:A,ccustos!B:B),"Sem termo")</f>
        <v>CCI</v>
      </c>
    </row>
    <row r="1620" spans="1:10" ht="36.75" customHeight="1" x14ac:dyDescent="0.25">
      <c r="A1620" s="14">
        <v>13077</v>
      </c>
      <c r="B1620" s="7" t="s">
        <v>236</v>
      </c>
      <c r="C1620" s="7" t="s">
        <v>333</v>
      </c>
      <c r="D1620" s="7" t="s">
        <v>1170</v>
      </c>
      <c r="E1620" s="7" t="s">
        <v>335</v>
      </c>
      <c r="F1620" s="7" t="s">
        <v>6</v>
      </c>
      <c r="G1620" s="7" t="s">
        <v>1171</v>
      </c>
      <c r="H1620" s="15">
        <v>570</v>
      </c>
      <c r="I1620" s="15">
        <v>292.27</v>
      </c>
      <c r="J1620" s="7" t="str">
        <f>IFERROR(_xlfn.XLOOKUP(F1620,ccustos!A:A,ccustos!B:B),"Sem termo")</f>
        <v>SEPAT</v>
      </c>
    </row>
    <row r="1621" spans="1:10" ht="36.75" customHeight="1" x14ac:dyDescent="0.25">
      <c r="A1621" s="16">
        <v>13078</v>
      </c>
      <c r="B1621" s="17" t="s">
        <v>236</v>
      </c>
      <c r="C1621" s="17" t="s">
        <v>333</v>
      </c>
      <c r="D1621" s="17" t="s">
        <v>1170</v>
      </c>
      <c r="E1621" s="17" t="s">
        <v>335</v>
      </c>
      <c r="F1621" s="17" t="s">
        <v>26</v>
      </c>
      <c r="G1621" s="17" t="s">
        <v>1171</v>
      </c>
      <c r="H1621" s="18">
        <v>570</v>
      </c>
      <c r="I1621" s="18">
        <v>292.27</v>
      </c>
      <c r="J1621" s="7" t="str">
        <f>IFERROR(_xlfn.XLOOKUP(F1621,ccustos!A:A,ccustos!B:B),"Sem termo")</f>
        <v>COLOG</v>
      </c>
    </row>
    <row r="1622" spans="1:10" ht="36.75" customHeight="1" x14ac:dyDescent="0.25">
      <c r="A1622" s="14">
        <v>13079</v>
      </c>
      <c r="B1622" s="7" t="s">
        <v>236</v>
      </c>
      <c r="C1622" s="7" t="s">
        <v>333</v>
      </c>
      <c r="D1622" s="7" t="s">
        <v>1170</v>
      </c>
      <c r="E1622" s="7" t="s">
        <v>335</v>
      </c>
      <c r="F1622" s="7" t="s">
        <v>22</v>
      </c>
      <c r="G1622" s="7" t="s">
        <v>1171</v>
      </c>
      <c r="H1622" s="15">
        <v>570</v>
      </c>
      <c r="I1622" s="15">
        <v>292.27</v>
      </c>
      <c r="J1622" s="7" t="str">
        <f>IFERROR(_xlfn.XLOOKUP(F1622,ccustos!A:A,ccustos!B:B),"Sem termo")</f>
        <v>COTEC</v>
      </c>
    </row>
    <row r="1623" spans="1:10" ht="25.5" customHeight="1" x14ac:dyDescent="0.25">
      <c r="A1623" s="16">
        <v>13080</v>
      </c>
      <c r="B1623" s="17" t="s">
        <v>236</v>
      </c>
      <c r="C1623" s="17" t="s">
        <v>333</v>
      </c>
      <c r="D1623" s="17" t="s">
        <v>1170</v>
      </c>
      <c r="E1623" s="17" t="s">
        <v>335</v>
      </c>
      <c r="F1623" s="17" t="s">
        <v>83</v>
      </c>
      <c r="G1623" s="17" t="s">
        <v>1171</v>
      </c>
      <c r="H1623" s="18">
        <v>570</v>
      </c>
      <c r="I1623" s="18">
        <v>292.27</v>
      </c>
      <c r="J1623" s="7" t="str">
        <f>IFERROR(_xlfn.XLOOKUP(F1623,ccustos!A:A,ccustos!B:B),"Sem termo")</f>
        <v>GABIN</v>
      </c>
    </row>
    <row r="1624" spans="1:10" ht="36.75" customHeight="1" x14ac:dyDescent="0.25">
      <c r="A1624" s="14">
        <v>13081</v>
      </c>
      <c r="B1624" s="7" t="s">
        <v>236</v>
      </c>
      <c r="C1624" s="7" t="s">
        <v>333</v>
      </c>
      <c r="D1624" s="7" t="s">
        <v>1170</v>
      </c>
      <c r="E1624" s="7" t="s">
        <v>335</v>
      </c>
      <c r="F1624" s="7" t="s">
        <v>63</v>
      </c>
      <c r="G1624" s="7" t="s">
        <v>1171</v>
      </c>
      <c r="H1624" s="15">
        <v>570</v>
      </c>
      <c r="I1624" s="15">
        <v>292.27</v>
      </c>
      <c r="J1624" s="7" t="str">
        <f>IFERROR(_xlfn.XLOOKUP(F1624,ccustos!A:A,ccustos!B:B),"Sem termo")</f>
        <v>SEPAT</v>
      </c>
    </row>
    <row r="1625" spans="1:10" ht="36.75" customHeight="1" x14ac:dyDescent="0.25">
      <c r="A1625" s="16">
        <v>13082</v>
      </c>
      <c r="B1625" s="17" t="s">
        <v>236</v>
      </c>
      <c r="C1625" s="17" t="s">
        <v>333</v>
      </c>
      <c r="D1625" s="17" t="s">
        <v>1170</v>
      </c>
      <c r="E1625" s="17" t="s">
        <v>335</v>
      </c>
      <c r="F1625" s="17" t="s">
        <v>205</v>
      </c>
      <c r="G1625" s="17" t="s">
        <v>1171</v>
      </c>
      <c r="H1625" s="18">
        <v>570</v>
      </c>
      <c r="I1625" s="18">
        <v>292.27</v>
      </c>
      <c r="J1625" s="7" t="str">
        <f>IFERROR(_xlfn.XLOOKUP(F1625,ccustos!A:A,ccustos!B:B),"Sem termo")</f>
        <v>CCOM</v>
      </c>
    </row>
    <row r="1626" spans="1:10" ht="36.75" customHeight="1" x14ac:dyDescent="0.25">
      <c r="A1626" s="14">
        <v>13083</v>
      </c>
      <c r="B1626" s="7" t="s">
        <v>236</v>
      </c>
      <c r="C1626" s="7" t="s">
        <v>333</v>
      </c>
      <c r="D1626" s="7" t="s">
        <v>1170</v>
      </c>
      <c r="E1626" s="7" t="s">
        <v>335</v>
      </c>
      <c r="F1626" s="7" t="s">
        <v>27</v>
      </c>
      <c r="G1626" s="7" t="s">
        <v>1171</v>
      </c>
      <c r="H1626" s="15">
        <v>570</v>
      </c>
      <c r="I1626" s="15">
        <v>292.27</v>
      </c>
      <c r="J1626" s="7" t="str">
        <f>IFERROR(_xlfn.XLOOKUP(F1626,ccustos!A:A,ccustos!B:B),"Sem termo")</f>
        <v>CCI</v>
      </c>
    </row>
    <row r="1627" spans="1:10" ht="25.5" customHeight="1" x14ac:dyDescent="0.25">
      <c r="A1627" s="16">
        <v>13084</v>
      </c>
      <c r="B1627" s="17" t="s">
        <v>236</v>
      </c>
      <c r="C1627" s="17" t="s">
        <v>333</v>
      </c>
      <c r="D1627" s="17" t="s">
        <v>1170</v>
      </c>
      <c r="E1627" s="17" t="s">
        <v>335</v>
      </c>
      <c r="F1627" s="17" t="s">
        <v>30</v>
      </c>
      <c r="G1627" s="17" t="s">
        <v>1171</v>
      </c>
      <c r="H1627" s="18">
        <v>570</v>
      </c>
      <c r="I1627" s="18">
        <v>292.27</v>
      </c>
      <c r="J1627" s="7" t="str">
        <f>IFERROR(_xlfn.XLOOKUP(F1627,ccustos!A:A,ccustos!B:B),"Sem termo")</f>
        <v>COFIS</v>
      </c>
    </row>
    <row r="1628" spans="1:10" ht="25.5" customHeight="1" x14ac:dyDescent="0.25">
      <c r="A1628" s="14">
        <v>13085</v>
      </c>
      <c r="B1628" s="7" t="s">
        <v>236</v>
      </c>
      <c r="C1628" s="7" t="s">
        <v>333</v>
      </c>
      <c r="D1628" s="7" t="s">
        <v>1170</v>
      </c>
      <c r="E1628" s="7" t="s">
        <v>335</v>
      </c>
      <c r="F1628" s="7" t="s">
        <v>205</v>
      </c>
      <c r="G1628" s="7" t="s">
        <v>1171</v>
      </c>
      <c r="H1628" s="15">
        <v>570</v>
      </c>
      <c r="I1628" s="15">
        <v>292.27</v>
      </c>
      <c r="J1628" s="7" t="str">
        <f>IFERROR(_xlfn.XLOOKUP(F1628,ccustos!A:A,ccustos!B:B),"Sem termo")</f>
        <v>CCOM</v>
      </c>
    </row>
    <row r="1629" spans="1:10" ht="36.75" customHeight="1" x14ac:dyDescent="0.25">
      <c r="A1629" s="16">
        <v>13086</v>
      </c>
      <c r="B1629" s="17" t="s">
        <v>236</v>
      </c>
      <c r="C1629" s="17" t="s">
        <v>333</v>
      </c>
      <c r="D1629" s="17" t="s">
        <v>1170</v>
      </c>
      <c r="E1629" s="17" t="s">
        <v>335</v>
      </c>
      <c r="F1629" s="17" t="s">
        <v>211</v>
      </c>
      <c r="G1629" s="17" t="s">
        <v>1171</v>
      </c>
      <c r="H1629" s="18">
        <v>570</v>
      </c>
      <c r="I1629" s="18">
        <v>292.27</v>
      </c>
      <c r="J1629" s="7" t="str">
        <f>IFERROR(_xlfn.XLOOKUP(F1629,ccustos!A:A,ccustos!B:B),"Sem termo")</f>
        <v>DIGEO</v>
      </c>
    </row>
    <row r="1630" spans="1:10" ht="36.75" customHeight="1" x14ac:dyDescent="0.25">
      <c r="A1630" s="14">
        <v>13087</v>
      </c>
      <c r="B1630" s="7" t="s">
        <v>236</v>
      </c>
      <c r="C1630" s="7" t="s">
        <v>333</v>
      </c>
      <c r="D1630" s="7" t="s">
        <v>1170</v>
      </c>
      <c r="E1630" s="7" t="s">
        <v>335</v>
      </c>
      <c r="F1630" s="7" t="s">
        <v>32</v>
      </c>
      <c r="G1630" s="7" t="s">
        <v>1171</v>
      </c>
      <c r="H1630" s="15">
        <v>570</v>
      </c>
      <c r="I1630" s="15">
        <v>292.27</v>
      </c>
      <c r="J1630" s="7" t="str">
        <f>IFERROR(_xlfn.XLOOKUP(F1630,ccustos!A:A,ccustos!B:B),"Sem termo")</f>
        <v>DECONT</v>
      </c>
    </row>
    <row r="1631" spans="1:10" ht="25.5" customHeight="1" x14ac:dyDescent="0.25">
      <c r="A1631" s="16">
        <v>13088</v>
      </c>
      <c r="B1631" s="17" t="s">
        <v>236</v>
      </c>
      <c r="C1631" s="17" t="s">
        <v>333</v>
      </c>
      <c r="D1631" s="17" t="s">
        <v>1170</v>
      </c>
      <c r="E1631" s="17" t="s">
        <v>335</v>
      </c>
      <c r="F1631" s="17" t="s">
        <v>55</v>
      </c>
      <c r="G1631" s="17" t="s">
        <v>1171</v>
      </c>
      <c r="H1631" s="18">
        <v>570</v>
      </c>
      <c r="I1631" s="18">
        <v>292.27</v>
      </c>
      <c r="J1631" s="7" t="str">
        <f>IFERROR(_xlfn.XLOOKUP(F1631,ccustos!A:A,ccustos!B:B),"Sem termo")</f>
        <v>DEPAD</v>
      </c>
    </row>
    <row r="1632" spans="1:10" ht="25.5" customHeight="1" x14ac:dyDescent="0.25">
      <c r="A1632" s="14">
        <v>13089</v>
      </c>
      <c r="B1632" s="7" t="s">
        <v>236</v>
      </c>
      <c r="C1632" s="7" t="s">
        <v>333</v>
      </c>
      <c r="D1632" s="7" t="s">
        <v>1170</v>
      </c>
      <c r="E1632" s="7" t="s">
        <v>335</v>
      </c>
      <c r="F1632" s="7" t="s">
        <v>13</v>
      </c>
      <c r="G1632" s="7" t="s">
        <v>1171</v>
      </c>
      <c r="H1632" s="15">
        <v>570</v>
      </c>
      <c r="I1632" s="15">
        <v>292.27</v>
      </c>
      <c r="J1632" s="7" t="str">
        <f>IFERROR(_xlfn.XLOOKUP(F1632,ccustos!A:A,ccustos!B:B),"Sem termo")</f>
        <v>SEPROT</v>
      </c>
    </row>
    <row r="1633" spans="1:10" ht="25.5" customHeight="1" x14ac:dyDescent="0.25">
      <c r="A1633" s="16">
        <v>13090</v>
      </c>
      <c r="B1633" s="17" t="s">
        <v>236</v>
      </c>
      <c r="C1633" s="17" t="s">
        <v>333</v>
      </c>
      <c r="D1633" s="17" t="s">
        <v>1170</v>
      </c>
      <c r="E1633" s="17" t="s">
        <v>335</v>
      </c>
      <c r="F1633" s="17" t="s">
        <v>60</v>
      </c>
      <c r="G1633" s="17" t="s">
        <v>1171</v>
      </c>
      <c r="H1633" s="18">
        <v>570</v>
      </c>
      <c r="I1633" s="18">
        <v>292.27</v>
      </c>
      <c r="J1633" s="7" t="str">
        <f>IFERROR(_xlfn.XLOOKUP(F1633,ccustos!A:A,ccustos!B:B),"Sem termo")</f>
        <v>DEGEP</v>
      </c>
    </row>
    <row r="1634" spans="1:10" ht="36.75" customHeight="1" x14ac:dyDescent="0.25">
      <c r="A1634" s="14">
        <v>13091</v>
      </c>
      <c r="B1634" s="7" t="s">
        <v>236</v>
      </c>
      <c r="C1634" s="7" t="s">
        <v>333</v>
      </c>
      <c r="D1634" s="7" t="s">
        <v>1170</v>
      </c>
      <c r="E1634" s="7" t="s">
        <v>335</v>
      </c>
      <c r="F1634" s="7" t="s">
        <v>54</v>
      </c>
      <c r="G1634" s="7" t="s">
        <v>1171</v>
      </c>
      <c r="H1634" s="15">
        <v>570</v>
      </c>
      <c r="I1634" s="15">
        <v>292.27</v>
      </c>
      <c r="J1634" s="7" t="str">
        <f>IFERROR(_xlfn.XLOOKUP(F1634,ccustos!A:A,ccustos!B:B),"Sem termo")</f>
        <v>DEFIN</v>
      </c>
    </row>
    <row r="1635" spans="1:10" ht="25.5" customHeight="1" x14ac:dyDescent="0.25">
      <c r="A1635" s="16">
        <v>13092</v>
      </c>
      <c r="B1635" s="17" t="s">
        <v>236</v>
      </c>
      <c r="C1635" s="17" t="s">
        <v>333</v>
      </c>
      <c r="D1635" s="17" t="s">
        <v>1170</v>
      </c>
      <c r="E1635" s="17" t="s">
        <v>335</v>
      </c>
      <c r="F1635" s="17" t="s">
        <v>205</v>
      </c>
      <c r="G1635" s="17" t="s">
        <v>1171</v>
      </c>
      <c r="H1635" s="18">
        <v>570</v>
      </c>
      <c r="I1635" s="18">
        <v>292.27</v>
      </c>
      <c r="J1635" s="7" t="str">
        <f>IFERROR(_xlfn.XLOOKUP(F1635,ccustos!A:A,ccustos!B:B),"Sem termo")</f>
        <v>CCOM</v>
      </c>
    </row>
    <row r="1636" spans="1:10" ht="25.5" customHeight="1" x14ac:dyDescent="0.25">
      <c r="A1636" s="14">
        <v>13093</v>
      </c>
      <c r="B1636" s="7" t="s">
        <v>236</v>
      </c>
      <c r="C1636" s="7" t="s">
        <v>333</v>
      </c>
      <c r="D1636" s="7" t="s">
        <v>1170</v>
      </c>
      <c r="E1636" s="7" t="s">
        <v>335</v>
      </c>
      <c r="F1636" s="7" t="s">
        <v>48</v>
      </c>
      <c r="G1636" s="7" t="s">
        <v>1171</v>
      </c>
      <c r="H1636" s="15">
        <v>570</v>
      </c>
      <c r="I1636" s="15">
        <v>292.27</v>
      </c>
      <c r="J1636" s="7" t="str">
        <f>IFERROR(_xlfn.XLOOKUP(F1636,ccustos!A:A,ccustos!B:B),"Sem termo")</f>
        <v>DEPES</v>
      </c>
    </row>
    <row r="1637" spans="1:10" ht="25.5" customHeight="1" x14ac:dyDescent="0.25">
      <c r="A1637" s="16">
        <v>13094</v>
      </c>
      <c r="B1637" s="17" t="s">
        <v>236</v>
      </c>
      <c r="C1637" s="17" t="s">
        <v>333</v>
      </c>
      <c r="D1637" s="17" t="s">
        <v>1170</v>
      </c>
      <c r="E1637" s="17" t="s">
        <v>335</v>
      </c>
      <c r="F1637" s="17" t="s">
        <v>205</v>
      </c>
      <c r="G1637" s="17" t="s">
        <v>1171</v>
      </c>
      <c r="H1637" s="18">
        <v>570</v>
      </c>
      <c r="I1637" s="18">
        <v>292.27</v>
      </c>
      <c r="J1637" s="7" t="str">
        <f>IFERROR(_xlfn.XLOOKUP(F1637,ccustos!A:A,ccustos!B:B),"Sem termo")</f>
        <v>CCOM</v>
      </c>
    </row>
    <row r="1638" spans="1:10" ht="25.5" customHeight="1" x14ac:dyDescent="0.25">
      <c r="A1638" s="14">
        <v>13095</v>
      </c>
      <c r="B1638" s="7" t="s">
        <v>236</v>
      </c>
      <c r="C1638" s="7" t="s">
        <v>333</v>
      </c>
      <c r="D1638" s="7" t="s">
        <v>1170</v>
      </c>
      <c r="E1638" s="7" t="s">
        <v>335</v>
      </c>
      <c r="F1638" s="7" t="s">
        <v>27</v>
      </c>
      <c r="G1638" s="7" t="s">
        <v>1171</v>
      </c>
      <c r="H1638" s="15">
        <v>570</v>
      </c>
      <c r="I1638" s="15">
        <v>292.27</v>
      </c>
      <c r="J1638" s="7" t="str">
        <f>IFERROR(_xlfn.XLOOKUP(F1638,ccustos!A:A,ccustos!B:B),"Sem termo")</f>
        <v>CCI</v>
      </c>
    </row>
    <row r="1639" spans="1:10" ht="25.5" customHeight="1" x14ac:dyDescent="0.25">
      <c r="A1639" s="16">
        <v>13096</v>
      </c>
      <c r="B1639" s="17" t="s">
        <v>236</v>
      </c>
      <c r="C1639" s="17" t="s">
        <v>333</v>
      </c>
      <c r="D1639" s="17" t="s">
        <v>1170</v>
      </c>
      <c r="E1639" s="17" t="s">
        <v>335</v>
      </c>
      <c r="F1639" s="17" t="s">
        <v>26</v>
      </c>
      <c r="G1639" s="17" t="s">
        <v>1171</v>
      </c>
      <c r="H1639" s="18">
        <v>570</v>
      </c>
      <c r="I1639" s="18">
        <v>292.27</v>
      </c>
      <c r="J1639" s="7" t="str">
        <f>IFERROR(_xlfn.XLOOKUP(F1639,ccustos!A:A,ccustos!B:B),"Sem termo")</f>
        <v>COLOG</v>
      </c>
    </row>
    <row r="1640" spans="1:10" ht="25.5" customHeight="1" x14ac:dyDescent="0.25">
      <c r="A1640" s="14">
        <v>13097</v>
      </c>
      <c r="B1640" s="7" t="s">
        <v>236</v>
      </c>
      <c r="C1640" s="7" t="s">
        <v>333</v>
      </c>
      <c r="D1640" s="7" t="s">
        <v>1170</v>
      </c>
      <c r="E1640" s="7" t="s">
        <v>335</v>
      </c>
      <c r="F1640" s="7" t="s">
        <v>59</v>
      </c>
      <c r="G1640" s="7" t="s">
        <v>1171</v>
      </c>
      <c r="H1640" s="15">
        <v>570</v>
      </c>
      <c r="I1640" s="15">
        <v>292.27</v>
      </c>
      <c r="J1640" s="7" t="str">
        <f>IFERROR(_xlfn.XLOOKUP(F1640,ccustos!A:A,ccustos!B:B),"Sem termo")</f>
        <v>SEPAT</v>
      </c>
    </row>
    <row r="1641" spans="1:10" ht="36.75" customHeight="1" x14ac:dyDescent="0.25">
      <c r="A1641" s="16">
        <v>13098</v>
      </c>
      <c r="B1641" s="17" t="s">
        <v>236</v>
      </c>
      <c r="C1641" s="17" t="s">
        <v>333</v>
      </c>
      <c r="D1641" s="17" t="s">
        <v>1170</v>
      </c>
      <c r="E1641" s="17" t="s">
        <v>335</v>
      </c>
      <c r="F1641" s="17" t="s">
        <v>185</v>
      </c>
      <c r="G1641" s="17" t="s">
        <v>1171</v>
      </c>
      <c r="H1641" s="18">
        <v>570</v>
      </c>
      <c r="I1641" s="18">
        <v>292.27</v>
      </c>
      <c r="J1641" s="7" t="str">
        <f>IFERROR(_xlfn.XLOOKUP(F1641,ccustos!A:A,ccustos!B:B),"Sem termo")</f>
        <v>CGGE</v>
      </c>
    </row>
    <row r="1642" spans="1:10" ht="25.5" customHeight="1" x14ac:dyDescent="0.25">
      <c r="A1642" s="14">
        <v>13099</v>
      </c>
      <c r="B1642" s="7" t="s">
        <v>236</v>
      </c>
      <c r="C1642" s="7" t="s">
        <v>333</v>
      </c>
      <c r="D1642" s="7" t="s">
        <v>1170</v>
      </c>
      <c r="E1642" s="7" t="s">
        <v>335</v>
      </c>
      <c r="F1642" s="7" t="s">
        <v>6</v>
      </c>
      <c r="G1642" s="7" t="s">
        <v>1171</v>
      </c>
      <c r="H1642" s="15">
        <v>570</v>
      </c>
      <c r="I1642" s="15">
        <v>292.27</v>
      </c>
      <c r="J1642" s="7" t="str">
        <f>IFERROR(_xlfn.XLOOKUP(F1642,ccustos!A:A,ccustos!B:B),"Sem termo")</f>
        <v>SEPAT</v>
      </c>
    </row>
    <row r="1643" spans="1:10" ht="25.5" customHeight="1" x14ac:dyDescent="0.25">
      <c r="A1643" s="16">
        <v>13100</v>
      </c>
      <c r="B1643" s="17" t="s">
        <v>236</v>
      </c>
      <c r="C1643" s="17" t="s">
        <v>333</v>
      </c>
      <c r="D1643" s="17" t="s">
        <v>1170</v>
      </c>
      <c r="E1643" s="17" t="s">
        <v>335</v>
      </c>
      <c r="F1643" s="17" t="s">
        <v>48</v>
      </c>
      <c r="G1643" s="17" t="s">
        <v>1171</v>
      </c>
      <c r="H1643" s="18">
        <v>570</v>
      </c>
      <c r="I1643" s="18">
        <v>292.27</v>
      </c>
      <c r="J1643" s="7" t="str">
        <f>IFERROR(_xlfn.XLOOKUP(F1643,ccustos!A:A,ccustos!B:B),"Sem termo")</f>
        <v>DEPES</v>
      </c>
    </row>
    <row r="1644" spans="1:10" ht="36.75" customHeight="1" x14ac:dyDescent="0.25">
      <c r="A1644" s="14">
        <v>13101</v>
      </c>
      <c r="B1644" s="7" t="s">
        <v>236</v>
      </c>
      <c r="C1644" s="7" t="s">
        <v>333</v>
      </c>
      <c r="D1644" s="7" t="s">
        <v>1170</v>
      </c>
      <c r="E1644" s="7" t="s">
        <v>335</v>
      </c>
      <c r="F1644" s="7" t="s">
        <v>20</v>
      </c>
      <c r="G1644" s="7" t="s">
        <v>1171</v>
      </c>
      <c r="H1644" s="15">
        <v>570</v>
      </c>
      <c r="I1644" s="15">
        <v>292.27</v>
      </c>
      <c r="J1644" s="7" t="str">
        <f>IFERROR(_xlfn.XLOOKUP(F1644,ccustos!A:A,ccustos!B:B),"Sem termo")</f>
        <v>CGTI</v>
      </c>
    </row>
    <row r="1645" spans="1:10" ht="36.75" customHeight="1" x14ac:dyDescent="0.25">
      <c r="A1645" s="16">
        <v>13102</v>
      </c>
      <c r="B1645" s="17" t="s">
        <v>236</v>
      </c>
      <c r="C1645" s="17" t="s">
        <v>333</v>
      </c>
      <c r="D1645" s="17" t="s">
        <v>1170</v>
      </c>
      <c r="E1645" s="17" t="s">
        <v>335</v>
      </c>
      <c r="F1645" s="17" t="s">
        <v>14</v>
      </c>
      <c r="G1645" s="17" t="s">
        <v>1171</v>
      </c>
      <c r="H1645" s="18">
        <v>570</v>
      </c>
      <c r="I1645" s="18">
        <v>292.27</v>
      </c>
      <c r="J1645" s="7" t="str">
        <f>IFERROR(_xlfn.XLOOKUP(F1645,ccustos!A:A,ccustos!B:B),"Sem termo")</f>
        <v>SEPAT</v>
      </c>
    </row>
    <row r="1646" spans="1:10" ht="25.5" customHeight="1" x14ac:dyDescent="0.25">
      <c r="A1646" s="14">
        <v>13103</v>
      </c>
      <c r="B1646" s="7" t="s">
        <v>236</v>
      </c>
      <c r="C1646" s="7" t="s">
        <v>333</v>
      </c>
      <c r="D1646" s="7" t="s">
        <v>1170</v>
      </c>
      <c r="E1646" s="7" t="s">
        <v>335</v>
      </c>
      <c r="F1646" s="7" t="s">
        <v>185</v>
      </c>
      <c r="G1646" s="7" t="s">
        <v>1171</v>
      </c>
      <c r="H1646" s="15">
        <v>570</v>
      </c>
      <c r="I1646" s="15">
        <v>292.27</v>
      </c>
      <c r="J1646" s="7" t="str">
        <f>IFERROR(_xlfn.XLOOKUP(F1646,ccustos!A:A,ccustos!B:B),"Sem termo")</f>
        <v>CGGE</v>
      </c>
    </row>
    <row r="1647" spans="1:10" ht="36.75" customHeight="1" x14ac:dyDescent="0.25">
      <c r="A1647" s="16">
        <v>13104</v>
      </c>
      <c r="B1647" s="17" t="s">
        <v>236</v>
      </c>
      <c r="C1647" s="17" t="s">
        <v>333</v>
      </c>
      <c r="D1647" s="17" t="s">
        <v>1170</v>
      </c>
      <c r="E1647" s="17" t="s">
        <v>335</v>
      </c>
      <c r="F1647" s="17" t="s">
        <v>83</v>
      </c>
      <c r="G1647" s="17" t="s">
        <v>1171</v>
      </c>
      <c r="H1647" s="18">
        <v>570</v>
      </c>
      <c r="I1647" s="18">
        <v>292.27</v>
      </c>
      <c r="J1647" s="7" t="str">
        <f>IFERROR(_xlfn.XLOOKUP(F1647,ccustos!A:A,ccustos!B:B),"Sem termo")</f>
        <v>GABIN</v>
      </c>
    </row>
    <row r="1648" spans="1:10" ht="36.75" customHeight="1" x14ac:dyDescent="0.25">
      <c r="A1648" s="14">
        <v>13105</v>
      </c>
      <c r="B1648" s="7" t="s">
        <v>236</v>
      </c>
      <c r="C1648" s="7" t="s">
        <v>333</v>
      </c>
      <c r="D1648" s="7" t="s">
        <v>1170</v>
      </c>
      <c r="E1648" s="7" t="s">
        <v>335</v>
      </c>
      <c r="F1648" s="7" t="s">
        <v>54</v>
      </c>
      <c r="G1648" s="7" t="s">
        <v>1171</v>
      </c>
      <c r="H1648" s="15">
        <v>570</v>
      </c>
      <c r="I1648" s="15">
        <v>292.27</v>
      </c>
      <c r="J1648" s="7" t="str">
        <f>IFERROR(_xlfn.XLOOKUP(F1648,ccustos!A:A,ccustos!B:B),"Sem termo")</f>
        <v>DEFIN</v>
      </c>
    </row>
    <row r="1649" spans="1:10" ht="36.75" customHeight="1" x14ac:dyDescent="0.25">
      <c r="A1649" s="16">
        <v>13106</v>
      </c>
      <c r="B1649" s="17" t="s">
        <v>236</v>
      </c>
      <c r="C1649" s="17" t="s">
        <v>333</v>
      </c>
      <c r="D1649" s="17" t="s">
        <v>1170</v>
      </c>
      <c r="E1649" s="17" t="s">
        <v>335</v>
      </c>
      <c r="F1649" s="17" t="s">
        <v>62</v>
      </c>
      <c r="G1649" s="17" t="s">
        <v>1171</v>
      </c>
      <c r="H1649" s="18">
        <v>570</v>
      </c>
      <c r="I1649" s="18">
        <v>292.27</v>
      </c>
      <c r="J1649" s="7" t="str">
        <f>IFERROR(_xlfn.XLOOKUP(F1649,ccustos!A:A,ccustos!B:B),"Sem termo")</f>
        <v>SETRAN</v>
      </c>
    </row>
    <row r="1650" spans="1:10" ht="25.5" customHeight="1" x14ac:dyDescent="0.25">
      <c r="A1650" s="14">
        <v>13107</v>
      </c>
      <c r="B1650" s="7" t="s">
        <v>236</v>
      </c>
      <c r="C1650" s="7" t="s">
        <v>333</v>
      </c>
      <c r="D1650" s="7" t="s">
        <v>1170</v>
      </c>
      <c r="E1650" s="7" t="s">
        <v>335</v>
      </c>
      <c r="F1650" s="7" t="s">
        <v>59</v>
      </c>
      <c r="G1650" s="7" t="s">
        <v>1171</v>
      </c>
      <c r="H1650" s="15">
        <v>570</v>
      </c>
      <c r="I1650" s="15">
        <v>292.27</v>
      </c>
      <c r="J1650" s="7" t="str">
        <f>IFERROR(_xlfn.XLOOKUP(F1650,ccustos!A:A,ccustos!B:B),"Sem termo")</f>
        <v>SEPAT</v>
      </c>
    </row>
    <row r="1651" spans="1:10" ht="25.5" customHeight="1" x14ac:dyDescent="0.25">
      <c r="A1651" s="16">
        <v>13108</v>
      </c>
      <c r="B1651" s="17" t="s">
        <v>236</v>
      </c>
      <c r="C1651" s="17" t="s">
        <v>333</v>
      </c>
      <c r="D1651" s="17" t="s">
        <v>1170</v>
      </c>
      <c r="E1651" s="17" t="s">
        <v>335</v>
      </c>
      <c r="F1651" s="17" t="s">
        <v>20</v>
      </c>
      <c r="G1651" s="17" t="s">
        <v>1171</v>
      </c>
      <c r="H1651" s="18">
        <v>570</v>
      </c>
      <c r="I1651" s="18">
        <v>292.27</v>
      </c>
      <c r="J1651" s="7" t="str">
        <f>IFERROR(_xlfn.XLOOKUP(F1651,ccustos!A:A,ccustos!B:B),"Sem termo")</f>
        <v>CGTI</v>
      </c>
    </row>
    <row r="1652" spans="1:10" ht="36.75" customHeight="1" x14ac:dyDescent="0.25">
      <c r="A1652" s="14">
        <v>13109</v>
      </c>
      <c r="B1652" s="7" t="s">
        <v>236</v>
      </c>
      <c r="C1652" s="7" t="s">
        <v>333</v>
      </c>
      <c r="D1652" s="7" t="s">
        <v>1170</v>
      </c>
      <c r="E1652" s="7" t="s">
        <v>335</v>
      </c>
      <c r="F1652" s="7" t="s">
        <v>22</v>
      </c>
      <c r="G1652" s="7" t="s">
        <v>1171</v>
      </c>
      <c r="H1652" s="15">
        <v>570</v>
      </c>
      <c r="I1652" s="15">
        <v>292.27</v>
      </c>
      <c r="J1652" s="7" t="str">
        <f>IFERROR(_xlfn.XLOOKUP(F1652,ccustos!A:A,ccustos!B:B),"Sem termo")</f>
        <v>COTEC</v>
      </c>
    </row>
    <row r="1653" spans="1:10" ht="25.5" customHeight="1" x14ac:dyDescent="0.25">
      <c r="A1653" s="16">
        <v>13110</v>
      </c>
      <c r="B1653" s="17" t="s">
        <v>236</v>
      </c>
      <c r="C1653" s="17" t="s">
        <v>333</v>
      </c>
      <c r="D1653" s="17" t="s">
        <v>1170</v>
      </c>
      <c r="E1653" s="17" t="s">
        <v>335</v>
      </c>
      <c r="F1653" s="17" t="s">
        <v>26</v>
      </c>
      <c r="G1653" s="17" t="s">
        <v>1171</v>
      </c>
      <c r="H1653" s="18">
        <v>570</v>
      </c>
      <c r="I1653" s="18">
        <v>292.27</v>
      </c>
      <c r="J1653" s="7" t="str">
        <f>IFERROR(_xlfn.XLOOKUP(F1653,ccustos!A:A,ccustos!B:B),"Sem termo")</f>
        <v>COLOG</v>
      </c>
    </row>
    <row r="1654" spans="1:10" ht="25.5" customHeight="1" x14ac:dyDescent="0.25">
      <c r="A1654" s="14">
        <v>13111</v>
      </c>
      <c r="B1654" s="7" t="s">
        <v>236</v>
      </c>
      <c r="C1654" s="7" t="s">
        <v>333</v>
      </c>
      <c r="D1654" s="7" t="s">
        <v>1170</v>
      </c>
      <c r="E1654" s="7" t="s">
        <v>335</v>
      </c>
      <c r="F1654" s="7" t="s">
        <v>26</v>
      </c>
      <c r="G1654" s="7" t="s">
        <v>1171</v>
      </c>
      <c r="H1654" s="15">
        <v>570</v>
      </c>
      <c r="I1654" s="15">
        <v>292.27</v>
      </c>
      <c r="J1654" s="7" t="str">
        <f>IFERROR(_xlfn.XLOOKUP(F1654,ccustos!A:A,ccustos!B:B),"Sem termo")</f>
        <v>COLOG</v>
      </c>
    </row>
    <row r="1655" spans="1:10" ht="25.5" customHeight="1" x14ac:dyDescent="0.25">
      <c r="A1655" s="16">
        <v>13112</v>
      </c>
      <c r="B1655" s="17" t="s">
        <v>236</v>
      </c>
      <c r="C1655" s="17" t="s">
        <v>333</v>
      </c>
      <c r="D1655" s="17" t="s">
        <v>1170</v>
      </c>
      <c r="E1655" s="17" t="s">
        <v>335</v>
      </c>
      <c r="F1655" s="17" t="s">
        <v>185</v>
      </c>
      <c r="G1655" s="17" t="s">
        <v>1171</v>
      </c>
      <c r="H1655" s="18">
        <v>570</v>
      </c>
      <c r="I1655" s="18">
        <v>292.27</v>
      </c>
      <c r="J1655" s="7" t="str">
        <f>IFERROR(_xlfn.XLOOKUP(F1655,ccustos!A:A,ccustos!B:B),"Sem termo")</f>
        <v>CGGE</v>
      </c>
    </row>
    <row r="1656" spans="1:10" ht="25.5" customHeight="1" x14ac:dyDescent="0.25">
      <c r="A1656" s="14">
        <v>13113</v>
      </c>
      <c r="B1656" s="7" t="s">
        <v>236</v>
      </c>
      <c r="C1656" s="7" t="s">
        <v>333</v>
      </c>
      <c r="D1656" s="7" t="s">
        <v>1170</v>
      </c>
      <c r="E1656" s="7" t="s">
        <v>335</v>
      </c>
      <c r="F1656" s="7" t="s">
        <v>55</v>
      </c>
      <c r="G1656" s="7" t="s">
        <v>1171</v>
      </c>
      <c r="H1656" s="15">
        <v>570</v>
      </c>
      <c r="I1656" s="15">
        <v>292.27</v>
      </c>
      <c r="J1656" s="7" t="str">
        <f>IFERROR(_xlfn.XLOOKUP(F1656,ccustos!A:A,ccustos!B:B),"Sem termo")</f>
        <v>DEPAD</v>
      </c>
    </row>
    <row r="1657" spans="1:10" ht="25.5" customHeight="1" x14ac:dyDescent="0.25">
      <c r="A1657" s="16">
        <v>13114</v>
      </c>
      <c r="B1657" s="17" t="s">
        <v>236</v>
      </c>
      <c r="C1657" s="17" t="s">
        <v>333</v>
      </c>
      <c r="D1657" s="17" t="s">
        <v>1170</v>
      </c>
      <c r="E1657" s="17" t="s">
        <v>335</v>
      </c>
      <c r="F1657" s="17" t="s">
        <v>185</v>
      </c>
      <c r="G1657" s="17" t="s">
        <v>1171</v>
      </c>
      <c r="H1657" s="18">
        <v>570</v>
      </c>
      <c r="I1657" s="18">
        <v>292.27</v>
      </c>
      <c r="J1657" s="7" t="str">
        <f>IFERROR(_xlfn.XLOOKUP(F1657,ccustos!A:A,ccustos!B:B),"Sem termo")</f>
        <v>CGGE</v>
      </c>
    </row>
    <row r="1658" spans="1:10" ht="25.5" customHeight="1" x14ac:dyDescent="0.25">
      <c r="A1658" s="14">
        <v>13115</v>
      </c>
      <c r="B1658" s="7" t="s">
        <v>236</v>
      </c>
      <c r="C1658" s="7" t="s">
        <v>333</v>
      </c>
      <c r="D1658" s="7" t="s">
        <v>1170</v>
      </c>
      <c r="E1658" s="7" t="s">
        <v>335</v>
      </c>
      <c r="F1658" s="7" t="s">
        <v>185</v>
      </c>
      <c r="G1658" s="7" t="s">
        <v>1171</v>
      </c>
      <c r="H1658" s="15">
        <v>570</v>
      </c>
      <c r="I1658" s="15">
        <v>292.27</v>
      </c>
      <c r="J1658" s="7" t="str">
        <f>IFERROR(_xlfn.XLOOKUP(F1658,ccustos!A:A,ccustos!B:B),"Sem termo")</f>
        <v>CGGE</v>
      </c>
    </row>
    <row r="1659" spans="1:10" ht="25.5" customHeight="1" x14ac:dyDescent="0.25">
      <c r="A1659" s="16">
        <v>13116</v>
      </c>
      <c r="B1659" s="17" t="s">
        <v>236</v>
      </c>
      <c r="C1659" s="17" t="s">
        <v>333</v>
      </c>
      <c r="D1659" s="17" t="s">
        <v>1170</v>
      </c>
      <c r="E1659" s="17" t="s">
        <v>335</v>
      </c>
      <c r="F1659" s="17" t="s">
        <v>211</v>
      </c>
      <c r="G1659" s="17" t="s">
        <v>1171</v>
      </c>
      <c r="H1659" s="18">
        <v>570</v>
      </c>
      <c r="I1659" s="18">
        <v>292.27</v>
      </c>
      <c r="J1659" s="7" t="str">
        <f>IFERROR(_xlfn.XLOOKUP(F1659,ccustos!A:A,ccustos!B:B),"Sem termo")</f>
        <v>DIGEO</v>
      </c>
    </row>
    <row r="1660" spans="1:10" ht="25.5" customHeight="1" x14ac:dyDescent="0.25">
      <c r="A1660" s="14">
        <v>13117</v>
      </c>
      <c r="B1660" s="7" t="s">
        <v>236</v>
      </c>
      <c r="C1660" s="7" t="s">
        <v>327</v>
      </c>
      <c r="D1660" s="7" t="s">
        <v>1172</v>
      </c>
      <c r="E1660" s="7" t="s">
        <v>239</v>
      </c>
      <c r="F1660" s="7" t="s">
        <v>185</v>
      </c>
      <c r="G1660" s="7" t="s">
        <v>1173</v>
      </c>
      <c r="H1660" s="15">
        <v>11333.06</v>
      </c>
      <c r="I1660" s="15">
        <v>7662.35</v>
      </c>
      <c r="J1660" s="7" t="str">
        <f>IFERROR(_xlfn.XLOOKUP(F1660,ccustos!A:A,ccustos!B:B),"Sem termo")</f>
        <v>CGGE</v>
      </c>
    </row>
    <row r="1661" spans="1:10" ht="25.5" customHeight="1" x14ac:dyDescent="0.25">
      <c r="A1661" s="16">
        <v>13118</v>
      </c>
      <c r="B1661" s="17" t="s">
        <v>236</v>
      </c>
      <c r="C1661" s="17" t="s">
        <v>327</v>
      </c>
      <c r="D1661" s="17" t="s">
        <v>1174</v>
      </c>
      <c r="E1661" s="17" t="s">
        <v>239</v>
      </c>
      <c r="F1661" s="17" t="s">
        <v>205</v>
      </c>
      <c r="G1661" s="17" t="s">
        <v>1173</v>
      </c>
      <c r="H1661" s="18">
        <v>11333.06</v>
      </c>
      <c r="I1661" s="18">
        <v>7662.35</v>
      </c>
      <c r="J1661" s="7" t="str">
        <f>IFERROR(_xlfn.XLOOKUP(F1661,ccustos!A:A,ccustos!B:B),"Sem termo")</f>
        <v>CCOM</v>
      </c>
    </row>
    <row r="1662" spans="1:10" ht="25.5" customHeight="1" x14ac:dyDescent="0.25">
      <c r="A1662" s="14">
        <v>13119</v>
      </c>
      <c r="B1662" s="7" t="s">
        <v>236</v>
      </c>
      <c r="C1662" s="7" t="s">
        <v>337</v>
      </c>
      <c r="D1662" s="7" t="s">
        <v>1175</v>
      </c>
      <c r="E1662" s="7" t="s">
        <v>239</v>
      </c>
      <c r="F1662" s="7" t="s">
        <v>27</v>
      </c>
      <c r="G1662" s="7" t="s">
        <v>1173</v>
      </c>
      <c r="H1662" s="15">
        <v>905.26</v>
      </c>
      <c r="I1662" s="15">
        <v>604.05999999999995</v>
      </c>
      <c r="J1662" s="7" t="str">
        <f>IFERROR(_xlfn.XLOOKUP(F1662,ccustos!A:A,ccustos!B:B),"Sem termo")</f>
        <v>CCI</v>
      </c>
    </row>
    <row r="1663" spans="1:10" ht="25.5" customHeight="1" x14ac:dyDescent="0.25">
      <c r="A1663" s="16">
        <v>13120</v>
      </c>
      <c r="B1663" s="17" t="s">
        <v>236</v>
      </c>
      <c r="C1663" s="17" t="s">
        <v>337</v>
      </c>
      <c r="D1663" s="17" t="s">
        <v>1175</v>
      </c>
      <c r="E1663" s="17" t="s">
        <v>239</v>
      </c>
      <c r="F1663" s="17" t="s">
        <v>32</v>
      </c>
      <c r="G1663" s="17" t="s">
        <v>1173</v>
      </c>
      <c r="H1663" s="18">
        <v>905.26</v>
      </c>
      <c r="I1663" s="18">
        <v>604.05999999999995</v>
      </c>
      <c r="J1663" s="7" t="str">
        <f>IFERROR(_xlfn.XLOOKUP(F1663,ccustos!A:A,ccustos!B:B),"Sem termo")</f>
        <v>DECONT</v>
      </c>
    </row>
    <row r="1664" spans="1:10" ht="25.5" customHeight="1" x14ac:dyDescent="0.25">
      <c r="A1664" s="14">
        <v>13121</v>
      </c>
      <c r="B1664" s="7" t="s">
        <v>236</v>
      </c>
      <c r="C1664" s="7" t="s">
        <v>337</v>
      </c>
      <c r="D1664" s="7" t="s">
        <v>1175</v>
      </c>
      <c r="E1664" s="7" t="s">
        <v>239</v>
      </c>
      <c r="F1664" s="7" t="s">
        <v>27</v>
      </c>
      <c r="G1664" s="7" t="s">
        <v>1173</v>
      </c>
      <c r="H1664" s="15">
        <v>905.26</v>
      </c>
      <c r="I1664" s="15">
        <v>604.05999999999995</v>
      </c>
      <c r="J1664" s="7" t="str">
        <f>IFERROR(_xlfn.XLOOKUP(F1664,ccustos!A:A,ccustos!B:B),"Sem termo")</f>
        <v>CCI</v>
      </c>
    </row>
    <row r="1665" spans="1:10" ht="36.75" customHeight="1" x14ac:dyDescent="0.25">
      <c r="A1665" s="16">
        <v>13122</v>
      </c>
      <c r="B1665" s="17" t="s">
        <v>236</v>
      </c>
      <c r="C1665" s="17" t="s">
        <v>337</v>
      </c>
      <c r="D1665" s="17" t="s">
        <v>1176</v>
      </c>
      <c r="E1665" s="17" t="s">
        <v>239</v>
      </c>
      <c r="F1665" s="17" t="s">
        <v>30</v>
      </c>
      <c r="G1665" s="17" t="s">
        <v>1173</v>
      </c>
      <c r="H1665" s="18">
        <v>905.26</v>
      </c>
      <c r="I1665" s="18">
        <v>604.05999999999995</v>
      </c>
      <c r="J1665" s="7" t="str">
        <f>IFERROR(_xlfn.XLOOKUP(F1665,ccustos!A:A,ccustos!B:B),"Sem termo")</f>
        <v>COFIS</v>
      </c>
    </row>
    <row r="1666" spans="1:10" ht="36.75" customHeight="1" x14ac:dyDescent="0.25">
      <c r="A1666" s="14">
        <v>13123</v>
      </c>
      <c r="B1666" s="7" t="s">
        <v>236</v>
      </c>
      <c r="C1666" s="7" t="s">
        <v>337</v>
      </c>
      <c r="D1666" s="7" t="s">
        <v>1175</v>
      </c>
      <c r="E1666" s="7" t="s">
        <v>239</v>
      </c>
      <c r="F1666" s="7" t="s">
        <v>22</v>
      </c>
      <c r="G1666" s="7" t="s">
        <v>1173</v>
      </c>
      <c r="H1666" s="15">
        <v>905.26</v>
      </c>
      <c r="I1666" s="15">
        <v>604.05999999999995</v>
      </c>
      <c r="J1666" s="7" t="str">
        <f>IFERROR(_xlfn.XLOOKUP(F1666,ccustos!A:A,ccustos!B:B),"Sem termo")</f>
        <v>COTEC</v>
      </c>
    </row>
    <row r="1667" spans="1:10" ht="25.5" customHeight="1" x14ac:dyDescent="0.25">
      <c r="A1667" s="16">
        <v>13124</v>
      </c>
      <c r="B1667" s="17" t="s">
        <v>236</v>
      </c>
      <c r="C1667" s="17" t="s">
        <v>337</v>
      </c>
      <c r="D1667" s="17" t="s">
        <v>1175</v>
      </c>
      <c r="E1667" s="17" t="s">
        <v>239</v>
      </c>
      <c r="F1667" s="17" t="s">
        <v>47</v>
      </c>
      <c r="G1667" s="17" t="s">
        <v>1173</v>
      </c>
      <c r="H1667" s="18">
        <v>905.26</v>
      </c>
      <c r="I1667" s="18">
        <v>604.05999999999995</v>
      </c>
      <c r="J1667" s="7" t="str">
        <f>IFERROR(_xlfn.XLOOKUP(F1667,ccustos!A:A,ccustos!B:B),"Sem termo")</f>
        <v>CDPROF</v>
      </c>
    </row>
    <row r="1668" spans="1:10" ht="25.5" customHeight="1" x14ac:dyDescent="0.25">
      <c r="A1668" s="14">
        <v>13125</v>
      </c>
      <c r="B1668" s="7" t="s">
        <v>236</v>
      </c>
      <c r="C1668" s="7" t="s">
        <v>337</v>
      </c>
      <c r="D1668" s="7" t="s">
        <v>1175</v>
      </c>
      <c r="E1668" s="7" t="s">
        <v>239</v>
      </c>
      <c r="F1668" s="7" t="s">
        <v>37</v>
      </c>
      <c r="G1668" s="7" t="s">
        <v>1173</v>
      </c>
      <c r="H1668" s="15">
        <v>905.26</v>
      </c>
      <c r="I1668" s="15">
        <v>604.05999999999995</v>
      </c>
      <c r="J1668" s="7" t="str">
        <f>IFERROR(_xlfn.XLOOKUP(F1668,ccustos!A:A,ccustos!B:B),"Sem termo")</f>
        <v>PROJUR</v>
      </c>
    </row>
    <row r="1669" spans="1:10" ht="36.75" customHeight="1" x14ac:dyDescent="0.25">
      <c r="A1669" s="16">
        <v>13126</v>
      </c>
      <c r="B1669" s="17" t="s">
        <v>236</v>
      </c>
      <c r="C1669" s="17" t="s">
        <v>337</v>
      </c>
      <c r="D1669" s="17" t="s">
        <v>1175</v>
      </c>
      <c r="E1669" s="17" t="s">
        <v>239</v>
      </c>
      <c r="F1669" s="17" t="s">
        <v>39</v>
      </c>
      <c r="G1669" s="17" t="s">
        <v>1173</v>
      </c>
      <c r="H1669" s="18">
        <v>905.26</v>
      </c>
      <c r="I1669" s="18">
        <v>604.05999999999995</v>
      </c>
      <c r="J1669" s="7" t="str">
        <f>IFERROR(_xlfn.XLOOKUP(F1669,ccustos!A:A,ccustos!B:B),"Sem termo")</f>
        <v>COREG</v>
      </c>
    </row>
    <row r="1670" spans="1:10" ht="36.75" customHeight="1" x14ac:dyDescent="0.25">
      <c r="A1670" s="14">
        <v>13127</v>
      </c>
      <c r="B1670" s="7" t="s">
        <v>236</v>
      </c>
      <c r="C1670" s="7" t="s">
        <v>337</v>
      </c>
      <c r="D1670" s="7" t="s">
        <v>1175</v>
      </c>
      <c r="E1670" s="7" t="s">
        <v>239</v>
      </c>
      <c r="F1670" s="7" t="s">
        <v>39</v>
      </c>
      <c r="G1670" s="7" t="s">
        <v>1173</v>
      </c>
      <c r="H1670" s="15">
        <v>905.26</v>
      </c>
      <c r="I1670" s="15">
        <v>604.05999999999995</v>
      </c>
      <c r="J1670" s="7" t="str">
        <f>IFERROR(_xlfn.XLOOKUP(F1670,ccustos!A:A,ccustos!B:B),"Sem termo")</f>
        <v>COREG</v>
      </c>
    </row>
    <row r="1671" spans="1:10" ht="25.5" customHeight="1" x14ac:dyDescent="0.25">
      <c r="A1671" s="16">
        <v>13128</v>
      </c>
      <c r="B1671" s="17" t="s">
        <v>236</v>
      </c>
      <c r="C1671" s="17" t="s">
        <v>337</v>
      </c>
      <c r="D1671" s="17" t="s">
        <v>1175</v>
      </c>
      <c r="E1671" s="17" t="s">
        <v>239</v>
      </c>
      <c r="F1671" s="17" t="s">
        <v>53</v>
      </c>
      <c r="G1671" s="17" t="s">
        <v>1173</v>
      </c>
      <c r="H1671" s="18">
        <v>905.26</v>
      </c>
      <c r="I1671" s="18">
        <v>604.05999999999995</v>
      </c>
      <c r="J1671" s="7" t="str">
        <f>IFERROR(_xlfn.XLOOKUP(F1671,ccustos!A:A,ccustos!B:B),"Sem termo")</f>
        <v>DELIC</v>
      </c>
    </row>
    <row r="1672" spans="1:10" ht="25.5" customHeight="1" x14ac:dyDescent="0.25">
      <c r="A1672" s="14">
        <v>13129</v>
      </c>
      <c r="B1672" s="7" t="s">
        <v>236</v>
      </c>
      <c r="C1672" s="7" t="s">
        <v>337</v>
      </c>
      <c r="D1672" s="7" t="s">
        <v>1175</v>
      </c>
      <c r="E1672" s="7" t="s">
        <v>239</v>
      </c>
      <c r="F1672" s="7" t="s">
        <v>53</v>
      </c>
      <c r="G1672" s="7" t="s">
        <v>1173</v>
      </c>
      <c r="H1672" s="15">
        <v>905.26</v>
      </c>
      <c r="I1672" s="15">
        <v>604.05999999999995</v>
      </c>
      <c r="J1672" s="7" t="str">
        <f>IFERROR(_xlfn.XLOOKUP(F1672,ccustos!A:A,ccustos!B:B),"Sem termo")</f>
        <v>DELIC</v>
      </c>
    </row>
    <row r="1673" spans="1:10" ht="25.5" customHeight="1" x14ac:dyDescent="0.25">
      <c r="A1673" s="16">
        <v>13130</v>
      </c>
      <c r="B1673" s="17" t="s">
        <v>236</v>
      </c>
      <c r="C1673" s="17" t="s">
        <v>337</v>
      </c>
      <c r="D1673" s="17" t="s">
        <v>1177</v>
      </c>
      <c r="E1673" s="17" t="s">
        <v>239</v>
      </c>
      <c r="F1673" s="17" t="s">
        <v>60</v>
      </c>
      <c r="G1673" s="17" t="s">
        <v>1173</v>
      </c>
      <c r="H1673" s="18">
        <v>905.26</v>
      </c>
      <c r="I1673" s="18">
        <v>604.05999999999995</v>
      </c>
      <c r="J1673" s="7" t="str">
        <f>IFERROR(_xlfn.XLOOKUP(F1673,ccustos!A:A,ccustos!B:B),"Sem termo")</f>
        <v>DEGEP</v>
      </c>
    </row>
    <row r="1674" spans="1:10" ht="36.75" customHeight="1" x14ac:dyDescent="0.25">
      <c r="A1674" s="14">
        <v>13131</v>
      </c>
      <c r="B1674" s="7" t="s">
        <v>236</v>
      </c>
      <c r="C1674" s="7" t="s">
        <v>337</v>
      </c>
      <c r="D1674" s="7" t="s">
        <v>1177</v>
      </c>
      <c r="E1674" s="7" t="s">
        <v>239</v>
      </c>
      <c r="F1674" s="7" t="s">
        <v>26</v>
      </c>
      <c r="G1674" s="7" t="s">
        <v>1173</v>
      </c>
      <c r="H1674" s="15">
        <v>905.26</v>
      </c>
      <c r="I1674" s="15">
        <v>604.05999999999995</v>
      </c>
      <c r="J1674" s="7" t="str">
        <f>IFERROR(_xlfn.XLOOKUP(F1674,ccustos!A:A,ccustos!B:B),"Sem termo")</f>
        <v>COLOG</v>
      </c>
    </row>
    <row r="1675" spans="1:10" ht="25.5" customHeight="1" x14ac:dyDescent="0.25">
      <c r="A1675" s="16">
        <v>13132</v>
      </c>
      <c r="B1675" s="17" t="s">
        <v>236</v>
      </c>
      <c r="C1675" s="17" t="s">
        <v>337</v>
      </c>
      <c r="D1675" s="17" t="s">
        <v>1175</v>
      </c>
      <c r="E1675" s="17" t="s">
        <v>239</v>
      </c>
      <c r="F1675" s="17" t="s">
        <v>47</v>
      </c>
      <c r="G1675" s="17" t="s">
        <v>1173</v>
      </c>
      <c r="H1675" s="18">
        <v>905.26</v>
      </c>
      <c r="I1675" s="18">
        <v>604.05999999999995</v>
      </c>
      <c r="J1675" s="7" t="str">
        <f>IFERROR(_xlfn.XLOOKUP(F1675,ccustos!A:A,ccustos!B:B),"Sem termo")</f>
        <v>CDPROF</v>
      </c>
    </row>
    <row r="1676" spans="1:10" ht="25.5" customHeight="1" x14ac:dyDescent="0.25">
      <c r="A1676" s="14">
        <v>13133</v>
      </c>
      <c r="B1676" s="7" t="s">
        <v>236</v>
      </c>
      <c r="C1676" s="7" t="s">
        <v>337</v>
      </c>
      <c r="D1676" s="7" t="s">
        <v>1175</v>
      </c>
      <c r="E1676" s="7" t="s">
        <v>239</v>
      </c>
      <c r="F1676" s="7" t="s">
        <v>205</v>
      </c>
      <c r="G1676" s="7" t="s">
        <v>1173</v>
      </c>
      <c r="H1676" s="15">
        <v>905.26</v>
      </c>
      <c r="I1676" s="15">
        <v>604.05999999999995</v>
      </c>
      <c r="J1676" s="7" t="str">
        <f>IFERROR(_xlfn.XLOOKUP(F1676,ccustos!A:A,ccustos!B:B),"Sem termo")</f>
        <v>CCOM</v>
      </c>
    </row>
    <row r="1677" spans="1:10" ht="25.5" customHeight="1" x14ac:dyDescent="0.25">
      <c r="A1677" s="16">
        <v>13134</v>
      </c>
      <c r="B1677" s="17" t="s">
        <v>236</v>
      </c>
      <c r="C1677" s="17" t="s">
        <v>337</v>
      </c>
      <c r="D1677" s="17" t="s">
        <v>1175</v>
      </c>
      <c r="E1677" s="17" t="s">
        <v>239</v>
      </c>
      <c r="F1677" s="17" t="s">
        <v>60</v>
      </c>
      <c r="G1677" s="17" t="s">
        <v>1173</v>
      </c>
      <c r="H1677" s="18">
        <v>905.26</v>
      </c>
      <c r="I1677" s="18">
        <v>604.05999999999995</v>
      </c>
      <c r="J1677" s="7" t="str">
        <f>IFERROR(_xlfn.XLOOKUP(F1677,ccustos!A:A,ccustos!B:B),"Sem termo")</f>
        <v>DEGEP</v>
      </c>
    </row>
    <row r="1678" spans="1:10" ht="25.5" customHeight="1" x14ac:dyDescent="0.25">
      <c r="A1678" s="14">
        <v>13135</v>
      </c>
      <c r="B1678" s="7" t="s">
        <v>236</v>
      </c>
      <c r="C1678" s="7" t="s">
        <v>337</v>
      </c>
      <c r="D1678" s="7" t="s">
        <v>1175</v>
      </c>
      <c r="E1678" s="7" t="s">
        <v>239</v>
      </c>
      <c r="F1678" s="7" t="s">
        <v>22</v>
      </c>
      <c r="G1678" s="7" t="s">
        <v>1173</v>
      </c>
      <c r="H1678" s="15">
        <v>905.26</v>
      </c>
      <c r="I1678" s="15">
        <v>604.05999999999995</v>
      </c>
      <c r="J1678" s="7" t="str">
        <f>IFERROR(_xlfn.XLOOKUP(F1678,ccustos!A:A,ccustos!B:B),"Sem termo")</f>
        <v>COTEC</v>
      </c>
    </row>
    <row r="1679" spans="1:10" ht="25.5" customHeight="1" x14ac:dyDescent="0.25">
      <c r="A1679" s="16">
        <v>13136</v>
      </c>
      <c r="B1679" s="17" t="s">
        <v>236</v>
      </c>
      <c r="C1679" s="17" t="s">
        <v>337</v>
      </c>
      <c r="D1679" s="17" t="s">
        <v>1175</v>
      </c>
      <c r="E1679" s="17" t="s">
        <v>239</v>
      </c>
      <c r="F1679" s="17" t="s">
        <v>47</v>
      </c>
      <c r="G1679" s="17" t="s">
        <v>1173</v>
      </c>
      <c r="H1679" s="18">
        <v>905.26</v>
      </c>
      <c r="I1679" s="18">
        <v>604.05999999999995</v>
      </c>
      <c r="J1679" s="7" t="str">
        <f>IFERROR(_xlfn.XLOOKUP(F1679,ccustos!A:A,ccustos!B:B),"Sem termo")</f>
        <v>CDPROF</v>
      </c>
    </row>
    <row r="1680" spans="1:10" ht="36.75" customHeight="1" x14ac:dyDescent="0.25">
      <c r="A1680" s="14">
        <v>13137</v>
      </c>
      <c r="B1680" s="7" t="s">
        <v>236</v>
      </c>
      <c r="C1680" s="7" t="s">
        <v>337</v>
      </c>
      <c r="D1680" s="7" t="s">
        <v>1178</v>
      </c>
      <c r="E1680" s="7" t="s">
        <v>239</v>
      </c>
      <c r="F1680" s="7" t="s">
        <v>30</v>
      </c>
      <c r="G1680" s="7" t="s">
        <v>1173</v>
      </c>
      <c r="H1680" s="15">
        <v>905.26</v>
      </c>
      <c r="I1680" s="15">
        <v>604.05999999999995</v>
      </c>
      <c r="J1680" s="7" t="str">
        <f>IFERROR(_xlfn.XLOOKUP(F1680,ccustos!A:A,ccustos!B:B),"Sem termo")</f>
        <v>COFIS</v>
      </c>
    </row>
    <row r="1681" spans="1:10" ht="36.75" customHeight="1" x14ac:dyDescent="0.25">
      <c r="A1681" s="16">
        <v>13138</v>
      </c>
      <c r="B1681" s="17" t="s">
        <v>236</v>
      </c>
      <c r="C1681" s="17" t="s">
        <v>337</v>
      </c>
      <c r="D1681" s="17" t="s">
        <v>1179</v>
      </c>
      <c r="E1681" s="17" t="s">
        <v>239</v>
      </c>
      <c r="F1681" s="17" t="s">
        <v>62</v>
      </c>
      <c r="G1681" s="17" t="s">
        <v>1173</v>
      </c>
      <c r="H1681" s="18">
        <v>905.26</v>
      </c>
      <c r="I1681" s="18">
        <v>604.05999999999995</v>
      </c>
      <c r="J1681" s="7" t="str">
        <f>IFERROR(_xlfn.XLOOKUP(F1681,ccustos!A:A,ccustos!B:B),"Sem termo")</f>
        <v>SETRAN</v>
      </c>
    </row>
    <row r="1682" spans="1:10" ht="36.75" customHeight="1" x14ac:dyDescent="0.25">
      <c r="A1682" s="14">
        <v>13182</v>
      </c>
      <c r="B1682" s="7" t="s">
        <v>236</v>
      </c>
      <c r="C1682" s="7" t="s">
        <v>612</v>
      </c>
      <c r="D1682" s="7" t="s">
        <v>1180</v>
      </c>
      <c r="E1682" s="7" t="s">
        <v>335</v>
      </c>
      <c r="F1682" s="7" t="s">
        <v>192</v>
      </c>
      <c r="G1682" s="7" t="s">
        <v>1181</v>
      </c>
      <c r="H1682" s="15">
        <v>1521.75</v>
      </c>
      <c r="I1682" s="15">
        <v>1036.03</v>
      </c>
      <c r="J1682" s="7" t="str">
        <f>IFERROR(_xlfn.XLOOKUP(F1682,ccustos!A:A,ccustos!B:B),"Sem termo")</f>
        <v>SEPAT</v>
      </c>
    </row>
    <row r="1683" spans="1:10" ht="36.75" customHeight="1" x14ac:dyDescent="0.25">
      <c r="A1683" s="16">
        <v>13213</v>
      </c>
      <c r="B1683" s="17" t="s">
        <v>236</v>
      </c>
      <c r="C1683" s="17" t="s">
        <v>1182</v>
      </c>
      <c r="D1683" s="17" t="s">
        <v>1183</v>
      </c>
      <c r="E1683" s="17" t="s">
        <v>250</v>
      </c>
      <c r="F1683" s="17" t="s">
        <v>42</v>
      </c>
      <c r="G1683" s="17" t="s">
        <v>1184</v>
      </c>
      <c r="H1683" s="18">
        <v>349.9</v>
      </c>
      <c r="I1683" s="18">
        <v>205.31</v>
      </c>
      <c r="J1683" s="7" t="str">
        <f>IFERROR(_xlfn.XLOOKUP(F1683,ccustos!A:A,ccustos!B:B),"Sem termo")</f>
        <v>SEPAT</v>
      </c>
    </row>
    <row r="1684" spans="1:10" ht="25.5" customHeight="1" x14ac:dyDescent="0.25">
      <c r="A1684" s="14">
        <v>13214</v>
      </c>
      <c r="B1684" s="7" t="s">
        <v>236</v>
      </c>
      <c r="C1684" s="7" t="s">
        <v>1182</v>
      </c>
      <c r="D1684" s="7" t="s">
        <v>1183</v>
      </c>
      <c r="E1684" s="7" t="s">
        <v>250</v>
      </c>
      <c r="F1684" s="7" t="s">
        <v>42</v>
      </c>
      <c r="G1684" s="7" t="s">
        <v>1184</v>
      </c>
      <c r="H1684" s="15">
        <v>349.9</v>
      </c>
      <c r="I1684" s="15">
        <v>205.31</v>
      </c>
      <c r="J1684" s="7" t="str">
        <f>IFERROR(_xlfn.XLOOKUP(F1684,ccustos!A:A,ccustos!B:B),"Sem termo")</f>
        <v>SEPAT</v>
      </c>
    </row>
    <row r="1685" spans="1:10" ht="36.75" customHeight="1" x14ac:dyDescent="0.25">
      <c r="A1685" s="16">
        <v>13224</v>
      </c>
      <c r="B1685" s="17" t="s">
        <v>236</v>
      </c>
      <c r="C1685" s="17" t="s">
        <v>333</v>
      </c>
      <c r="D1685" s="17" t="s">
        <v>1170</v>
      </c>
      <c r="E1685" s="17" t="s">
        <v>335</v>
      </c>
      <c r="F1685" s="17" t="s">
        <v>205</v>
      </c>
      <c r="G1685" s="17" t="s">
        <v>1185</v>
      </c>
      <c r="H1685" s="18">
        <v>442.3</v>
      </c>
      <c r="I1685" s="18">
        <v>300.91000000000003</v>
      </c>
      <c r="J1685" s="7" t="str">
        <f>IFERROR(_xlfn.XLOOKUP(F1685,ccustos!A:A,ccustos!B:B),"Sem termo")</f>
        <v>CCOM</v>
      </c>
    </row>
    <row r="1686" spans="1:10" ht="25.5" customHeight="1" x14ac:dyDescent="0.25">
      <c r="A1686" s="14">
        <v>13225</v>
      </c>
      <c r="B1686" s="7" t="s">
        <v>236</v>
      </c>
      <c r="C1686" s="7" t="s">
        <v>333</v>
      </c>
      <c r="D1686" s="7" t="s">
        <v>1170</v>
      </c>
      <c r="E1686" s="7" t="s">
        <v>335</v>
      </c>
      <c r="F1686" s="7" t="s">
        <v>20</v>
      </c>
      <c r="G1686" s="7" t="s">
        <v>1185</v>
      </c>
      <c r="H1686" s="15">
        <v>442.3</v>
      </c>
      <c r="I1686" s="15">
        <v>300.91000000000003</v>
      </c>
      <c r="J1686" s="7" t="str">
        <f>IFERROR(_xlfn.XLOOKUP(F1686,ccustos!A:A,ccustos!B:B),"Sem termo")</f>
        <v>CGTI</v>
      </c>
    </row>
    <row r="1687" spans="1:10" ht="25.5" customHeight="1" x14ac:dyDescent="0.25">
      <c r="A1687" s="16">
        <v>13226</v>
      </c>
      <c r="B1687" s="17" t="s">
        <v>236</v>
      </c>
      <c r="C1687" s="17" t="s">
        <v>333</v>
      </c>
      <c r="D1687" s="17" t="s">
        <v>1170</v>
      </c>
      <c r="E1687" s="17" t="s">
        <v>335</v>
      </c>
      <c r="F1687" s="17" t="s">
        <v>20</v>
      </c>
      <c r="G1687" s="17" t="s">
        <v>1185</v>
      </c>
      <c r="H1687" s="18">
        <v>442.3</v>
      </c>
      <c r="I1687" s="18">
        <v>300.91000000000003</v>
      </c>
      <c r="J1687" s="7" t="str">
        <f>IFERROR(_xlfn.XLOOKUP(F1687,ccustos!A:A,ccustos!B:B),"Sem termo")</f>
        <v>CGTI</v>
      </c>
    </row>
    <row r="1688" spans="1:10" ht="25.5" customHeight="1" x14ac:dyDescent="0.25">
      <c r="A1688" s="14">
        <v>13227</v>
      </c>
      <c r="B1688" s="7" t="s">
        <v>236</v>
      </c>
      <c r="C1688" s="7" t="s">
        <v>333</v>
      </c>
      <c r="D1688" s="7" t="s">
        <v>1170</v>
      </c>
      <c r="E1688" s="7" t="s">
        <v>335</v>
      </c>
      <c r="F1688" s="7" t="s">
        <v>185</v>
      </c>
      <c r="G1688" s="7" t="s">
        <v>1185</v>
      </c>
      <c r="H1688" s="15">
        <v>442.3</v>
      </c>
      <c r="I1688" s="15">
        <v>300.91000000000003</v>
      </c>
      <c r="J1688" s="7" t="str">
        <f>IFERROR(_xlfn.XLOOKUP(F1688,ccustos!A:A,ccustos!B:B),"Sem termo")</f>
        <v>CGGE</v>
      </c>
    </row>
    <row r="1689" spans="1:10" ht="36.75" customHeight="1" x14ac:dyDescent="0.25">
      <c r="A1689" s="16">
        <v>13228</v>
      </c>
      <c r="B1689" s="17" t="s">
        <v>236</v>
      </c>
      <c r="C1689" s="17" t="s">
        <v>333</v>
      </c>
      <c r="D1689" s="17" t="s">
        <v>1170</v>
      </c>
      <c r="E1689" s="17" t="s">
        <v>335</v>
      </c>
      <c r="F1689" s="17" t="s">
        <v>256</v>
      </c>
      <c r="G1689" s="17" t="s">
        <v>1185</v>
      </c>
      <c r="H1689" s="18">
        <v>442.3</v>
      </c>
      <c r="I1689" s="18">
        <v>300.91000000000003</v>
      </c>
      <c r="J1689" s="7" t="str">
        <f>IFERROR(_xlfn.XLOOKUP(F1689,ccustos!A:A,ccustos!B:B),"Sem termo")</f>
        <v>Sem termo</v>
      </c>
    </row>
    <row r="1690" spans="1:10" ht="25.5" customHeight="1" x14ac:dyDescent="0.25">
      <c r="A1690" s="14">
        <v>13229</v>
      </c>
      <c r="B1690" s="7" t="s">
        <v>236</v>
      </c>
      <c r="C1690" s="7" t="s">
        <v>333</v>
      </c>
      <c r="D1690" s="7" t="s">
        <v>1170</v>
      </c>
      <c r="E1690" s="7" t="s">
        <v>335</v>
      </c>
      <c r="F1690" s="7" t="s">
        <v>20</v>
      </c>
      <c r="G1690" s="7" t="s">
        <v>1185</v>
      </c>
      <c r="H1690" s="15">
        <v>442.3</v>
      </c>
      <c r="I1690" s="15">
        <v>300.91000000000003</v>
      </c>
      <c r="J1690" s="7" t="str">
        <f>IFERROR(_xlfn.XLOOKUP(F1690,ccustos!A:A,ccustos!B:B),"Sem termo")</f>
        <v>CGTI</v>
      </c>
    </row>
    <row r="1691" spans="1:10" ht="36.75" customHeight="1" x14ac:dyDescent="0.25">
      <c r="A1691" s="16">
        <v>13230</v>
      </c>
      <c r="B1691" s="17" t="s">
        <v>236</v>
      </c>
      <c r="C1691" s="17" t="s">
        <v>1186</v>
      </c>
      <c r="D1691" s="17" t="s">
        <v>1187</v>
      </c>
      <c r="E1691" s="17" t="s">
        <v>239</v>
      </c>
      <c r="F1691" s="17" t="s">
        <v>82</v>
      </c>
      <c r="G1691" s="17" t="s">
        <v>1188</v>
      </c>
      <c r="H1691" s="18">
        <v>1600</v>
      </c>
      <c r="I1691" s="18">
        <v>1027.3699999999999</v>
      </c>
      <c r="J1691" s="7" t="str">
        <f>IFERROR(_xlfn.XLOOKUP(F1691,ccustos!A:A,ccustos!B:B),"Sem termo")</f>
        <v>SEPAT</v>
      </c>
    </row>
    <row r="1692" spans="1:10" ht="36.75" customHeight="1" x14ac:dyDescent="0.25">
      <c r="A1692" s="14">
        <v>13231</v>
      </c>
      <c r="B1692" s="7" t="s">
        <v>236</v>
      </c>
      <c r="C1692" s="7" t="s">
        <v>1186</v>
      </c>
      <c r="D1692" s="7" t="s">
        <v>1187</v>
      </c>
      <c r="E1692" s="7" t="s">
        <v>239</v>
      </c>
      <c r="F1692" s="7" t="s">
        <v>5</v>
      </c>
      <c r="G1692" s="7" t="s">
        <v>1188</v>
      </c>
      <c r="H1692" s="15">
        <v>1600</v>
      </c>
      <c r="I1692" s="15">
        <v>1027.3699999999999</v>
      </c>
      <c r="J1692" s="7" t="str">
        <f>IFERROR(_xlfn.XLOOKUP(F1692,ccustos!A:A,ccustos!B:B),"Sem termo")</f>
        <v>SEPAT</v>
      </c>
    </row>
    <row r="1693" spans="1:10" ht="36.75" customHeight="1" x14ac:dyDescent="0.25">
      <c r="A1693" s="16">
        <v>13232</v>
      </c>
      <c r="B1693" s="17" t="s">
        <v>236</v>
      </c>
      <c r="C1693" s="17" t="s">
        <v>306</v>
      </c>
      <c r="D1693" s="17" t="s">
        <v>1189</v>
      </c>
      <c r="E1693" s="17" t="s">
        <v>239</v>
      </c>
      <c r="F1693" s="17" t="s">
        <v>82</v>
      </c>
      <c r="G1693" s="17" t="s">
        <v>1188</v>
      </c>
      <c r="H1693" s="18">
        <v>1200</v>
      </c>
      <c r="I1693" s="18">
        <v>770.53</v>
      </c>
      <c r="J1693" s="7" t="str">
        <f>IFERROR(_xlfn.XLOOKUP(F1693,ccustos!A:A,ccustos!B:B),"Sem termo")</f>
        <v>SEPAT</v>
      </c>
    </row>
    <row r="1694" spans="1:10" ht="25.5" customHeight="1" x14ac:dyDescent="0.25">
      <c r="A1694" s="14">
        <v>13233</v>
      </c>
      <c r="B1694" s="7" t="s">
        <v>236</v>
      </c>
      <c r="C1694" s="7" t="s">
        <v>306</v>
      </c>
      <c r="D1694" s="7" t="s">
        <v>1189</v>
      </c>
      <c r="E1694" s="7" t="s">
        <v>239</v>
      </c>
      <c r="F1694" s="7" t="s">
        <v>82</v>
      </c>
      <c r="G1694" s="7" t="s">
        <v>1188</v>
      </c>
      <c r="H1694" s="15">
        <v>1200</v>
      </c>
      <c r="I1694" s="15">
        <v>770.53</v>
      </c>
      <c r="J1694" s="7" t="str">
        <f>IFERROR(_xlfn.XLOOKUP(F1694,ccustos!A:A,ccustos!B:B),"Sem termo")</f>
        <v>SEPAT</v>
      </c>
    </row>
    <row r="1695" spans="1:10" ht="36.75" customHeight="1" x14ac:dyDescent="0.25">
      <c r="A1695" s="16">
        <v>13234</v>
      </c>
      <c r="B1695" s="17" t="s">
        <v>236</v>
      </c>
      <c r="C1695" s="17" t="s">
        <v>306</v>
      </c>
      <c r="D1695" s="17" t="s">
        <v>1189</v>
      </c>
      <c r="E1695" s="17" t="s">
        <v>239</v>
      </c>
      <c r="F1695" s="17" t="s">
        <v>82</v>
      </c>
      <c r="G1695" s="17" t="s">
        <v>1188</v>
      </c>
      <c r="H1695" s="18">
        <v>1200</v>
      </c>
      <c r="I1695" s="18">
        <v>770.53</v>
      </c>
      <c r="J1695" s="7" t="str">
        <f>IFERROR(_xlfn.XLOOKUP(F1695,ccustos!A:A,ccustos!B:B),"Sem termo")</f>
        <v>SEPAT</v>
      </c>
    </row>
    <row r="1696" spans="1:10" ht="36.75" customHeight="1" x14ac:dyDescent="0.25">
      <c r="A1696" s="14">
        <v>13235</v>
      </c>
      <c r="B1696" s="7" t="s">
        <v>236</v>
      </c>
      <c r="C1696" s="7" t="s">
        <v>306</v>
      </c>
      <c r="D1696" s="7" t="s">
        <v>1190</v>
      </c>
      <c r="E1696" s="7" t="s">
        <v>239</v>
      </c>
      <c r="F1696" s="7" t="s">
        <v>82</v>
      </c>
      <c r="G1696" s="7" t="s">
        <v>1188</v>
      </c>
      <c r="H1696" s="15">
        <v>1420</v>
      </c>
      <c r="I1696" s="15">
        <v>911.79</v>
      </c>
      <c r="J1696" s="7" t="str">
        <f>IFERROR(_xlfn.XLOOKUP(F1696,ccustos!A:A,ccustos!B:B),"Sem termo")</f>
        <v>SEPAT</v>
      </c>
    </row>
    <row r="1697" spans="1:10" ht="36.75" customHeight="1" x14ac:dyDescent="0.25">
      <c r="A1697" s="16">
        <v>13236</v>
      </c>
      <c r="B1697" s="17" t="s">
        <v>236</v>
      </c>
      <c r="C1697" s="17" t="s">
        <v>306</v>
      </c>
      <c r="D1697" s="17" t="s">
        <v>1190</v>
      </c>
      <c r="E1697" s="17" t="s">
        <v>239</v>
      </c>
      <c r="F1697" s="17" t="s">
        <v>5</v>
      </c>
      <c r="G1697" s="17" t="s">
        <v>1188</v>
      </c>
      <c r="H1697" s="18">
        <v>1420</v>
      </c>
      <c r="I1697" s="18">
        <v>911.79</v>
      </c>
      <c r="J1697" s="7" t="str">
        <f>IFERROR(_xlfn.XLOOKUP(F1697,ccustos!A:A,ccustos!B:B),"Sem termo")</f>
        <v>SEPAT</v>
      </c>
    </row>
    <row r="1698" spans="1:10" ht="25.5" customHeight="1" x14ac:dyDescent="0.25">
      <c r="A1698" s="14">
        <v>13237</v>
      </c>
      <c r="B1698" s="7" t="s">
        <v>236</v>
      </c>
      <c r="C1698" s="7" t="s">
        <v>306</v>
      </c>
      <c r="D1698" s="7" t="s">
        <v>1191</v>
      </c>
      <c r="E1698" s="7" t="s">
        <v>239</v>
      </c>
      <c r="F1698" s="7" t="s">
        <v>5</v>
      </c>
      <c r="G1698" s="7" t="s">
        <v>1188</v>
      </c>
      <c r="H1698" s="15">
        <v>1000</v>
      </c>
      <c r="I1698" s="15">
        <v>642.11</v>
      </c>
      <c r="J1698" s="7" t="str">
        <f>IFERROR(_xlfn.XLOOKUP(F1698,ccustos!A:A,ccustos!B:B),"Sem termo")</f>
        <v>SEPAT</v>
      </c>
    </row>
    <row r="1699" spans="1:10" ht="36.75" customHeight="1" x14ac:dyDescent="0.25">
      <c r="A1699" s="16">
        <v>13238</v>
      </c>
      <c r="B1699" s="17" t="s">
        <v>236</v>
      </c>
      <c r="C1699" s="17" t="s">
        <v>306</v>
      </c>
      <c r="D1699" s="17" t="s">
        <v>1191</v>
      </c>
      <c r="E1699" s="17" t="s">
        <v>239</v>
      </c>
      <c r="F1699" s="17" t="s">
        <v>5</v>
      </c>
      <c r="G1699" s="17" t="s">
        <v>1188</v>
      </c>
      <c r="H1699" s="18">
        <v>1000</v>
      </c>
      <c r="I1699" s="18">
        <v>642.11</v>
      </c>
      <c r="J1699" s="7" t="str">
        <f>IFERROR(_xlfn.XLOOKUP(F1699,ccustos!A:A,ccustos!B:B),"Sem termo")</f>
        <v>SEPAT</v>
      </c>
    </row>
    <row r="1700" spans="1:10" ht="36.75" customHeight="1" x14ac:dyDescent="0.25">
      <c r="A1700" s="14">
        <v>13239</v>
      </c>
      <c r="B1700" s="7" t="s">
        <v>236</v>
      </c>
      <c r="C1700" s="7" t="s">
        <v>306</v>
      </c>
      <c r="D1700" s="7" t="s">
        <v>1192</v>
      </c>
      <c r="E1700" s="7" t="s">
        <v>239</v>
      </c>
      <c r="F1700" s="7" t="s">
        <v>5</v>
      </c>
      <c r="G1700" s="7" t="s">
        <v>1188</v>
      </c>
      <c r="H1700" s="15">
        <v>1430</v>
      </c>
      <c r="I1700" s="15">
        <v>917.65</v>
      </c>
      <c r="J1700" s="7" t="str">
        <f>IFERROR(_xlfn.XLOOKUP(F1700,ccustos!A:A,ccustos!B:B),"Sem termo")</f>
        <v>SEPAT</v>
      </c>
    </row>
    <row r="1701" spans="1:10" ht="25.5" customHeight="1" x14ac:dyDescent="0.25">
      <c r="A1701" s="16">
        <v>13240</v>
      </c>
      <c r="B1701" s="17" t="s">
        <v>236</v>
      </c>
      <c r="C1701" s="17" t="s">
        <v>306</v>
      </c>
      <c r="D1701" s="17" t="s">
        <v>1192</v>
      </c>
      <c r="E1701" s="17" t="s">
        <v>239</v>
      </c>
      <c r="F1701" s="17" t="s">
        <v>82</v>
      </c>
      <c r="G1701" s="17" t="s">
        <v>1188</v>
      </c>
      <c r="H1701" s="18">
        <v>1430</v>
      </c>
      <c r="I1701" s="18">
        <v>917.65</v>
      </c>
      <c r="J1701" s="7" t="str">
        <f>IFERROR(_xlfn.XLOOKUP(F1701,ccustos!A:A,ccustos!B:B),"Sem termo")</f>
        <v>SEPAT</v>
      </c>
    </row>
    <row r="1702" spans="1:10" ht="25.5" customHeight="1" x14ac:dyDescent="0.25">
      <c r="A1702" s="14">
        <v>13243</v>
      </c>
      <c r="B1702" s="7" t="s">
        <v>236</v>
      </c>
      <c r="C1702" s="7" t="s">
        <v>471</v>
      </c>
      <c r="D1702" s="7" t="s">
        <v>1193</v>
      </c>
      <c r="E1702" s="7" t="s">
        <v>335</v>
      </c>
      <c r="F1702" s="7" t="s">
        <v>27</v>
      </c>
      <c r="G1702" s="7" t="s">
        <v>1194</v>
      </c>
      <c r="H1702" s="15">
        <v>2950</v>
      </c>
      <c r="I1702" s="15">
        <v>2362.94</v>
      </c>
      <c r="J1702" s="7" t="str">
        <f>IFERROR(_xlfn.XLOOKUP(F1702,ccustos!A:A,ccustos!B:B),"Sem termo")</f>
        <v>CCI</v>
      </c>
    </row>
    <row r="1703" spans="1:10" ht="36.75" customHeight="1" x14ac:dyDescent="0.25">
      <c r="A1703" s="16">
        <v>13244</v>
      </c>
      <c r="B1703" s="17" t="s">
        <v>236</v>
      </c>
      <c r="C1703" s="17" t="s">
        <v>471</v>
      </c>
      <c r="D1703" s="17" t="s">
        <v>1195</v>
      </c>
      <c r="E1703" s="17" t="s">
        <v>335</v>
      </c>
      <c r="F1703" s="17" t="s">
        <v>20</v>
      </c>
      <c r="G1703" s="17" t="s">
        <v>1194</v>
      </c>
      <c r="H1703" s="18">
        <v>2950</v>
      </c>
      <c r="I1703" s="18">
        <v>2362.94</v>
      </c>
      <c r="J1703" s="7" t="str">
        <f>IFERROR(_xlfn.XLOOKUP(F1703,ccustos!A:A,ccustos!B:B),"Sem termo")</f>
        <v>CGTI</v>
      </c>
    </row>
    <row r="1704" spans="1:10" ht="36.75" customHeight="1" x14ac:dyDescent="0.25">
      <c r="A1704" s="14">
        <v>13245</v>
      </c>
      <c r="B1704" s="7" t="s">
        <v>236</v>
      </c>
      <c r="C1704" s="7" t="s">
        <v>471</v>
      </c>
      <c r="D1704" s="7" t="s">
        <v>1196</v>
      </c>
      <c r="E1704" s="7" t="s">
        <v>335</v>
      </c>
      <c r="F1704" s="7" t="s">
        <v>213</v>
      </c>
      <c r="G1704" s="7" t="s">
        <v>1194</v>
      </c>
      <c r="H1704" s="15">
        <v>2950</v>
      </c>
      <c r="I1704" s="15">
        <v>2362.94</v>
      </c>
      <c r="J1704" s="7" t="str">
        <f>IFERROR(_xlfn.XLOOKUP(F1704,ccustos!A:A,ccustos!B:B),"Sem termo")</f>
        <v>DIEPG</v>
      </c>
    </row>
    <row r="1705" spans="1:10" ht="25.5" customHeight="1" x14ac:dyDescent="0.25">
      <c r="A1705" s="16">
        <v>13246</v>
      </c>
      <c r="B1705" s="17" t="s">
        <v>236</v>
      </c>
      <c r="C1705" s="17" t="s">
        <v>471</v>
      </c>
      <c r="D1705" s="17" t="s">
        <v>1196</v>
      </c>
      <c r="E1705" s="17" t="s">
        <v>335</v>
      </c>
      <c r="F1705" s="17" t="s">
        <v>8</v>
      </c>
      <c r="G1705" s="17" t="s">
        <v>1194</v>
      </c>
      <c r="H1705" s="18">
        <v>2950</v>
      </c>
      <c r="I1705" s="18">
        <v>2362.94</v>
      </c>
      <c r="J1705" s="7" t="str">
        <f>IFERROR(_xlfn.XLOOKUP(F1705,ccustos!A:A,ccustos!B:B),"Sem termo")</f>
        <v>DEINFRA</v>
      </c>
    </row>
    <row r="1706" spans="1:10" ht="25.5" customHeight="1" x14ac:dyDescent="0.25">
      <c r="A1706" s="14">
        <v>13247</v>
      </c>
      <c r="B1706" s="7" t="s">
        <v>236</v>
      </c>
      <c r="C1706" s="7" t="s">
        <v>471</v>
      </c>
      <c r="D1706" s="7" t="s">
        <v>1197</v>
      </c>
      <c r="E1706" s="7" t="s">
        <v>335</v>
      </c>
      <c r="F1706" s="7" t="s">
        <v>63</v>
      </c>
      <c r="G1706" s="7" t="s">
        <v>1194</v>
      </c>
      <c r="H1706" s="15">
        <v>2950</v>
      </c>
      <c r="I1706" s="15">
        <v>2362.94</v>
      </c>
      <c r="J1706" s="7" t="str">
        <f>IFERROR(_xlfn.XLOOKUP(F1706,ccustos!A:A,ccustos!B:B),"Sem termo")</f>
        <v>SEPAT</v>
      </c>
    </row>
    <row r="1707" spans="1:10" ht="36.75" customHeight="1" x14ac:dyDescent="0.25">
      <c r="A1707" s="16">
        <v>13248</v>
      </c>
      <c r="B1707" s="17" t="s">
        <v>236</v>
      </c>
      <c r="C1707" s="17" t="s">
        <v>471</v>
      </c>
      <c r="D1707" s="17" t="s">
        <v>1198</v>
      </c>
      <c r="E1707" s="17" t="s">
        <v>335</v>
      </c>
      <c r="F1707" s="17" t="s">
        <v>30</v>
      </c>
      <c r="G1707" s="17" t="s">
        <v>1194</v>
      </c>
      <c r="H1707" s="18">
        <v>2950</v>
      </c>
      <c r="I1707" s="18">
        <v>2362.94</v>
      </c>
      <c r="J1707" s="7" t="str">
        <f>IFERROR(_xlfn.XLOOKUP(F1707,ccustos!A:A,ccustos!B:B),"Sem termo")</f>
        <v>COFIS</v>
      </c>
    </row>
    <row r="1708" spans="1:10" ht="36.75" customHeight="1" x14ac:dyDescent="0.25">
      <c r="A1708" s="14">
        <v>13249</v>
      </c>
      <c r="B1708" s="7" t="s">
        <v>236</v>
      </c>
      <c r="C1708" s="7" t="s">
        <v>471</v>
      </c>
      <c r="D1708" s="7" t="s">
        <v>1196</v>
      </c>
      <c r="E1708" s="7" t="s">
        <v>335</v>
      </c>
      <c r="F1708" s="7" t="s">
        <v>20</v>
      </c>
      <c r="G1708" s="7" t="s">
        <v>1194</v>
      </c>
      <c r="H1708" s="15">
        <v>2950</v>
      </c>
      <c r="I1708" s="15">
        <v>2362.94</v>
      </c>
      <c r="J1708" s="7" t="str">
        <f>IFERROR(_xlfn.XLOOKUP(F1708,ccustos!A:A,ccustos!B:B),"Sem termo")</f>
        <v>CGTI</v>
      </c>
    </row>
    <row r="1709" spans="1:10" ht="25.5" customHeight="1" x14ac:dyDescent="0.25">
      <c r="A1709" s="16">
        <v>13254</v>
      </c>
      <c r="B1709" s="17" t="s">
        <v>236</v>
      </c>
      <c r="C1709" s="17" t="s">
        <v>471</v>
      </c>
      <c r="D1709" s="17" t="s">
        <v>1196</v>
      </c>
      <c r="E1709" s="17" t="s">
        <v>335</v>
      </c>
      <c r="F1709" s="17" t="s">
        <v>205</v>
      </c>
      <c r="G1709" s="17" t="s">
        <v>1194</v>
      </c>
      <c r="H1709" s="18">
        <v>2950</v>
      </c>
      <c r="I1709" s="18">
        <v>2362.94</v>
      </c>
      <c r="J1709" s="7" t="str">
        <f>IFERROR(_xlfn.XLOOKUP(F1709,ccustos!A:A,ccustos!B:B),"Sem termo")</f>
        <v>CCOM</v>
      </c>
    </row>
    <row r="1710" spans="1:10" ht="25.5" customHeight="1" x14ac:dyDescent="0.25">
      <c r="A1710" s="14">
        <v>13265</v>
      </c>
      <c r="B1710" s="7" t="s">
        <v>236</v>
      </c>
      <c r="C1710" s="7" t="s">
        <v>752</v>
      </c>
      <c r="D1710" s="7" t="s">
        <v>1199</v>
      </c>
      <c r="E1710" s="7" t="s">
        <v>335</v>
      </c>
      <c r="F1710" s="7" t="s">
        <v>192</v>
      </c>
      <c r="G1710" s="7" t="s">
        <v>1200</v>
      </c>
      <c r="H1710" s="15">
        <v>1165</v>
      </c>
      <c r="I1710" s="15">
        <v>659.51</v>
      </c>
      <c r="J1710" s="7" t="str">
        <f>IFERROR(_xlfn.XLOOKUP(F1710,ccustos!A:A,ccustos!B:B),"Sem termo")</f>
        <v>SEPAT</v>
      </c>
    </row>
    <row r="1711" spans="1:10" ht="25.5" customHeight="1" x14ac:dyDescent="0.25">
      <c r="A1711" s="16">
        <v>13269</v>
      </c>
      <c r="B1711" s="17" t="s">
        <v>236</v>
      </c>
      <c r="C1711" s="17" t="s">
        <v>237</v>
      </c>
      <c r="D1711" s="17" t="s">
        <v>1201</v>
      </c>
      <c r="E1711" s="17" t="s">
        <v>239</v>
      </c>
      <c r="F1711" s="17" t="s">
        <v>14</v>
      </c>
      <c r="G1711" s="17" t="s">
        <v>1202</v>
      </c>
      <c r="H1711" s="18">
        <v>1755</v>
      </c>
      <c r="I1711" s="18">
        <v>1500.72</v>
      </c>
      <c r="J1711" s="7" t="str">
        <f>IFERROR(_xlfn.XLOOKUP(F1711,ccustos!A:A,ccustos!B:B),"Sem termo")</f>
        <v>SEPAT</v>
      </c>
    </row>
    <row r="1712" spans="1:10" ht="36.75" customHeight="1" x14ac:dyDescent="0.25">
      <c r="A1712" s="14">
        <v>13270</v>
      </c>
      <c r="B1712" s="7" t="s">
        <v>236</v>
      </c>
      <c r="C1712" s="7" t="s">
        <v>237</v>
      </c>
      <c r="D1712" s="7" t="s">
        <v>1201</v>
      </c>
      <c r="E1712" s="7" t="s">
        <v>239</v>
      </c>
      <c r="F1712" s="7" t="s">
        <v>14</v>
      </c>
      <c r="G1712" s="7" t="s">
        <v>1202</v>
      </c>
      <c r="H1712" s="15">
        <v>1755</v>
      </c>
      <c r="I1712" s="15">
        <v>1500.72</v>
      </c>
      <c r="J1712" s="7" t="str">
        <f>IFERROR(_xlfn.XLOOKUP(F1712,ccustos!A:A,ccustos!B:B),"Sem termo")</f>
        <v>SEPAT</v>
      </c>
    </row>
    <row r="1713" spans="1:10" ht="25.5" customHeight="1" x14ac:dyDescent="0.25">
      <c r="A1713" s="16">
        <v>13271</v>
      </c>
      <c r="B1713" s="17" t="s">
        <v>236</v>
      </c>
      <c r="C1713" s="17" t="s">
        <v>237</v>
      </c>
      <c r="D1713" s="17" t="s">
        <v>1201</v>
      </c>
      <c r="E1713" s="17" t="s">
        <v>239</v>
      </c>
      <c r="F1713" s="17" t="s">
        <v>14</v>
      </c>
      <c r="G1713" s="17" t="s">
        <v>1202</v>
      </c>
      <c r="H1713" s="18">
        <v>1755</v>
      </c>
      <c r="I1713" s="18">
        <v>1500.72</v>
      </c>
      <c r="J1713" s="7" t="str">
        <f>IFERROR(_xlfn.XLOOKUP(F1713,ccustos!A:A,ccustos!B:B),"Sem termo")</f>
        <v>SEPAT</v>
      </c>
    </row>
    <row r="1714" spans="1:10" ht="25.5" customHeight="1" x14ac:dyDescent="0.25">
      <c r="A1714" s="14">
        <v>13272</v>
      </c>
      <c r="B1714" s="7" t="s">
        <v>236</v>
      </c>
      <c r="C1714" s="7" t="s">
        <v>237</v>
      </c>
      <c r="D1714" s="7" t="s">
        <v>1201</v>
      </c>
      <c r="E1714" s="7" t="s">
        <v>239</v>
      </c>
      <c r="F1714" s="7" t="s">
        <v>14</v>
      </c>
      <c r="G1714" s="7" t="s">
        <v>1202</v>
      </c>
      <c r="H1714" s="15">
        <v>1755</v>
      </c>
      <c r="I1714" s="15">
        <v>1500.72</v>
      </c>
      <c r="J1714" s="7" t="str">
        <f>IFERROR(_xlfn.XLOOKUP(F1714,ccustos!A:A,ccustos!B:B),"Sem termo")</f>
        <v>SEPAT</v>
      </c>
    </row>
    <row r="1715" spans="1:10" ht="25.5" customHeight="1" x14ac:dyDescent="0.25">
      <c r="A1715" s="16">
        <v>13273</v>
      </c>
      <c r="B1715" s="17" t="s">
        <v>236</v>
      </c>
      <c r="C1715" s="17" t="s">
        <v>237</v>
      </c>
      <c r="D1715" s="17" t="s">
        <v>1201</v>
      </c>
      <c r="E1715" s="17" t="s">
        <v>239</v>
      </c>
      <c r="F1715" s="17" t="s">
        <v>14</v>
      </c>
      <c r="G1715" s="17" t="s">
        <v>1202</v>
      </c>
      <c r="H1715" s="18">
        <v>1755</v>
      </c>
      <c r="I1715" s="18">
        <v>1500.72</v>
      </c>
      <c r="J1715" s="7" t="str">
        <f>IFERROR(_xlfn.XLOOKUP(F1715,ccustos!A:A,ccustos!B:B),"Sem termo")</f>
        <v>SEPAT</v>
      </c>
    </row>
    <row r="1716" spans="1:10" ht="36.75" customHeight="1" x14ac:dyDescent="0.25">
      <c r="A1716" s="14">
        <v>13274</v>
      </c>
      <c r="B1716" s="7" t="s">
        <v>236</v>
      </c>
      <c r="C1716" s="7" t="s">
        <v>237</v>
      </c>
      <c r="D1716" s="7" t="s">
        <v>1201</v>
      </c>
      <c r="E1716" s="7" t="s">
        <v>239</v>
      </c>
      <c r="F1716" s="7" t="s">
        <v>14</v>
      </c>
      <c r="G1716" s="7" t="s">
        <v>1202</v>
      </c>
      <c r="H1716" s="15">
        <v>1755</v>
      </c>
      <c r="I1716" s="15">
        <v>1500.72</v>
      </c>
      <c r="J1716" s="7" t="str">
        <f>IFERROR(_xlfn.XLOOKUP(F1716,ccustos!A:A,ccustos!B:B),"Sem termo")</f>
        <v>SEPAT</v>
      </c>
    </row>
    <row r="1717" spans="1:10" ht="25.5" customHeight="1" x14ac:dyDescent="0.25">
      <c r="A1717" s="16">
        <v>13275</v>
      </c>
      <c r="B1717" s="17" t="s">
        <v>236</v>
      </c>
      <c r="C1717" s="17" t="s">
        <v>237</v>
      </c>
      <c r="D1717" s="17" t="s">
        <v>1201</v>
      </c>
      <c r="E1717" s="17" t="s">
        <v>239</v>
      </c>
      <c r="F1717" s="17" t="s">
        <v>14</v>
      </c>
      <c r="G1717" s="17" t="s">
        <v>1202</v>
      </c>
      <c r="H1717" s="18">
        <v>1755</v>
      </c>
      <c r="I1717" s="18">
        <v>1500.72</v>
      </c>
      <c r="J1717" s="7" t="str">
        <f>IFERROR(_xlfn.XLOOKUP(F1717,ccustos!A:A,ccustos!B:B),"Sem termo")</f>
        <v>SEPAT</v>
      </c>
    </row>
    <row r="1718" spans="1:10" ht="36.75" customHeight="1" x14ac:dyDescent="0.25">
      <c r="A1718" s="14">
        <v>13276</v>
      </c>
      <c r="B1718" s="7" t="s">
        <v>236</v>
      </c>
      <c r="C1718" s="7" t="s">
        <v>237</v>
      </c>
      <c r="D1718" s="7" t="s">
        <v>1201</v>
      </c>
      <c r="E1718" s="7" t="s">
        <v>239</v>
      </c>
      <c r="F1718" s="7" t="s">
        <v>14</v>
      </c>
      <c r="G1718" s="7" t="s">
        <v>1202</v>
      </c>
      <c r="H1718" s="15">
        <v>1755</v>
      </c>
      <c r="I1718" s="15">
        <v>1500.72</v>
      </c>
      <c r="J1718" s="7" t="str">
        <f>IFERROR(_xlfn.XLOOKUP(F1718,ccustos!A:A,ccustos!B:B),"Sem termo")</f>
        <v>SEPAT</v>
      </c>
    </row>
    <row r="1719" spans="1:10" ht="25.5" customHeight="1" x14ac:dyDescent="0.25">
      <c r="A1719" s="16">
        <v>13277</v>
      </c>
      <c r="B1719" s="17" t="s">
        <v>236</v>
      </c>
      <c r="C1719" s="17" t="s">
        <v>237</v>
      </c>
      <c r="D1719" s="17" t="s">
        <v>1201</v>
      </c>
      <c r="E1719" s="17" t="s">
        <v>239</v>
      </c>
      <c r="F1719" s="17" t="s">
        <v>14</v>
      </c>
      <c r="G1719" s="17" t="s">
        <v>1202</v>
      </c>
      <c r="H1719" s="18">
        <v>1755</v>
      </c>
      <c r="I1719" s="18">
        <v>1500.72</v>
      </c>
      <c r="J1719" s="7" t="str">
        <f>IFERROR(_xlfn.XLOOKUP(F1719,ccustos!A:A,ccustos!B:B),"Sem termo")</f>
        <v>SEPAT</v>
      </c>
    </row>
    <row r="1720" spans="1:10" ht="25.5" customHeight="1" x14ac:dyDescent="0.25">
      <c r="A1720" s="14">
        <v>13278</v>
      </c>
      <c r="B1720" s="7" t="s">
        <v>236</v>
      </c>
      <c r="C1720" s="7" t="s">
        <v>237</v>
      </c>
      <c r="D1720" s="7" t="s">
        <v>1201</v>
      </c>
      <c r="E1720" s="7" t="s">
        <v>239</v>
      </c>
      <c r="F1720" s="7" t="s">
        <v>14</v>
      </c>
      <c r="G1720" s="7" t="s">
        <v>1202</v>
      </c>
      <c r="H1720" s="15">
        <v>1755</v>
      </c>
      <c r="I1720" s="15">
        <v>1500.72</v>
      </c>
      <c r="J1720" s="7" t="str">
        <f>IFERROR(_xlfn.XLOOKUP(F1720,ccustos!A:A,ccustos!B:B),"Sem termo")</f>
        <v>SEPAT</v>
      </c>
    </row>
    <row r="1721" spans="1:10" ht="36.75" customHeight="1" x14ac:dyDescent="0.25">
      <c r="A1721" s="16">
        <v>13279</v>
      </c>
      <c r="B1721" s="17" t="s">
        <v>236</v>
      </c>
      <c r="C1721" s="17" t="s">
        <v>237</v>
      </c>
      <c r="D1721" s="17" t="s">
        <v>1201</v>
      </c>
      <c r="E1721" s="17" t="s">
        <v>239</v>
      </c>
      <c r="F1721" s="17" t="s">
        <v>14</v>
      </c>
      <c r="G1721" s="17" t="s">
        <v>1202</v>
      </c>
      <c r="H1721" s="18">
        <v>1755</v>
      </c>
      <c r="I1721" s="18">
        <v>1500.72</v>
      </c>
      <c r="J1721" s="7" t="str">
        <f>IFERROR(_xlfn.XLOOKUP(F1721,ccustos!A:A,ccustos!B:B),"Sem termo")</f>
        <v>SEPAT</v>
      </c>
    </row>
    <row r="1722" spans="1:10" ht="25.5" customHeight="1" x14ac:dyDescent="0.25">
      <c r="A1722" s="14">
        <v>13280</v>
      </c>
      <c r="B1722" s="7" t="s">
        <v>236</v>
      </c>
      <c r="C1722" s="7" t="s">
        <v>237</v>
      </c>
      <c r="D1722" s="7" t="s">
        <v>1201</v>
      </c>
      <c r="E1722" s="7" t="s">
        <v>239</v>
      </c>
      <c r="F1722" s="7" t="s">
        <v>14</v>
      </c>
      <c r="G1722" s="7" t="s">
        <v>1202</v>
      </c>
      <c r="H1722" s="15">
        <v>1755</v>
      </c>
      <c r="I1722" s="15">
        <v>1500.72</v>
      </c>
      <c r="J1722" s="7" t="str">
        <f>IFERROR(_xlfn.XLOOKUP(F1722,ccustos!A:A,ccustos!B:B),"Sem termo")</f>
        <v>SEPAT</v>
      </c>
    </row>
    <row r="1723" spans="1:10" ht="36.75" customHeight="1" x14ac:dyDescent="0.25">
      <c r="A1723" s="16">
        <v>13281</v>
      </c>
      <c r="B1723" s="17" t="s">
        <v>236</v>
      </c>
      <c r="C1723" s="17" t="s">
        <v>237</v>
      </c>
      <c r="D1723" s="17" t="s">
        <v>1201</v>
      </c>
      <c r="E1723" s="17" t="s">
        <v>239</v>
      </c>
      <c r="F1723" s="17" t="s">
        <v>14</v>
      </c>
      <c r="G1723" s="17" t="s">
        <v>1202</v>
      </c>
      <c r="H1723" s="18">
        <v>1755</v>
      </c>
      <c r="I1723" s="18">
        <v>1500.72</v>
      </c>
      <c r="J1723" s="7" t="str">
        <f>IFERROR(_xlfn.XLOOKUP(F1723,ccustos!A:A,ccustos!B:B),"Sem termo")</f>
        <v>SEPAT</v>
      </c>
    </row>
    <row r="1724" spans="1:10" ht="36.75" customHeight="1" x14ac:dyDescent="0.25">
      <c r="A1724" s="14">
        <v>13282</v>
      </c>
      <c r="B1724" s="7" t="s">
        <v>236</v>
      </c>
      <c r="C1724" s="7" t="s">
        <v>237</v>
      </c>
      <c r="D1724" s="7" t="s">
        <v>1201</v>
      </c>
      <c r="E1724" s="7" t="s">
        <v>239</v>
      </c>
      <c r="F1724" s="7" t="s">
        <v>14</v>
      </c>
      <c r="G1724" s="7" t="s">
        <v>1202</v>
      </c>
      <c r="H1724" s="15">
        <v>1755</v>
      </c>
      <c r="I1724" s="15">
        <v>1500.72</v>
      </c>
      <c r="J1724" s="7" t="str">
        <f>IFERROR(_xlfn.XLOOKUP(F1724,ccustos!A:A,ccustos!B:B),"Sem termo")</f>
        <v>SEPAT</v>
      </c>
    </row>
    <row r="1725" spans="1:10" ht="36.75" customHeight="1" x14ac:dyDescent="0.25">
      <c r="A1725" s="16">
        <v>13283</v>
      </c>
      <c r="B1725" s="17" t="s">
        <v>236</v>
      </c>
      <c r="C1725" s="17" t="s">
        <v>237</v>
      </c>
      <c r="D1725" s="17" t="s">
        <v>1201</v>
      </c>
      <c r="E1725" s="17" t="s">
        <v>239</v>
      </c>
      <c r="F1725" s="17" t="s">
        <v>14</v>
      </c>
      <c r="G1725" s="17" t="s">
        <v>1202</v>
      </c>
      <c r="H1725" s="18">
        <v>1755</v>
      </c>
      <c r="I1725" s="18">
        <v>1500.72</v>
      </c>
      <c r="J1725" s="7" t="str">
        <f>IFERROR(_xlfn.XLOOKUP(F1725,ccustos!A:A,ccustos!B:B),"Sem termo")</f>
        <v>SEPAT</v>
      </c>
    </row>
    <row r="1726" spans="1:10" ht="25.5" customHeight="1" x14ac:dyDescent="0.25">
      <c r="A1726" s="14">
        <v>13284</v>
      </c>
      <c r="B1726" s="7" t="s">
        <v>236</v>
      </c>
      <c r="C1726" s="7" t="s">
        <v>237</v>
      </c>
      <c r="D1726" s="7" t="s">
        <v>1201</v>
      </c>
      <c r="E1726" s="7" t="s">
        <v>239</v>
      </c>
      <c r="F1726" s="7" t="s">
        <v>14</v>
      </c>
      <c r="G1726" s="7" t="s">
        <v>1202</v>
      </c>
      <c r="H1726" s="15">
        <v>1755</v>
      </c>
      <c r="I1726" s="15">
        <v>1500.72</v>
      </c>
      <c r="J1726" s="7" t="str">
        <f>IFERROR(_xlfn.XLOOKUP(F1726,ccustos!A:A,ccustos!B:B),"Sem termo")</f>
        <v>SEPAT</v>
      </c>
    </row>
    <row r="1727" spans="1:10" ht="25.5" customHeight="1" x14ac:dyDescent="0.25">
      <c r="A1727" s="16">
        <v>13285</v>
      </c>
      <c r="B1727" s="17" t="s">
        <v>236</v>
      </c>
      <c r="C1727" s="17" t="s">
        <v>237</v>
      </c>
      <c r="D1727" s="17" t="s">
        <v>1201</v>
      </c>
      <c r="E1727" s="17" t="s">
        <v>239</v>
      </c>
      <c r="F1727" s="17" t="s">
        <v>14</v>
      </c>
      <c r="G1727" s="17" t="s">
        <v>1202</v>
      </c>
      <c r="H1727" s="18">
        <v>1755</v>
      </c>
      <c r="I1727" s="18">
        <v>1500.72</v>
      </c>
      <c r="J1727" s="7" t="str">
        <f>IFERROR(_xlfn.XLOOKUP(F1727,ccustos!A:A,ccustos!B:B),"Sem termo")</f>
        <v>SEPAT</v>
      </c>
    </row>
    <row r="1728" spans="1:10" ht="25.5" customHeight="1" x14ac:dyDescent="0.25">
      <c r="A1728" s="14">
        <v>13286</v>
      </c>
      <c r="B1728" s="7" t="s">
        <v>236</v>
      </c>
      <c r="C1728" s="7" t="s">
        <v>237</v>
      </c>
      <c r="D1728" s="7" t="s">
        <v>1201</v>
      </c>
      <c r="E1728" s="7" t="s">
        <v>239</v>
      </c>
      <c r="F1728" s="7" t="s">
        <v>14</v>
      </c>
      <c r="G1728" s="7" t="s">
        <v>1202</v>
      </c>
      <c r="H1728" s="15">
        <v>1755</v>
      </c>
      <c r="I1728" s="15">
        <v>1500.72</v>
      </c>
      <c r="J1728" s="7" t="str">
        <f>IFERROR(_xlfn.XLOOKUP(F1728,ccustos!A:A,ccustos!B:B),"Sem termo")</f>
        <v>SEPAT</v>
      </c>
    </row>
    <row r="1729" spans="1:10" ht="36.75" customHeight="1" x14ac:dyDescent="0.25">
      <c r="A1729" s="16">
        <v>13287</v>
      </c>
      <c r="B1729" s="17" t="s">
        <v>236</v>
      </c>
      <c r="C1729" s="17" t="s">
        <v>237</v>
      </c>
      <c r="D1729" s="17" t="s">
        <v>1201</v>
      </c>
      <c r="E1729" s="17" t="s">
        <v>239</v>
      </c>
      <c r="F1729" s="17" t="s">
        <v>14</v>
      </c>
      <c r="G1729" s="17" t="s">
        <v>1202</v>
      </c>
      <c r="H1729" s="18">
        <v>1755</v>
      </c>
      <c r="I1729" s="18">
        <v>1500.72</v>
      </c>
      <c r="J1729" s="7" t="str">
        <f>IFERROR(_xlfn.XLOOKUP(F1729,ccustos!A:A,ccustos!B:B),"Sem termo")</f>
        <v>SEPAT</v>
      </c>
    </row>
    <row r="1730" spans="1:10" ht="25.5" customHeight="1" x14ac:dyDescent="0.25">
      <c r="A1730" s="14">
        <v>13288</v>
      </c>
      <c r="B1730" s="7" t="s">
        <v>236</v>
      </c>
      <c r="C1730" s="7" t="s">
        <v>237</v>
      </c>
      <c r="D1730" s="7" t="s">
        <v>1201</v>
      </c>
      <c r="E1730" s="7" t="s">
        <v>239</v>
      </c>
      <c r="F1730" s="7" t="s">
        <v>14</v>
      </c>
      <c r="G1730" s="7" t="s">
        <v>1202</v>
      </c>
      <c r="H1730" s="15">
        <v>1755</v>
      </c>
      <c r="I1730" s="15">
        <v>1500.72</v>
      </c>
      <c r="J1730" s="7" t="str">
        <f>IFERROR(_xlfn.XLOOKUP(F1730,ccustos!A:A,ccustos!B:B),"Sem termo")</f>
        <v>SEPAT</v>
      </c>
    </row>
    <row r="1731" spans="1:10" ht="25.5" customHeight="1" x14ac:dyDescent="0.25">
      <c r="A1731" s="16">
        <v>13289</v>
      </c>
      <c r="B1731" s="17" t="s">
        <v>236</v>
      </c>
      <c r="C1731" s="17" t="s">
        <v>237</v>
      </c>
      <c r="D1731" s="17" t="s">
        <v>1201</v>
      </c>
      <c r="E1731" s="17" t="s">
        <v>239</v>
      </c>
      <c r="F1731" s="17" t="s">
        <v>14</v>
      </c>
      <c r="G1731" s="17" t="s">
        <v>1202</v>
      </c>
      <c r="H1731" s="18">
        <v>1755</v>
      </c>
      <c r="I1731" s="18">
        <v>1500.72</v>
      </c>
      <c r="J1731" s="7" t="str">
        <f>IFERROR(_xlfn.XLOOKUP(F1731,ccustos!A:A,ccustos!B:B),"Sem termo")</f>
        <v>SEPAT</v>
      </c>
    </row>
    <row r="1732" spans="1:10" ht="25.5" customHeight="1" x14ac:dyDescent="0.25">
      <c r="A1732" s="14">
        <v>13290</v>
      </c>
      <c r="B1732" s="7" t="s">
        <v>236</v>
      </c>
      <c r="C1732" s="7" t="s">
        <v>237</v>
      </c>
      <c r="D1732" s="7" t="s">
        <v>1201</v>
      </c>
      <c r="E1732" s="7" t="s">
        <v>239</v>
      </c>
      <c r="F1732" s="7" t="s">
        <v>14</v>
      </c>
      <c r="G1732" s="7" t="s">
        <v>1202</v>
      </c>
      <c r="H1732" s="15">
        <v>1755</v>
      </c>
      <c r="I1732" s="15">
        <v>1500.72</v>
      </c>
      <c r="J1732" s="7" t="str">
        <f>IFERROR(_xlfn.XLOOKUP(F1732,ccustos!A:A,ccustos!B:B),"Sem termo")</f>
        <v>SEPAT</v>
      </c>
    </row>
    <row r="1733" spans="1:10" ht="25.5" customHeight="1" x14ac:dyDescent="0.25">
      <c r="A1733" s="16">
        <v>13291</v>
      </c>
      <c r="B1733" s="17" t="s">
        <v>236</v>
      </c>
      <c r="C1733" s="17" t="s">
        <v>237</v>
      </c>
      <c r="D1733" s="17" t="s">
        <v>1201</v>
      </c>
      <c r="E1733" s="17" t="s">
        <v>239</v>
      </c>
      <c r="F1733" s="17" t="s">
        <v>14</v>
      </c>
      <c r="G1733" s="17" t="s">
        <v>1202</v>
      </c>
      <c r="H1733" s="18">
        <v>1755</v>
      </c>
      <c r="I1733" s="18">
        <v>1500.72</v>
      </c>
      <c r="J1733" s="7" t="str">
        <f>IFERROR(_xlfn.XLOOKUP(F1733,ccustos!A:A,ccustos!B:B),"Sem termo")</f>
        <v>SEPAT</v>
      </c>
    </row>
    <row r="1734" spans="1:10" ht="36.75" customHeight="1" x14ac:dyDescent="0.25">
      <c r="A1734" s="14">
        <v>13292</v>
      </c>
      <c r="B1734" s="7" t="s">
        <v>236</v>
      </c>
      <c r="C1734" s="7" t="s">
        <v>237</v>
      </c>
      <c r="D1734" s="7" t="s">
        <v>1201</v>
      </c>
      <c r="E1734" s="7" t="s">
        <v>239</v>
      </c>
      <c r="F1734" s="7" t="s">
        <v>14</v>
      </c>
      <c r="G1734" s="7" t="s">
        <v>1202</v>
      </c>
      <c r="H1734" s="15">
        <v>1755</v>
      </c>
      <c r="I1734" s="15">
        <v>1500.72</v>
      </c>
      <c r="J1734" s="7" t="str">
        <f>IFERROR(_xlfn.XLOOKUP(F1734,ccustos!A:A,ccustos!B:B),"Sem termo")</f>
        <v>SEPAT</v>
      </c>
    </row>
    <row r="1735" spans="1:10" ht="25.5" customHeight="1" x14ac:dyDescent="0.25">
      <c r="A1735" s="16">
        <v>13293</v>
      </c>
      <c r="B1735" s="17" t="s">
        <v>236</v>
      </c>
      <c r="C1735" s="17" t="s">
        <v>237</v>
      </c>
      <c r="D1735" s="17" t="s">
        <v>1201</v>
      </c>
      <c r="E1735" s="17" t="s">
        <v>239</v>
      </c>
      <c r="F1735" s="17" t="s">
        <v>14</v>
      </c>
      <c r="G1735" s="17" t="s">
        <v>1202</v>
      </c>
      <c r="H1735" s="18">
        <v>1755</v>
      </c>
      <c r="I1735" s="18">
        <v>1500.72</v>
      </c>
      <c r="J1735" s="7" t="str">
        <f>IFERROR(_xlfn.XLOOKUP(F1735,ccustos!A:A,ccustos!B:B),"Sem termo")</f>
        <v>SEPAT</v>
      </c>
    </row>
    <row r="1736" spans="1:10" ht="25.5" customHeight="1" x14ac:dyDescent="0.25">
      <c r="A1736" s="14">
        <v>13294</v>
      </c>
      <c r="B1736" s="7" t="s">
        <v>236</v>
      </c>
      <c r="C1736" s="7" t="s">
        <v>237</v>
      </c>
      <c r="D1736" s="7" t="s">
        <v>1201</v>
      </c>
      <c r="E1736" s="7" t="s">
        <v>239</v>
      </c>
      <c r="F1736" s="7" t="s">
        <v>14</v>
      </c>
      <c r="G1736" s="7" t="s">
        <v>1202</v>
      </c>
      <c r="H1736" s="15">
        <v>1755</v>
      </c>
      <c r="I1736" s="15">
        <v>1500.72</v>
      </c>
      <c r="J1736" s="7" t="str">
        <f>IFERROR(_xlfn.XLOOKUP(F1736,ccustos!A:A,ccustos!B:B),"Sem termo")</f>
        <v>SEPAT</v>
      </c>
    </row>
    <row r="1737" spans="1:10" ht="25.5" customHeight="1" x14ac:dyDescent="0.25">
      <c r="A1737" s="16">
        <v>13295</v>
      </c>
      <c r="B1737" s="17" t="s">
        <v>236</v>
      </c>
      <c r="C1737" s="17" t="s">
        <v>237</v>
      </c>
      <c r="D1737" s="17" t="s">
        <v>1201</v>
      </c>
      <c r="E1737" s="17" t="s">
        <v>239</v>
      </c>
      <c r="F1737" s="17" t="s">
        <v>14</v>
      </c>
      <c r="G1737" s="17" t="s">
        <v>1202</v>
      </c>
      <c r="H1737" s="18">
        <v>1755</v>
      </c>
      <c r="I1737" s="18">
        <v>1500.72</v>
      </c>
      <c r="J1737" s="7" t="str">
        <f>IFERROR(_xlfn.XLOOKUP(F1737,ccustos!A:A,ccustos!B:B),"Sem termo")</f>
        <v>SEPAT</v>
      </c>
    </row>
    <row r="1738" spans="1:10" ht="25.5" customHeight="1" x14ac:dyDescent="0.25">
      <c r="A1738" s="14">
        <v>13296</v>
      </c>
      <c r="B1738" s="7" t="s">
        <v>236</v>
      </c>
      <c r="C1738" s="7" t="s">
        <v>237</v>
      </c>
      <c r="D1738" s="7" t="s">
        <v>1201</v>
      </c>
      <c r="E1738" s="7" t="s">
        <v>239</v>
      </c>
      <c r="F1738" s="7" t="s">
        <v>14</v>
      </c>
      <c r="G1738" s="7" t="s">
        <v>1202</v>
      </c>
      <c r="H1738" s="15">
        <v>1980</v>
      </c>
      <c r="I1738" s="15">
        <v>1556.49</v>
      </c>
      <c r="J1738" s="7" t="str">
        <f>IFERROR(_xlfn.XLOOKUP(F1738,ccustos!A:A,ccustos!B:B),"Sem termo")</f>
        <v>SEPAT</v>
      </c>
    </row>
    <row r="1739" spans="1:10" ht="25.5" customHeight="1" x14ac:dyDescent="0.25">
      <c r="A1739" s="16">
        <v>13297</v>
      </c>
      <c r="B1739" s="17" t="s">
        <v>236</v>
      </c>
      <c r="C1739" s="17" t="s">
        <v>237</v>
      </c>
      <c r="D1739" s="17" t="s">
        <v>1201</v>
      </c>
      <c r="E1739" s="17" t="s">
        <v>239</v>
      </c>
      <c r="F1739" s="17" t="s">
        <v>14</v>
      </c>
      <c r="G1739" s="17" t="s">
        <v>1202</v>
      </c>
      <c r="H1739" s="18">
        <v>1755</v>
      </c>
      <c r="I1739" s="18">
        <v>1500.72</v>
      </c>
      <c r="J1739" s="7" t="str">
        <f>IFERROR(_xlfn.XLOOKUP(F1739,ccustos!A:A,ccustos!B:B),"Sem termo")</f>
        <v>SEPAT</v>
      </c>
    </row>
    <row r="1740" spans="1:10" ht="36.75" customHeight="1" x14ac:dyDescent="0.25">
      <c r="A1740" s="14">
        <v>13298</v>
      </c>
      <c r="B1740" s="7" t="s">
        <v>236</v>
      </c>
      <c r="C1740" s="7" t="s">
        <v>237</v>
      </c>
      <c r="D1740" s="7" t="s">
        <v>1201</v>
      </c>
      <c r="E1740" s="7" t="s">
        <v>239</v>
      </c>
      <c r="F1740" s="7" t="s">
        <v>14</v>
      </c>
      <c r="G1740" s="7" t="s">
        <v>1202</v>
      </c>
      <c r="H1740" s="15">
        <v>1755</v>
      </c>
      <c r="I1740" s="15">
        <v>1500.72</v>
      </c>
      <c r="J1740" s="7" t="str">
        <f>IFERROR(_xlfn.XLOOKUP(F1740,ccustos!A:A,ccustos!B:B),"Sem termo")</f>
        <v>SEPAT</v>
      </c>
    </row>
    <row r="1741" spans="1:10" ht="25.5" customHeight="1" x14ac:dyDescent="0.25">
      <c r="A1741" s="16">
        <v>13299</v>
      </c>
      <c r="B1741" s="17" t="s">
        <v>236</v>
      </c>
      <c r="C1741" s="17" t="s">
        <v>237</v>
      </c>
      <c r="D1741" s="17" t="s">
        <v>1201</v>
      </c>
      <c r="E1741" s="17" t="s">
        <v>239</v>
      </c>
      <c r="F1741" s="17" t="s">
        <v>14</v>
      </c>
      <c r="G1741" s="17" t="s">
        <v>1202</v>
      </c>
      <c r="H1741" s="18">
        <v>1755</v>
      </c>
      <c r="I1741" s="18">
        <v>1500.72</v>
      </c>
      <c r="J1741" s="7" t="str">
        <f>IFERROR(_xlfn.XLOOKUP(F1741,ccustos!A:A,ccustos!B:B),"Sem termo")</f>
        <v>SEPAT</v>
      </c>
    </row>
    <row r="1742" spans="1:10" ht="25.5" customHeight="1" x14ac:dyDescent="0.25">
      <c r="A1742" s="14">
        <v>13300</v>
      </c>
      <c r="B1742" s="7" t="s">
        <v>236</v>
      </c>
      <c r="C1742" s="7" t="s">
        <v>237</v>
      </c>
      <c r="D1742" s="7" t="s">
        <v>1201</v>
      </c>
      <c r="E1742" s="7" t="s">
        <v>239</v>
      </c>
      <c r="F1742" s="7" t="s">
        <v>14</v>
      </c>
      <c r="G1742" s="7" t="s">
        <v>1202</v>
      </c>
      <c r="H1742" s="15">
        <v>1755</v>
      </c>
      <c r="I1742" s="15">
        <v>1500.72</v>
      </c>
      <c r="J1742" s="7" t="str">
        <f>IFERROR(_xlfn.XLOOKUP(F1742,ccustos!A:A,ccustos!B:B),"Sem termo")</f>
        <v>SEPAT</v>
      </c>
    </row>
    <row r="1743" spans="1:10" ht="25.5" customHeight="1" x14ac:dyDescent="0.25">
      <c r="A1743" s="16">
        <v>13301</v>
      </c>
      <c r="B1743" s="17" t="s">
        <v>236</v>
      </c>
      <c r="C1743" s="17" t="s">
        <v>237</v>
      </c>
      <c r="D1743" s="17" t="s">
        <v>1201</v>
      </c>
      <c r="E1743" s="17" t="s">
        <v>239</v>
      </c>
      <c r="F1743" s="17" t="s">
        <v>14</v>
      </c>
      <c r="G1743" s="17" t="s">
        <v>1202</v>
      </c>
      <c r="H1743" s="18">
        <v>1755</v>
      </c>
      <c r="I1743" s="18">
        <v>1500.72</v>
      </c>
      <c r="J1743" s="7" t="str">
        <f>IFERROR(_xlfn.XLOOKUP(F1743,ccustos!A:A,ccustos!B:B),"Sem termo")</f>
        <v>SEPAT</v>
      </c>
    </row>
    <row r="1744" spans="1:10" ht="25.5" customHeight="1" x14ac:dyDescent="0.25">
      <c r="A1744" s="14">
        <v>13302</v>
      </c>
      <c r="B1744" s="7" t="s">
        <v>236</v>
      </c>
      <c r="C1744" s="7" t="s">
        <v>237</v>
      </c>
      <c r="D1744" s="7" t="s">
        <v>1201</v>
      </c>
      <c r="E1744" s="7" t="s">
        <v>239</v>
      </c>
      <c r="F1744" s="7" t="s">
        <v>14</v>
      </c>
      <c r="G1744" s="7" t="s">
        <v>1202</v>
      </c>
      <c r="H1744" s="15">
        <v>1755</v>
      </c>
      <c r="I1744" s="15">
        <v>1500.72</v>
      </c>
      <c r="J1744" s="7" t="str">
        <f>IFERROR(_xlfn.XLOOKUP(F1744,ccustos!A:A,ccustos!B:B),"Sem termo")</f>
        <v>SEPAT</v>
      </c>
    </row>
    <row r="1745" spans="1:10" ht="25.5" customHeight="1" x14ac:dyDescent="0.25">
      <c r="A1745" s="16">
        <v>13303</v>
      </c>
      <c r="B1745" s="17" t="s">
        <v>236</v>
      </c>
      <c r="C1745" s="17" t="s">
        <v>237</v>
      </c>
      <c r="D1745" s="17" t="s">
        <v>1201</v>
      </c>
      <c r="E1745" s="17" t="s">
        <v>239</v>
      </c>
      <c r="F1745" s="17" t="s">
        <v>14</v>
      </c>
      <c r="G1745" s="17" t="s">
        <v>1202</v>
      </c>
      <c r="H1745" s="18">
        <v>1755</v>
      </c>
      <c r="I1745" s="18">
        <v>1500.72</v>
      </c>
      <c r="J1745" s="7" t="str">
        <f>IFERROR(_xlfn.XLOOKUP(F1745,ccustos!A:A,ccustos!B:B),"Sem termo")</f>
        <v>SEPAT</v>
      </c>
    </row>
    <row r="1746" spans="1:10" ht="25.5" customHeight="1" x14ac:dyDescent="0.25">
      <c r="A1746" s="14">
        <v>13304</v>
      </c>
      <c r="B1746" s="7" t="s">
        <v>236</v>
      </c>
      <c r="C1746" s="7" t="s">
        <v>237</v>
      </c>
      <c r="D1746" s="7" t="s">
        <v>1201</v>
      </c>
      <c r="E1746" s="7" t="s">
        <v>239</v>
      </c>
      <c r="F1746" s="7" t="s">
        <v>14</v>
      </c>
      <c r="G1746" s="7" t="s">
        <v>1202</v>
      </c>
      <c r="H1746" s="15">
        <v>1755</v>
      </c>
      <c r="I1746" s="15">
        <v>1500.72</v>
      </c>
      <c r="J1746" s="7" t="str">
        <f>IFERROR(_xlfn.XLOOKUP(F1746,ccustos!A:A,ccustos!B:B),"Sem termo")</f>
        <v>SEPAT</v>
      </c>
    </row>
    <row r="1747" spans="1:10" ht="25.5" customHeight="1" x14ac:dyDescent="0.25">
      <c r="A1747" s="16">
        <v>13305</v>
      </c>
      <c r="B1747" s="17" t="s">
        <v>236</v>
      </c>
      <c r="C1747" s="17" t="s">
        <v>237</v>
      </c>
      <c r="D1747" s="17" t="s">
        <v>1201</v>
      </c>
      <c r="E1747" s="17" t="s">
        <v>239</v>
      </c>
      <c r="F1747" s="17" t="s">
        <v>14</v>
      </c>
      <c r="G1747" s="17" t="s">
        <v>1202</v>
      </c>
      <c r="H1747" s="18">
        <v>1755</v>
      </c>
      <c r="I1747" s="18">
        <v>1500.72</v>
      </c>
      <c r="J1747" s="7" t="str">
        <f>IFERROR(_xlfn.XLOOKUP(F1747,ccustos!A:A,ccustos!B:B),"Sem termo")</f>
        <v>SEPAT</v>
      </c>
    </row>
    <row r="1748" spans="1:10" ht="36.75" customHeight="1" x14ac:dyDescent="0.25">
      <c r="A1748" s="14">
        <v>13306</v>
      </c>
      <c r="B1748" s="7" t="s">
        <v>236</v>
      </c>
      <c r="C1748" s="7" t="s">
        <v>237</v>
      </c>
      <c r="D1748" s="7" t="s">
        <v>1201</v>
      </c>
      <c r="E1748" s="7" t="s">
        <v>239</v>
      </c>
      <c r="F1748" s="7" t="s">
        <v>14</v>
      </c>
      <c r="G1748" s="7" t="s">
        <v>1202</v>
      </c>
      <c r="H1748" s="15">
        <v>1755</v>
      </c>
      <c r="I1748" s="15">
        <v>1500.72</v>
      </c>
      <c r="J1748" s="7" t="str">
        <f>IFERROR(_xlfn.XLOOKUP(F1748,ccustos!A:A,ccustos!B:B),"Sem termo")</f>
        <v>SEPAT</v>
      </c>
    </row>
    <row r="1749" spans="1:10" ht="36.75" customHeight="1" x14ac:dyDescent="0.25">
      <c r="A1749" s="16">
        <v>13307</v>
      </c>
      <c r="B1749" s="17" t="s">
        <v>236</v>
      </c>
      <c r="C1749" s="17" t="s">
        <v>237</v>
      </c>
      <c r="D1749" s="17" t="s">
        <v>1201</v>
      </c>
      <c r="E1749" s="17" t="s">
        <v>239</v>
      </c>
      <c r="F1749" s="17" t="s">
        <v>14</v>
      </c>
      <c r="G1749" s="17" t="s">
        <v>1202</v>
      </c>
      <c r="H1749" s="18">
        <v>1755</v>
      </c>
      <c r="I1749" s="18">
        <v>1500.72</v>
      </c>
      <c r="J1749" s="7" t="str">
        <f>IFERROR(_xlfn.XLOOKUP(F1749,ccustos!A:A,ccustos!B:B),"Sem termo")</f>
        <v>SEPAT</v>
      </c>
    </row>
    <row r="1750" spans="1:10" ht="36.75" customHeight="1" x14ac:dyDescent="0.25">
      <c r="A1750" s="14">
        <v>13308</v>
      </c>
      <c r="B1750" s="7" t="s">
        <v>236</v>
      </c>
      <c r="C1750" s="7" t="s">
        <v>237</v>
      </c>
      <c r="D1750" s="7" t="s">
        <v>1201</v>
      </c>
      <c r="E1750" s="7" t="s">
        <v>239</v>
      </c>
      <c r="F1750" s="7" t="s">
        <v>14</v>
      </c>
      <c r="G1750" s="7" t="s">
        <v>1202</v>
      </c>
      <c r="H1750" s="15">
        <v>1755</v>
      </c>
      <c r="I1750" s="15">
        <v>1500.72</v>
      </c>
      <c r="J1750" s="7" t="str">
        <f>IFERROR(_xlfn.XLOOKUP(F1750,ccustos!A:A,ccustos!B:B),"Sem termo")</f>
        <v>SEPAT</v>
      </c>
    </row>
    <row r="1751" spans="1:10" ht="25.5" customHeight="1" x14ac:dyDescent="0.25">
      <c r="A1751" s="16">
        <v>13309</v>
      </c>
      <c r="B1751" s="17" t="s">
        <v>236</v>
      </c>
      <c r="C1751" s="17" t="s">
        <v>237</v>
      </c>
      <c r="D1751" s="17" t="s">
        <v>1201</v>
      </c>
      <c r="E1751" s="17" t="s">
        <v>239</v>
      </c>
      <c r="F1751" s="17" t="s">
        <v>14</v>
      </c>
      <c r="G1751" s="17" t="s">
        <v>1202</v>
      </c>
      <c r="H1751" s="18">
        <v>1755</v>
      </c>
      <c r="I1751" s="18">
        <v>1500.72</v>
      </c>
      <c r="J1751" s="7" t="str">
        <f>IFERROR(_xlfn.XLOOKUP(F1751,ccustos!A:A,ccustos!B:B),"Sem termo")</f>
        <v>SEPAT</v>
      </c>
    </row>
    <row r="1752" spans="1:10" ht="25.5" customHeight="1" x14ac:dyDescent="0.25">
      <c r="A1752" s="14">
        <v>13310</v>
      </c>
      <c r="B1752" s="7" t="s">
        <v>236</v>
      </c>
      <c r="C1752" s="7" t="s">
        <v>237</v>
      </c>
      <c r="D1752" s="7" t="s">
        <v>1201</v>
      </c>
      <c r="E1752" s="7" t="s">
        <v>239</v>
      </c>
      <c r="F1752" s="7" t="s">
        <v>14</v>
      </c>
      <c r="G1752" s="7" t="s">
        <v>1202</v>
      </c>
      <c r="H1752" s="15">
        <v>1755</v>
      </c>
      <c r="I1752" s="15">
        <v>1500.72</v>
      </c>
      <c r="J1752" s="7" t="str">
        <f>IFERROR(_xlfn.XLOOKUP(F1752,ccustos!A:A,ccustos!B:B),"Sem termo")</f>
        <v>SEPAT</v>
      </c>
    </row>
    <row r="1753" spans="1:10" ht="25.5" customHeight="1" x14ac:dyDescent="0.25">
      <c r="A1753" s="16">
        <v>13311</v>
      </c>
      <c r="B1753" s="17" t="s">
        <v>236</v>
      </c>
      <c r="C1753" s="17" t="s">
        <v>237</v>
      </c>
      <c r="D1753" s="17" t="s">
        <v>1201</v>
      </c>
      <c r="E1753" s="17" t="s">
        <v>239</v>
      </c>
      <c r="F1753" s="17" t="s">
        <v>14</v>
      </c>
      <c r="G1753" s="17" t="s">
        <v>1202</v>
      </c>
      <c r="H1753" s="18">
        <v>1755</v>
      </c>
      <c r="I1753" s="18">
        <v>1500.72</v>
      </c>
      <c r="J1753" s="7" t="str">
        <f>IFERROR(_xlfn.XLOOKUP(F1753,ccustos!A:A,ccustos!B:B),"Sem termo")</f>
        <v>SEPAT</v>
      </c>
    </row>
    <row r="1754" spans="1:10" ht="25.5" customHeight="1" x14ac:dyDescent="0.25">
      <c r="A1754" s="14">
        <v>13312</v>
      </c>
      <c r="B1754" s="7" t="s">
        <v>236</v>
      </c>
      <c r="C1754" s="7" t="s">
        <v>237</v>
      </c>
      <c r="D1754" s="7" t="s">
        <v>1201</v>
      </c>
      <c r="E1754" s="7" t="s">
        <v>239</v>
      </c>
      <c r="F1754" s="7" t="s">
        <v>14</v>
      </c>
      <c r="G1754" s="7" t="s">
        <v>1202</v>
      </c>
      <c r="H1754" s="15">
        <v>1755</v>
      </c>
      <c r="I1754" s="15">
        <v>1500.72</v>
      </c>
      <c r="J1754" s="7" t="str">
        <f>IFERROR(_xlfn.XLOOKUP(F1754,ccustos!A:A,ccustos!B:B),"Sem termo")</f>
        <v>SEPAT</v>
      </c>
    </row>
    <row r="1755" spans="1:10" ht="25.5" customHeight="1" x14ac:dyDescent="0.25">
      <c r="A1755" s="16">
        <v>13313</v>
      </c>
      <c r="B1755" s="17" t="s">
        <v>236</v>
      </c>
      <c r="C1755" s="17" t="s">
        <v>237</v>
      </c>
      <c r="D1755" s="17" t="s">
        <v>1201</v>
      </c>
      <c r="E1755" s="17" t="s">
        <v>239</v>
      </c>
      <c r="F1755" s="17" t="s">
        <v>14</v>
      </c>
      <c r="G1755" s="17" t="s">
        <v>1202</v>
      </c>
      <c r="H1755" s="18">
        <v>1755</v>
      </c>
      <c r="I1755" s="18">
        <v>1500.72</v>
      </c>
      <c r="J1755" s="7" t="str">
        <f>IFERROR(_xlfn.XLOOKUP(F1755,ccustos!A:A,ccustos!B:B),"Sem termo")</f>
        <v>SEPAT</v>
      </c>
    </row>
    <row r="1756" spans="1:10" ht="25.5" customHeight="1" x14ac:dyDescent="0.25">
      <c r="A1756" s="14">
        <v>13314</v>
      </c>
      <c r="B1756" s="7" t="s">
        <v>236</v>
      </c>
      <c r="C1756" s="7" t="s">
        <v>237</v>
      </c>
      <c r="D1756" s="7" t="s">
        <v>1201</v>
      </c>
      <c r="E1756" s="7" t="s">
        <v>239</v>
      </c>
      <c r="F1756" s="7" t="s">
        <v>14</v>
      </c>
      <c r="G1756" s="7" t="s">
        <v>1202</v>
      </c>
      <c r="H1756" s="15">
        <v>1755</v>
      </c>
      <c r="I1756" s="15">
        <v>1500.72</v>
      </c>
      <c r="J1756" s="7" t="str">
        <f>IFERROR(_xlfn.XLOOKUP(F1756,ccustos!A:A,ccustos!B:B),"Sem termo")</f>
        <v>SEPAT</v>
      </c>
    </row>
    <row r="1757" spans="1:10" ht="25.5" customHeight="1" x14ac:dyDescent="0.25">
      <c r="A1757" s="16">
        <v>13315</v>
      </c>
      <c r="B1757" s="17" t="s">
        <v>236</v>
      </c>
      <c r="C1757" s="17" t="s">
        <v>237</v>
      </c>
      <c r="D1757" s="17" t="s">
        <v>1201</v>
      </c>
      <c r="E1757" s="17" t="s">
        <v>239</v>
      </c>
      <c r="F1757" s="17" t="s">
        <v>14</v>
      </c>
      <c r="G1757" s="17" t="s">
        <v>1202</v>
      </c>
      <c r="H1757" s="18">
        <v>1755</v>
      </c>
      <c r="I1757" s="18">
        <v>1500.72</v>
      </c>
      <c r="J1757" s="7" t="str">
        <f>IFERROR(_xlfn.XLOOKUP(F1757,ccustos!A:A,ccustos!B:B),"Sem termo")</f>
        <v>SEPAT</v>
      </c>
    </row>
    <row r="1758" spans="1:10" ht="25.5" customHeight="1" x14ac:dyDescent="0.25">
      <c r="A1758" s="14">
        <v>13316</v>
      </c>
      <c r="B1758" s="7" t="s">
        <v>236</v>
      </c>
      <c r="C1758" s="7" t="s">
        <v>237</v>
      </c>
      <c r="D1758" s="7" t="s">
        <v>1201</v>
      </c>
      <c r="E1758" s="7" t="s">
        <v>239</v>
      </c>
      <c r="F1758" s="7" t="s">
        <v>14</v>
      </c>
      <c r="G1758" s="7" t="s">
        <v>1202</v>
      </c>
      <c r="H1758" s="15">
        <v>1755</v>
      </c>
      <c r="I1758" s="15">
        <v>1500.72</v>
      </c>
      <c r="J1758" s="7" t="str">
        <f>IFERROR(_xlfn.XLOOKUP(F1758,ccustos!A:A,ccustos!B:B),"Sem termo")</f>
        <v>SEPAT</v>
      </c>
    </row>
    <row r="1759" spans="1:10" ht="14.25" customHeight="1" x14ac:dyDescent="0.25">
      <c r="A1759" s="16">
        <v>13317</v>
      </c>
      <c r="B1759" s="17" t="s">
        <v>236</v>
      </c>
      <c r="C1759" s="17" t="s">
        <v>237</v>
      </c>
      <c r="D1759" s="17" t="s">
        <v>1201</v>
      </c>
      <c r="E1759" s="17" t="s">
        <v>239</v>
      </c>
      <c r="F1759" s="17" t="s">
        <v>14</v>
      </c>
      <c r="G1759" s="17" t="s">
        <v>1202</v>
      </c>
      <c r="H1759" s="18">
        <v>1755</v>
      </c>
      <c r="I1759" s="18">
        <v>1500.72</v>
      </c>
      <c r="J1759" s="7" t="str">
        <f>IFERROR(_xlfn.XLOOKUP(F1759,ccustos!A:A,ccustos!B:B),"Sem termo")</f>
        <v>SEPAT</v>
      </c>
    </row>
    <row r="1760" spans="1:10" ht="14.25" customHeight="1" x14ac:dyDescent="0.25">
      <c r="A1760" s="14">
        <v>13318</v>
      </c>
      <c r="B1760" s="7" t="s">
        <v>236</v>
      </c>
      <c r="C1760" s="7" t="s">
        <v>237</v>
      </c>
      <c r="D1760" s="7" t="s">
        <v>1201</v>
      </c>
      <c r="E1760" s="7" t="s">
        <v>239</v>
      </c>
      <c r="F1760" s="7" t="s">
        <v>14</v>
      </c>
      <c r="G1760" s="7" t="s">
        <v>1202</v>
      </c>
      <c r="H1760" s="15">
        <v>1755</v>
      </c>
      <c r="I1760" s="15">
        <v>1500.72</v>
      </c>
      <c r="J1760" s="7" t="str">
        <f>IFERROR(_xlfn.XLOOKUP(F1760,ccustos!A:A,ccustos!B:B),"Sem termo")</f>
        <v>SEPAT</v>
      </c>
    </row>
    <row r="1761" spans="1:10" ht="14.25" customHeight="1" x14ac:dyDescent="0.25">
      <c r="A1761" s="16">
        <v>13319</v>
      </c>
      <c r="B1761" s="17" t="s">
        <v>236</v>
      </c>
      <c r="C1761" s="17" t="s">
        <v>237</v>
      </c>
      <c r="D1761" s="17" t="s">
        <v>1201</v>
      </c>
      <c r="E1761" s="17" t="s">
        <v>239</v>
      </c>
      <c r="F1761" s="17" t="s">
        <v>14</v>
      </c>
      <c r="G1761" s="17" t="s">
        <v>1202</v>
      </c>
      <c r="H1761" s="18">
        <v>1755</v>
      </c>
      <c r="I1761" s="18">
        <v>1500.72</v>
      </c>
      <c r="J1761" s="7" t="str">
        <f>IFERROR(_xlfn.XLOOKUP(F1761,ccustos!A:A,ccustos!B:B),"Sem termo")</f>
        <v>SEPAT</v>
      </c>
    </row>
    <row r="1762" spans="1:10" ht="14.25" customHeight="1" x14ac:dyDescent="0.25">
      <c r="A1762" s="14">
        <v>13320</v>
      </c>
      <c r="B1762" s="7" t="s">
        <v>236</v>
      </c>
      <c r="C1762" s="7" t="s">
        <v>237</v>
      </c>
      <c r="D1762" s="7" t="s">
        <v>1201</v>
      </c>
      <c r="E1762" s="7" t="s">
        <v>239</v>
      </c>
      <c r="F1762" s="7" t="s">
        <v>14</v>
      </c>
      <c r="G1762" s="7" t="s">
        <v>1202</v>
      </c>
      <c r="H1762" s="15">
        <v>1755</v>
      </c>
      <c r="I1762" s="15">
        <v>1500.72</v>
      </c>
      <c r="J1762" s="7" t="str">
        <f>IFERROR(_xlfn.XLOOKUP(F1762,ccustos!A:A,ccustos!B:B),"Sem termo")</f>
        <v>SEPAT</v>
      </c>
    </row>
    <row r="1763" spans="1:10" ht="14.25" customHeight="1" x14ac:dyDescent="0.25">
      <c r="A1763" s="16">
        <v>13321</v>
      </c>
      <c r="B1763" s="17" t="s">
        <v>236</v>
      </c>
      <c r="C1763" s="17" t="s">
        <v>237</v>
      </c>
      <c r="D1763" s="17" t="s">
        <v>1201</v>
      </c>
      <c r="E1763" s="17" t="s">
        <v>239</v>
      </c>
      <c r="F1763" s="17" t="s">
        <v>14</v>
      </c>
      <c r="G1763" s="17" t="s">
        <v>1202</v>
      </c>
      <c r="H1763" s="18">
        <v>1755</v>
      </c>
      <c r="I1763" s="18">
        <v>1500.72</v>
      </c>
      <c r="J1763" s="7" t="str">
        <f>IFERROR(_xlfn.XLOOKUP(F1763,ccustos!A:A,ccustos!B:B),"Sem termo")</f>
        <v>SEPAT</v>
      </c>
    </row>
    <row r="1764" spans="1:10" ht="25.5" customHeight="1" x14ac:dyDescent="0.25">
      <c r="A1764" s="14">
        <v>13327</v>
      </c>
      <c r="B1764" s="7" t="s">
        <v>236</v>
      </c>
      <c r="C1764" s="7" t="s">
        <v>1203</v>
      </c>
      <c r="D1764" s="7" t="s">
        <v>1204</v>
      </c>
      <c r="E1764" s="7" t="s">
        <v>239</v>
      </c>
      <c r="F1764" s="7" t="s">
        <v>6</v>
      </c>
      <c r="G1764" s="7" t="s">
        <v>1205</v>
      </c>
      <c r="H1764" s="15">
        <v>921</v>
      </c>
      <c r="I1764" s="15">
        <v>905.54</v>
      </c>
      <c r="J1764" s="7" t="str">
        <f>IFERROR(_xlfn.XLOOKUP(F1764,ccustos!A:A,ccustos!B:B),"Sem termo")</f>
        <v>SEPAT</v>
      </c>
    </row>
    <row r="1765" spans="1:10" ht="36.75" customHeight="1" x14ac:dyDescent="0.25">
      <c r="A1765" s="16">
        <v>13328</v>
      </c>
      <c r="B1765" s="17" t="s">
        <v>236</v>
      </c>
      <c r="C1765" s="17" t="s">
        <v>1203</v>
      </c>
      <c r="D1765" s="17" t="s">
        <v>1206</v>
      </c>
      <c r="E1765" s="17" t="s">
        <v>239</v>
      </c>
      <c r="F1765" s="17" t="s">
        <v>13</v>
      </c>
      <c r="G1765" s="17" t="s">
        <v>1205</v>
      </c>
      <c r="H1765" s="18">
        <v>990</v>
      </c>
      <c r="I1765" s="18">
        <v>905.54</v>
      </c>
      <c r="J1765" s="7" t="str">
        <f>IFERROR(_xlfn.XLOOKUP(F1765,ccustos!A:A,ccustos!B:B),"Sem termo")</f>
        <v>SEPROT</v>
      </c>
    </row>
    <row r="1766" spans="1:10" ht="36.75" customHeight="1" x14ac:dyDescent="0.25">
      <c r="A1766" s="14">
        <v>13329</v>
      </c>
      <c r="B1766" s="7" t="s">
        <v>236</v>
      </c>
      <c r="C1766" s="7" t="s">
        <v>1207</v>
      </c>
      <c r="D1766" s="7" t="s">
        <v>1208</v>
      </c>
      <c r="E1766" s="7" t="s">
        <v>239</v>
      </c>
      <c r="F1766" s="7" t="s">
        <v>13</v>
      </c>
      <c r="G1766" s="7" t="s">
        <v>1205</v>
      </c>
      <c r="H1766" s="15">
        <v>5246</v>
      </c>
      <c r="I1766" s="15">
        <v>3914.47</v>
      </c>
      <c r="J1766" s="7" t="str">
        <f>IFERROR(_xlfn.XLOOKUP(F1766,ccustos!A:A,ccustos!B:B),"Sem termo")</f>
        <v>SEPROT</v>
      </c>
    </row>
    <row r="1767" spans="1:10" ht="36.75" customHeight="1" x14ac:dyDescent="0.25">
      <c r="A1767" s="16">
        <v>13331</v>
      </c>
      <c r="B1767" s="17" t="s">
        <v>236</v>
      </c>
      <c r="C1767" s="17" t="s">
        <v>1209</v>
      </c>
      <c r="D1767" s="17" t="s">
        <v>1210</v>
      </c>
      <c r="E1767" s="17" t="s">
        <v>250</v>
      </c>
      <c r="F1767" s="17" t="s">
        <v>8</v>
      </c>
      <c r="G1767" s="17" t="s">
        <v>1211</v>
      </c>
      <c r="H1767" s="18">
        <v>2280</v>
      </c>
      <c r="I1767" s="18">
        <v>1701.33</v>
      </c>
      <c r="J1767" s="7" t="str">
        <f>IFERROR(_xlfn.XLOOKUP(F1767,ccustos!A:A,ccustos!B:B),"Sem termo")</f>
        <v>DEINFRA</v>
      </c>
    </row>
    <row r="1768" spans="1:10" ht="25.5" customHeight="1" x14ac:dyDescent="0.25">
      <c r="A1768" s="14">
        <v>13332</v>
      </c>
      <c r="B1768" s="7" t="s">
        <v>236</v>
      </c>
      <c r="C1768" s="7" t="s">
        <v>1209</v>
      </c>
      <c r="D1768" s="7" t="s">
        <v>1210</v>
      </c>
      <c r="E1768" s="7" t="s">
        <v>250</v>
      </c>
      <c r="F1768" s="7" t="s">
        <v>24</v>
      </c>
      <c r="G1768" s="7" t="s">
        <v>1211</v>
      </c>
      <c r="H1768" s="15">
        <v>2280</v>
      </c>
      <c r="I1768" s="15">
        <v>1701.33</v>
      </c>
      <c r="J1768" s="7" t="str">
        <f>IFERROR(_xlfn.XLOOKUP(F1768,ccustos!A:A,ccustos!B:B),"Sem termo")</f>
        <v>DEINFRA</v>
      </c>
    </row>
    <row r="1769" spans="1:10" ht="25.5" customHeight="1" x14ac:dyDescent="0.25">
      <c r="A1769" s="16">
        <v>13333</v>
      </c>
      <c r="B1769" s="17" t="s">
        <v>236</v>
      </c>
      <c r="C1769" s="17" t="s">
        <v>1209</v>
      </c>
      <c r="D1769" s="17" t="s">
        <v>1210</v>
      </c>
      <c r="E1769" s="17" t="s">
        <v>250</v>
      </c>
      <c r="F1769" s="17" t="s">
        <v>9</v>
      </c>
      <c r="G1769" s="17" t="s">
        <v>1211</v>
      </c>
      <c r="H1769" s="18">
        <v>2280</v>
      </c>
      <c r="I1769" s="18">
        <v>1701.33</v>
      </c>
      <c r="J1769" s="7" t="str">
        <f>IFERROR(_xlfn.XLOOKUP(F1769,ccustos!A:A,ccustos!B:B),"Sem termo")</f>
        <v>DEINFRA</v>
      </c>
    </row>
    <row r="1770" spans="1:10" ht="25.5" customHeight="1" x14ac:dyDescent="0.25">
      <c r="A1770" s="14">
        <v>13334</v>
      </c>
      <c r="B1770" s="7" t="s">
        <v>236</v>
      </c>
      <c r="C1770" s="7" t="s">
        <v>1212</v>
      </c>
      <c r="D1770" s="7" t="s">
        <v>1213</v>
      </c>
      <c r="E1770" s="7" t="s">
        <v>335</v>
      </c>
      <c r="F1770" s="7" t="s">
        <v>20</v>
      </c>
      <c r="G1770" s="7" t="s">
        <v>1214</v>
      </c>
      <c r="H1770" s="15">
        <v>155000</v>
      </c>
      <c r="I1770" s="15">
        <v>112224</v>
      </c>
      <c r="J1770" s="7" t="str">
        <f>IFERROR(_xlfn.XLOOKUP(F1770,ccustos!A:A,ccustos!B:B),"Sem termo")</f>
        <v>CGTI</v>
      </c>
    </row>
    <row r="1771" spans="1:10" ht="25.5" customHeight="1" x14ac:dyDescent="0.25">
      <c r="A1771" s="16">
        <v>13335</v>
      </c>
      <c r="B1771" s="17" t="s">
        <v>236</v>
      </c>
      <c r="C1771" s="17" t="s">
        <v>1215</v>
      </c>
      <c r="D1771" s="17" t="s">
        <v>1216</v>
      </c>
      <c r="E1771" s="17" t="s">
        <v>335</v>
      </c>
      <c r="F1771" s="17" t="s">
        <v>20</v>
      </c>
      <c r="G1771" s="17" t="s">
        <v>1214</v>
      </c>
      <c r="H1771" s="18">
        <v>145000</v>
      </c>
      <c r="I1771" s="18">
        <v>101729.99</v>
      </c>
      <c r="J1771" s="7" t="str">
        <f>IFERROR(_xlfn.XLOOKUP(F1771,ccustos!A:A,ccustos!B:B),"Sem termo")</f>
        <v>CGTI</v>
      </c>
    </row>
    <row r="1772" spans="1:10" ht="25.5" customHeight="1" x14ac:dyDescent="0.25">
      <c r="A1772" s="14">
        <v>13336</v>
      </c>
      <c r="B1772" s="7" t="s">
        <v>236</v>
      </c>
      <c r="C1772" s="7" t="s">
        <v>364</v>
      </c>
      <c r="D1772" s="7" t="s">
        <v>1217</v>
      </c>
      <c r="E1772" s="7" t="s">
        <v>250</v>
      </c>
      <c r="F1772" s="7" t="s">
        <v>14</v>
      </c>
      <c r="G1772" s="7" t="s">
        <v>243</v>
      </c>
      <c r="H1772" s="15">
        <v>0.1</v>
      </c>
      <c r="I1772" s="15">
        <v>510.88</v>
      </c>
      <c r="J1772" s="7" t="str">
        <f>IFERROR(_xlfn.XLOOKUP(F1772,ccustos!A:A,ccustos!B:B),"Sem termo")</f>
        <v>SEPAT</v>
      </c>
    </row>
    <row r="1773" spans="1:10" ht="25.5" customHeight="1" x14ac:dyDescent="0.25">
      <c r="A1773" s="16">
        <v>13337</v>
      </c>
      <c r="B1773" s="17" t="s">
        <v>236</v>
      </c>
      <c r="C1773" s="17" t="s">
        <v>306</v>
      </c>
      <c r="D1773" s="17" t="s">
        <v>1218</v>
      </c>
      <c r="E1773" s="17" t="s">
        <v>239</v>
      </c>
      <c r="F1773" s="17" t="s">
        <v>22</v>
      </c>
      <c r="G1773" s="17" t="s">
        <v>243</v>
      </c>
      <c r="H1773" s="18">
        <v>0.1</v>
      </c>
      <c r="I1773" s="18">
        <v>329.52</v>
      </c>
      <c r="J1773" s="7" t="str">
        <f>IFERROR(_xlfn.XLOOKUP(F1773,ccustos!A:A,ccustos!B:B),"Sem termo")</f>
        <v>COTEC</v>
      </c>
    </row>
    <row r="1774" spans="1:10" ht="25.5" customHeight="1" x14ac:dyDescent="0.25">
      <c r="A1774" s="14">
        <v>13338</v>
      </c>
      <c r="B1774" s="7" t="s">
        <v>236</v>
      </c>
      <c r="C1774" s="7" t="s">
        <v>306</v>
      </c>
      <c r="D1774" s="7" t="s">
        <v>1219</v>
      </c>
      <c r="E1774" s="7" t="s">
        <v>239</v>
      </c>
      <c r="F1774" s="7" t="s">
        <v>27</v>
      </c>
      <c r="G1774" s="7" t="s">
        <v>243</v>
      </c>
      <c r="H1774" s="15">
        <v>0.1</v>
      </c>
      <c r="I1774" s="15">
        <v>329.52</v>
      </c>
      <c r="J1774" s="7" t="str">
        <f>IFERROR(_xlfn.XLOOKUP(F1774,ccustos!A:A,ccustos!B:B),"Sem termo")</f>
        <v>CCI</v>
      </c>
    </row>
    <row r="1775" spans="1:10" ht="25.5" customHeight="1" x14ac:dyDescent="0.25">
      <c r="A1775" s="16">
        <v>13339</v>
      </c>
      <c r="B1775" s="17" t="s">
        <v>236</v>
      </c>
      <c r="C1775" s="17" t="s">
        <v>306</v>
      </c>
      <c r="D1775" s="17" t="s">
        <v>1220</v>
      </c>
      <c r="E1775" s="17" t="s">
        <v>239</v>
      </c>
      <c r="F1775" s="17" t="s">
        <v>186</v>
      </c>
      <c r="G1775" s="17" t="s">
        <v>243</v>
      </c>
      <c r="H1775" s="18">
        <v>0.1</v>
      </c>
      <c r="I1775" s="18">
        <v>329.52</v>
      </c>
      <c r="J1775" s="7" t="str">
        <f>IFERROR(_xlfn.XLOOKUP(F1775,ccustos!A:A,ccustos!B:B),"Sem termo")</f>
        <v>CGGE</v>
      </c>
    </row>
    <row r="1776" spans="1:10" ht="25.5" customHeight="1" x14ac:dyDescent="0.25">
      <c r="A1776" s="14">
        <v>13340</v>
      </c>
      <c r="B1776" s="7" t="s">
        <v>236</v>
      </c>
      <c r="C1776" s="7" t="s">
        <v>306</v>
      </c>
      <c r="D1776" s="7" t="s">
        <v>1220</v>
      </c>
      <c r="E1776" s="7" t="s">
        <v>239</v>
      </c>
      <c r="F1776" s="7" t="s">
        <v>34</v>
      </c>
      <c r="G1776" s="7" t="s">
        <v>243</v>
      </c>
      <c r="H1776" s="15">
        <v>0.1</v>
      </c>
      <c r="I1776" s="15">
        <v>0</v>
      </c>
      <c r="J1776" s="7" t="str">
        <f>IFERROR(_xlfn.XLOOKUP(F1776,ccustos!A:A,ccustos!B:B),"Sem termo")</f>
        <v>COFIS</v>
      </c>
    </row>
    <row r="1777" spans="1:10" ht="25.5" customHeight="1" x14ac:dyDescent="0.25">
      <c r="A1777" s="16">
        <v>13341</v>
      </c>
      <c r="B1777" s="17" t="s">
        <v>236</v>
      </c>
      <c r="C1777" s="17" t="s">
        <v>1101</v>
      </c>
      <c r="D1777" s="17" t="s">
        <v>1221</v>
      </c>
      <c r="E1777" s="17" t="s">
        <v>250</v>
      </c>
      <c r="F1777" s="17" t="s">
        <v>54</v>
      </c>
      <c r="G1777" s="17" t="s">
        <v>243</v>
      </c>
      <c r="H1777" s="18">
        <v>0.1</v>
      </c>
      <c r="I1777" s="18">
        <v>177.86</v>
      </c>
      <c r="J1777" s="7" t="str">
        <f>IFERROR(_xlfn.XLOOKUP(F1777,ccustos!A:A,ccustos!B:B),"Sem termo")</f>
        <v>DEFIN</v>
      </c>
    </row>
    <row r="1778" spans="1:10" ht="25.5" customHeight="1" x14ac:dyDescent="0.25">
      <c r="A1778" s="14">
        <v>13342</v>
      </c>
      <c r="B1778" s="7" t="s">
        <v>236</v>
      </c>
      <c r="C1778" s="7" t="s">
        <v>306</v>
      </c>
      <c r="D1778" s="7" t="s">
        <v>1222</v>
      </c>
      <c r="E1778" s="7" t="s">
        <v>239</v>
      </c>
      <c r="F1778" s="7" t="s">
        <v>48</v>
      </c>
      <c r="G1778" s="7" t="s">
        <v>243</v>
      </c>
      <c r="H1778" s="15">
        <v>0.1</v>
      </c>
      <c r="I1778" s="15">
        <v>329.52</v>
      </c>
      <c r="J1778" s="7" t="str">
        <f>IFERROR(_xlfn.XLOOKUP(F1778,ccustos!A:A,ccustos!B:B),"Sem termo")</f>
        <v>DEPES</v>
      </c>
    </row>
    <row r="1779" spans="1:10" ht="25.5" customHeight="1" x14ac:dyDescent="0.25">
      <c r="A1779" s="16">
        <v>13343</v>
      </c>
      <c r="B1779" s="17" t="s">
        <v>236</v>
      </c>
      <c r="C1779" s="17" t="s">
        <v>325</v>
      </c>
      <c r="D1779" s="17" t="s">
        <v>1223</v>
      </c>
      <c r="E1779" s="17" t="s">
        <v>239</v>
      </c>
      <c r="F1779" s="17" t="s">
        <v>45</v>
      </c>
      <c r="G1779" s="17" t="s">
        <v>243</v>
      </c>
      <c r="H1779" s="18">
        <v>0.1</v>
      </c>
      <c r="I1779" s="18">
        <v>531.32000000000005</v>
      </c>
      <c r="J1779" s="7" t="str">
        <f>IFERROR(_xlfn.XLOOKUP(F1779,ccustos!A:A,ccustos!B:B),"Sem termo")</f>
        <v>SEPAT</v>
      </c>
    </row>
    <row r="1780" spans="1:10" ht="25.5" customHeight="1" x14ac:dyDescent="0.25">
      <c r="A1780" s="14">
        <v>13344</v>
      </c>
      <c r="B1780" s="7" t="s">
        <v>236</v>
      </c>
      <c r="C1780" s="7" t="s">
        <v>241</v>
      </c>
      <c r="D1780" s="7" t="s">
        <v>1224</v>
      </c>
      <c r="E1780" s="7" t="s">
        <v>239</v>
      </c>
      <c r="F1780" s="7" t="s">
        <v>6</v>
      </c>
      <c r="G1780" s="7" t="s">
        <v>243</v>
      </c>
      <c r="H1780" s="15">
        <v>0.1</v>
      </c>
      <c r="I1780" s="15">
        <v>424.03</v>
      </c>
      <c r="J1780" s="7" t="str">
        <f>IFERROR(_xlfn.XLOOKUP(F1780,ccustos!A:A,ccustos!B:B),"Sem termo")</f>
        <v>SEPAT</v>
      </c>
    </row>
    <row r="1781" spans="1:10" ht="25.5" customHeight="1" x14ac:dyDescent="0.25">
      <c r="A1781" s="16">
        <v>13345</v>
      </c>
      <c r="B1781" s="17" t="s">
        <v>236</v>
      </c>
      <c r="C1781" s="17" t="s">
        <v>333</v>
      </c>
      <c r="D1781" s="17" t="s">
        <v>1225</v>
      </c>
      <c r="E1781" s="17" t="s">
        <v>335</v>
      </c>
      <c r="F1781" s="17" t="s">
        <v>35</v>
      </c>
      <c r="G1781" s="17" t="s">
        <v>243</v>
      </c>
      <c r="H1781" s="18">
        <v>0.1</v>
      </c>
      <c r="I1781" s="18">
        <v>223.17</v>
      </c>
      <c r="J1781" s="7" t="str">
        <f>IFERROR(_xlfn.XLOOKUP(F1781,ccustos!A:A,ccustos!B:B),"Sem termo")</f>
        <v>DEINFRA</v>
      </c>
    </row>
    <row r="1782" spans="1:10" ht="25.5" customHeight="1" x14ac:dyDescent="0.25">
      <c r="A1782" s="14">
        <v>13346</v>
      </c>
      <c r="B1782" s="7" t="s">
        <v>236</v>
      </c>
      <c r="C1782" s="7" t="s">
        <v>241</v>
      </c>
      <c r="D1782" s="7" t="s">
        <v>482</v>
      </c>
      <c r="E1782" s="7" t="s">
        <v>239</v>
      </c>
      <c r="F1782" s="7" t="s">
        <v>39</v>
      </c>
      <c r="G1782" s="7" t="s">
        <v>243</v>
      </c>
      <c r="H1782" s="15">
        <v>0.1</v>
      </c>
      <c r="I1782" s="15">
        <v>424.03</v>
      </c>
      <c r="J1782" s="7" t="str">
        <f>IFERROR(_xlfn.XLOOKUP(F1782,ccustos!A:A,ccustos!B:B),"Sem termo")</f>
        <v>COREG</v>
      </c>
    </row>
    <row r="1783" spans="1:10" ht="25.5" customHeight="1" x14ac:dyDescent="0.25">
      <c r="A1783" s="16">
        <v>13347</v>
      </c>
      <c r="B1783" s="17" t="s">
        <v>236</v>
      </c>
      <c r="C1783" s="17" t="s">
        <v>1226</v>
      </c>
      <c r="D1783" s="17" t="s">
        <v>1227</v>
      </c>
      <c r="E1783" s="17" t="s">
        <v>239</v>
      </c>
      <c r="F1783" s="17" t="s">
        <v>54</v>
      </c>
      <c r="G1783" s="17" t="s">
        <v>243</v>
      </c>
      <c r="H1783" s="18">
        <v>0.1</v>
      </c>
      <c r="I1783" s="18">
        <v>536.42999999999995</v>
      </c>
      <c r="J1783" s="7" t="str">
        <f>IFERROR(_xlfn.XLOOKUP(F1783,ccustos!A:A,ccustos!B:B),"Sem termo")</f>
        <v>DEFIN</v>
      </c>
    </row>
    <row r="1784" spans="1:10" ht="25.5" customHeight="1" x14ac:dyDescent="0.25">
      <c r="A1784" s="14">
        <v>13349</v>
      </c>
      <c r="B1784" s="7" t="s">
        <v>236</v>
      </c>
      <c r="C1784" s="7" t="s">
        <v>241</v>
      </c>
      <c r="D1784" s="7" t="s">
        <v>1228</v>
      </c>
      <c r="E1784" s="7" t="s">
        <v>239</v>
      </c>
      <c r="F1784" s="7" t="s">
        <v>186</v>
      </c>
      <c r="G1784" s="7" t="s">
        <v>243</v>
      </c>
      <c r="H1784" s="15">
        <v>0.1</v>
      </c>
      <c r="I1784" s="15">
        <v>424.03</v>
      </c>
      <c r="J1784" s="7" t="str">
        <f>IFERROR(_xlfn.XLOOKUP(F1784,ccustos!A:A,ccustos!B:B),"Sem termo")</f>
        <v>CGGE</v>
      </c>
    </row>
    <row r="1785" spans="1:10" ht="25.5" customHeight="1" x14ac:dyDescent="0.25">
      <c r="A1785" s="16">
        <v>13350</v>
      </c>
      <c r="B1785" s="17" t="s">
        <v>236</v>
      </c>
      <c r="C1785" s="17" t="s">
        <v>1209</v>
      </c>
      <c r="D1785" s="17" t="s">
        <v>1229</v>
      </c>
      <c r="E1785" s="17" t="s">
        <v>250</v>
      </c>
      <c r="F1785" s="17" t="s">
        <v>19</v>
      </c>
      <c r="G1785" s="17" t="s">
        <v>243</v>
      </c>
      <c r="H1785" s="18">
        <v>0.1</v>
      </c>
      <c r="I1785" s="18">
        <v>1013.78</v>
      </c>
      <c r="J1785" s="7" t="str">
        <f>IFERROR(_xlfn.XLOOKUP(F1785,ccustos!A:A,ccustos!B:B),"Sem termo")</f>
        <v>SEGED</v>
      </c>
    </row>
    <row r="1786" spans="1:10" ht="25.5" customHeight="1" x14ac:dyDescent="0.25">
      <c r="A1786" s="14">
        <v>13351</v>
      </c>
      <c r="B1786" s="7" t="s">
        <v>236</v>
      </c>
      <c r="C1786" s="7" t="s">
        <v>1230</v>
      </c>
      <c r="D1786" s="7" t="s">
        <v>1231</v>
      </c>
      <c r="E1786" s="7" t="s">
        <v>250</v>
      </c>
      <c r="F1786" s="7" t="s">
        <v>8</v>
      </c>
      <c r="G1786" s="7" t="s">
        <v>243</v>
      </c>
      <c r="H1786" s="15">
        <v>0.1</v>
      </c>
      <c r="I1786" s="15">
        <v>143.05000000000001</v>
      </c>
      <c r="J1786" s="7" t="str">
        <f>IFERROR(_xlfn.XLOOKUP(F1786,ccustos!A:A,ccustos!B:B),"Sem termo")</f>
        <v>DEINFRA</v>
      </c>
    </row>
    <row r="1787" spans="1:10" ht="25.5" customHeight="1" x14ac:dyDescent="0.25">
      <c r="A1787" s="16">
        <v>13355</v>
      </c>
      <c r="B1787" s="17" t="s">
        <v>236</v>
      </c>
      <c r="C1787" s="17" t="s">
        <v>1209</v>
      </c>
      <c r="D1787" s="17" t="s">
        <v>1232</v>
      </c>
      <c r="E1787" s="17" t="s">
        <v>250</v>
      </c>
      <c r="F1787" s="17" t="s">
        <v>8</v>
      </c>
      <c r="G1787" s="17" t="s">
        <v>243</v>
      </c>
      <c r="H1787" s="18">
        <v>0.1</v>
      </c>
      <c r="I1787" s="18">
        <v>1013.78</v>
      </c>
      <c r="J1787" s="7" t="str">
        <f>IFERROR(_xlfn.XLOOKUP(F1787,ccustos!A:A,ccustos!B:B),"Sem termo")</f>
        <v>DEINFRA</v>
      </c>
    </row>
    <row r="1788" spans="1:10" ht="25.5" customHeight="1" x14ac:dyDescent="0.25">
      <c r="A1788" s="14">
        <v>13356</v>
      </c>
      <c r="B1788" s="7" t="s">
        <v>236</v>
      </c>
      <c r="C1788" s="7" t="s">
        <v>908</v>
      </c>
      <c r="D1788" s="7" t="s">
        <v>1233</v>
      </c>
      <c r="E1788" s="7" t="s">
        <v>239</v>
      </c>
      <c r="F1788" s="7" t="s">
        <v>56</v>
      </c>
      <c r="G1788" s="7" t="s">
        <v>243</v>
      </c>
      <c r="H1788" s="15">
        <v>0.1</v>
      </c>
      <c r="I1788" s="15">
        <v>56.2</v>
      </c>
      <c r="J1788" s="7" t="str">
        <f>IFERROR(_xlfn.XLOOKUP(F1788,ccustos!A:A,ccustos!B:B),"Sem termo")</f>
        <v>SEPROT</v>
      </c>
    </row>
    <row r="1789" spans="1:10" ht="25.5" customHeight="1" x14ac:dyDescent="0.25">
      <c r="A1789" s="16">
        <v>13357</v>
      </c>
      <c r="B1789" s="17" t="s">
        <v>236</v>
      </c>
      <c r="C1789" s="17" t="s">
        <v>1234</v>
      </c>
      <c r="D1789" s="17" t="s">
        <v>1235</v>
      </c>
      <c r="E1789" s="17" t="s">
        <v>250</v>
      </c>
      <c r="F1789" s="17" t="s">
        <v>0</v>
      </c>
      <c r="G1789" s="17" t="s">
        <v>243</v>
      </c>
      <c r="H1789" s="18">
        <v>0</v>
      </c>
      <c r="I1789" s="18">
        <v>459.4</v>
      </c>
      <c r="J1789" s="7" t="str">
        <f>IFERROR(_xlfn.XLOOKUP(F1789,ccustos!A:A,ccustos!B:B),"Sem termo")</f>
        <v>SEPAT</v>
      </c>
    </row>
    <row r="1790" spans="1:10" ht="25.5" customHeight="1" x14ac:dyDescent="0.25">
      <c r="A1790" s="14">
        <v>13358</v>
      </c>
      <c r="B1790" s="7" t="s">
        <v>236</v>
      </c>
      <c r="C1790" s="7" t="s">
        <v>1234</v>
      </c>
      <c r="D1790" s="7" t="s">
        <v>1236</v>
      </c>
      <c r="E1790" s="7" t="s">
        <v>250</v>
      </c>
      <c r="F1790" s="7" t="s">
        <v>0</v>
      </c>
      <c r="G1790" s="7" t="s">
        <v>243</v>
      </c>
      <c r="H1790" s="15">
        <v>0</v>
      </c>
      <c r="I1790" s="15">
        <v>459.4</v>
      </c>
      <c r="J1790" s="7" t="str">
        <f>IFERROR(_xlfn.XLOOKUP(F1790,ccustos!A:A,ccustos!B:B),"Sem termo")</f>
        <v>SEPAT</v>
      </c>
    </row>
    <row r="1791" spans="1:10" ht="25.5" customHeight="1" x14ac:dyDescent="0.25">
      <c r="A1791" s="16">
        <v>13359</v>
      </c>
      <c r="B1791" s="17" t="s">
        <v>236</v>
      </c>
      <c r="C1791" s="17" t="s">
        <v>1234</v>
      </c>
      <c r="D1791" s="17" t="s">
        <v>1237</v>
      </c>
      <c r="E1791" s="17" t="s">
        <v>250</v>
      </c>
      <c r="F1791" s="17" t="s">
        <v>0</v>
      </c>
      <c r="G1791" s="17" t="s">
        <v>243</v>
      </c>
      <c r="H1791" s="18">
        <v>0</v>
      </c>
      <c r="I1791" s="18">
        <v>459.4</v>
      </c>
      <c r="J1791" s="7" t="str">
        <f>IFERROR(_xlfn.XLOOKUP(F1791,ccustos!A:A,ccustos!B:B),"Sem termo")</f>
        <v>SEPAT</v>
      </c>
    </row>
    <row r="1792" spans="1:10" ht="25.5" customHeight="1" x14ac:dyDescent="0.25">
      <c r="A1792" s="14">
        <v>13361</v>
      </c>
      <c r="B1792" s="7" t="s">
        <v>236</v>
      </c>
      <c r="C1792" s="7" t="s">
        <v>1238</v>
      </c>
      <c r="D1792" s="7" t="s">
        <v>1239</v>
      </c>
      <c r="E1792" s="7" t="s">
        <v>1240</v>
      </c>
      <c r="F1792" s="7" t="s">
        <v>7</v>
      </c>
      <c r="G1792" s="7" t="s">
        <v>1241</v>
      </c>
      <c r="H1792" s="15">
        <v>2429000</v>
      </c>
      <c r="I1792" s="15">
        <v>22000000</v>
      </c>
      <c r="J1792" s="7" t="str">
        <f>IFERROR(_xlfn.XLOOKUP(F1792,ccustos!A:A,ccustos!B:B),"Sem termo")</f>
        <v>SEPAT</v>
      </c>
    </row>
    <row r="1793" spans="1:10" ht="25.5" customHeight="1" x14ac:dyDescent="0.25">
      <c r="A1793" s="16">
        <v>13362</v>
      </c>
      <c r="B1793" s="17" t="s">
        <v>236</v>
      </c>
      <c r="C1793" s="17" t="s">
        <v>1242</v>
      </c>
      <c r="D1793" s="17" t="s">
        <v>1243</v>
      </c>
      <c r="E1793" s="17" t="s">
        <v>1244</v>
      </c>
      <c r="F1793" s="17" t="s">
        <v>7</v>
      </c>
      <c r="G1793" s="17" t="s">
        <v>1241</v>
      </c>
      <c r="H1793" s="18">
        <v>14767000</v>
      </c>
      <c r="I1793" s="18">
        <v>60000000</v>
      </c>
      <c r="J1793" s="7" t="str">
        <f>IFERROR(_xlfn.XLOOKUP(F1793,ccustos!A:A,ccustos!B:B),"Sem termo")</f>
        <v>SEPAT</v>
      </c>
    </row>
    <row r="1794" spans="1:10" ht="25.5" customHeight="1" x14ac:dyDescent="0.25">
      <c r="A1794" s="14">
        <v>13363</v>
      </c>
      <c r="B1794" s="7" t="s">
        <v>236</v>
      </c>
      <c r="C1794" s="7" t="s">
        <v>1245</v>
      </c>
      <c r="D1794" s="7" t="s">
        <v>1246</v>
      </c>
      <c r="E1794" s="7" t="s">
        <v>1245</v>
      </c>
      <c r="F1794" s="7" t="s">
        <v>84</v>
      </c>
      <c r="G1794" s="7" t="s">
        <v>1241</v>
      </c>
      <c r="H1794" s="15">
        <v>330000</v>
      </c>
      <c r="I1794" s="15">
        <v>305000</v>
      </c>
      <c r="J1794" s="7" t="str">
        <f>IFERROR(_xlfn.XLOOKUP(F1794,ccustos!A:A,ccustos!B:B),"Sem termo")</f>
        <v>DEINFRA</v>
      </c>
    </row>
    <row r="1795" spans="1:10" ht="25.5" customHeight="1" x14ac:dyDescent="0.25">
      <c r="A1795" s="16">
        <v>13364</v>
      </c>
      <c r="B1795" s="17" t="s">
        <v>236</v>
      </c>
      <c r="C1795" s="17" t="s">
        <v>474</v>
      </c>
      <c r="D1795" s="17" t="s">
        <v>1247</v>
      </c>
      <c r="E1795" s="17" t="s">
        <v>250</v>
      </c>
      <c r="F1795" s="17" t="s">
        <v>19</v>
      </c>
      <c r="G1795" s="17" t="s">
        <v>1205</v>
      </c>
      <c r="H1795" s="18">
        <v>7796.99</v>
      </c>
      <c r="I1795" s="18">
        <v>5818.06</v>
      </c>
      <c r="J1795" s="7" t="str">
        <f>IFERROR(_xlfn.XLOOKUP(F1795,ccustos!A:A,ccustos!B:B),"Sem termo")</f>
        <v>SEGED</v>
      </c>
    </row>
    <row r="1796" spans="1:10" ht="25.5" customHeight="1" x14ac:dyDescent="0.25">
      <c r="A1796" s="14">
        <v>13365</v>
      </c>
      <c r="B1796" s="7" t="s">
        <v>236</v>
      </c>
      <c r="C1796" s="7" t="s">
        <v>337</v>
      </c>
      <c r="D1796" s="7" t="s">
        <v>1248</v>
      </c>
      <c r="E1796" s="7" t="s">
        <v>239</v>
      </c>
      <c r="F1796" s="7" t="s">
        <v>70</v>
      </c>
      <c r="G1796" s="7" t="s">
        <v>1202</v>
      </c>
      <c r="H1796" s="15">
        <v>1120</v>
      </c>
      <c r="I1796" s="15">
        <v>947.57</v>
      </c>
      <c r="J1796" s="7" t="str">
        <f>IFERROR(_xlfn.XLOOKUP(F1796,ccustos!A:A,ccustos!B:B),"Sem termo")</f>
        <v>SEBIB</v>
      </c>
    </row>
    <row r="1797" spans="1:10" ht="25.5" customHeight="1" x14ac:dyDescent="0.25">
      <c r="A1797" s="16">
        <v>13366</v>
      </c>
      <c r="B1797" s="17" t="s">
        <v>236</v>
      </c>
      <c r="C1797" s="17" t="s">
        <v>337</v>
      </c>
      <c r="D1797" s="17" t="s">
        <v>1248</v>
      </c>
      <c r="E1797" s="17" t="s">
        <v>239</v>
      </c>
      <c r="F1797" s="17" t="s">
        <v>70</v>
      </c>
      <c r="G1797" s="17" t="s">
        <v>1202</v>
      </c>
      <c r="H1797" s="18">
        <v>1120</v>
      </c>
      <c r="I1797" s="18">
        <v>947.57</v>
      </c>
      <c r="J1797" s="7" t="str">
        <f>IFERROR(_xlfn.XLOOKUP(F1797,ccustos!A:A,ccustos!B:B),"Sem termo")</f>
        <v>SEBIB</v>
      </c>
    </row>
    <row r="1798" spans="1:10" ht="25.5" customHeight="1" x14ac:dyDescent="0.25">
      <c r="A1798" s="14">
        <v>13367</v>
      </c>
      <c r="B1798" s="7" t="s">
        <v>236</v>
      </c>
      <c r="C1798" s="7" t="s">
        <v>337</v>
      </c>
      <c r="D1798" s="7" t="s">
        <v>1248</v>
      </c>
      <c r="E1798" s="7" t="s">
        <v>239</v>
      </c>
      <c r="F1798" s="7" t="s">
        <v>70</v>
      </c>
      <c r="G1798" s="7" t="s">
        <v>1202</v>
      </c>
      <c r="H1798" s="15">
        <v>1120</v>
      </c>
      <c r="I1798" s="15">
        <v>947.57</v>
      </c>
      <c r="J1798" s="7" t="str">
        <f>IFERROR(_xlfn.XLOOKUP(F1798,ccustos!A:A,ccustos!B:B),"Sem termo")</f>
        <v>SEBIB</v>
      </c>
    </row>
    <row r="1799" spans="1:10" ht="25.5" customHeight="1" x14ac:dyDescent="0.25">
      <c r="A1799" s="16">
        <v>13368</v>
      </c>
      <c r="B1799" s="17" t="s">
        <v>236</v>
      </c>
      <c r="C1799" s="17" t="s">
        <v>241</v>
      </c>
      <c r="D1799" s="17" t="s">
        <v>1249</v>
      </c>
      <c r="E1799" s="17" t="s">
        <v>239</v>
      </c>
      <c r="F1799" s="17" t="s">
        <v>70</v>
      </c>
      <c r="G1799" s="17" t="s">
        <v>1202</v>
      </c>
      <c r="H1799" s="18">
        <v>2200</v>
      </c>
      <c r="I1799" s="18">
        <v>1755.77</v>
      </c>
      <c r="J1799" s="7" t="str">
        <f>IFERROR(_xlfn.XLOOKUP(F1799,ccustos!A:A,ccustos!B:B),"Sem termo")</f>
        <v>SEBIB</v>
      </c>
    </row>
    <row r="1800" spans="1:10" ht="25.5" customHeight="1" x14ac:dyDescent="0.25">
      <c r="A1800" s="14">
        <v>13369</v>
      </c>
      <c r="B1800" s="7" t="s">
        <v>236</v>
      </c>
      <c r="C1800" s="7" t="s">
        <v>241</v>
      </c>
      <c r="D1800" s="7" t="s">
        <v>1249</v>
      </c>
      <c r="E1800" s="7" t="s">
        <v>239</v>
      </c>
      <c r="F1800" s="7" t="s">
        <v>70</v>
      </c>
      <c r="G1800" s="7" t="s">
        <v>1202</v>
      </c>
      <c r="H1800" s="15">
        <v>3080</v>
      </c>
      <c r="I1800" s="15">
        <v>2427.27</v>
      </c>
      <c r="J1800" s="7" t="str">
        <f>IFERROR(_xlfn.XLOOKUP(F1800,ccustos!A:A,ccustos!B:B),"Sem termo")</f>
        <v>SEBIB</v>
      </c>
    </row>
    <row r="1801" spans="1:10" ht="14.25" customHeight="1" x14ac:dyDescent="0.25">
      <c r="A1801" s="16">
        <v>13370</v>
      </c>
      <c r="B1801" s="17" t="s">
        <v>236</v>
      </c>
      <c r="C1801" s="17" t="s">
        <v>306</v>
      </c>
      <c r="D1801" s="17" t="s">
        <v>1250</v>
      </c>
      <c r="E1801" s="17" t="s">
        <v>239</v>
      </c>
      <c r="F1801" s="17" t="s">
        <v>70</v>
      </c>
      <c r="G1801" s="17" t="s">
        <v>1202</v>
      </c>
      <c r="H1801" s="18">
        <v>1490</v>
      </c>
      <c r="I1801" s="18">
        <v>1189.04</v>
      </c>
      <c r="J1801" s="7" t="str">
        <f>IFERROR(_xlfn.XLOOKUP(F1801,ccustos!A:A,ccustos!B:B),"Sem termo")</f>
        <v>SEBIB</v>
      </c>
    </row>
    <row r="1802" spans="1:10" ht="25.5" customHeight="1" x14ac:dyDescent="0.25">
      <c r="A1802" s="14">
        <v>13371</v>
      </c>
      <c r="B1802" s="7" t="s">
        <v>236</v>
      </c>
      <c r="C1802" s="7" t="s">
        <v>306</v>
      </c>
      <c r="D1802" s="7" t="s">
        <v>1250</v>
      </c>
      <c r="E1802" s="7" t="s">
        <v>239</v>
      </c>
      <c r="F1802" s="7" t="s">
        <v>70</v>
      </c>
      <c r="G1802" s="7" t="s">
        <v>1202</v>
      </c>
      <c r="H1802" s="15">
        <v>1490</v>
      </c>
      <c r="I1802" s="15">
        <v>1189.04</v>
      </c>
      <c r="J1802" s="7" t="str">
        <f>IFERROR(_xlfn.XLOOKUP(F1802,ccustos!A:A,ccustos!B:B),"Sem termo")</f>
        <v>SEBIB</v>
      </c>
    </row>
    <row r="1803" spans="1:10" ht="25.5" customHeight="1" x14ac:dyDescent="0.25">
      <c r="A1803" s="16">
        <v>13372</v>
      </c>
      <c r="B1803" s="17" t="s">
        <v>236</v>
      </c>
      <c r="C1803" s="17" t="s">
        <v>306</v>
      </c>
      <c r="D1803" s="17" t="s">
        <v>1250</v>
      </c>
      <c r="E1803" s="17" t="s">
        <v>239</v>
      </c>
      <c r="F1803" s="17" t="s">
        <v>70</v>
      </c>
      <c r="G1803" s="17" t="s">
        <v>1202</v>
      </c>
      <c r="H1803" s="18">
        <v>1490</v>
      </c>
      <c r="I1803" s="18">
        <v>1189.04</v>
      </c>
      <c r="J1803" s="7" t="str">
        <f>IFERROR(_xlfn.XLOOKUP(F1803,ccustos!A:A,ccustos!B:B),"Sem termo")</f>
        <v>SEBIB</v>
      </c>
    </row>
    <row r="1804" spans="1:10" ht="36.75" customHeight="1" x14ac:dyDescent="0.25">
      <c r="A1804" s="14">
        <v>13373</v>
      </c>
      <c r="B1804" s="7" t="s">
        <v>236</v>
      </c>
      <c r="C1804" s="7" t="s">
        <v>306</v>
      </c>
      <c r="D1804" s="7" t="s">
        <v>1250</v>
      </c>
      <c r="E1804" s="7" t="s">
        <v>239</v>
      </c>
      <c r="F1804" s="7" t="s">
        <v>70</v>
      </c>
      <c r="G1804" s="7" t="s">
        <v>1202</v>
      </c>
      <c r="H1804" s="15">
        <v>1490</v>
      </c>
      <c r="I1804" s="15">
        <v>1189.04</v>
      </c>
      <c r="J1804" s="7" t="str">
        <f>IFERROR(_xlfn.XLOOKUP(F1804,ccustos!A:A,ccustos!B:B),"Sem termo")</f>
        <v>SEBIB</v>
      </c>
    </row>
    <row r="1805" spans="1:10" ht="25.5" customHeight="1" x14ac:dyDescent="0.25">
      <c r="A1805" s="16">
        <v>13374</v>
      </c>
      <c r="B1805" s="17" t="s">
        <v>236</v>
      </c>
      <c r="C1805" s="17" t="s">
        <v>241</v>
      </c>
      <c r="D1805" s="17" t="s">
        <v>1249</v>
      </c>
      <c r="E1805" s="17" t="s">
        <v>239</v>
      </c>
      <c r="F1805" s="17" t="s">
        <v>70</v>
      </c>
      <c r="G1805" s="17" t="s">
        <v>1202</v>
      </c>
      <c r="H1805" s="18">
        <v>2200</v>
      </c>
      <c r="I1805" s="18">
        <v>1755.77</v>
      </c>
      <c r="J1805" s="7" t="str">
        <f>IFERROR(_xlfn.XLOOKUP(F1805,ccustos!A:A,ccustos!B:B),"Sem termo")</f>
        <v>SEBIB</v>
      </c>
    </row>
    <row r="1806" spans="1:10" ht="25.5" customHeight="1" x14ac:dyDescent="0.25">
      <c r="A1806" s="14">
        <v>13375</v>
      </c>
      <c r="B1806" s="7" t="s">
        <v>236</v>
      </c>
      <c r="C1806" s="7" t="s">
        <v>237</v>
      </c>
      <c r="D1806" s="7" t="s">
        <v>1201</v>
      </c>
      <c r="E1806" s="7" t="s">
        <v>239</v>
      </c>
      <c r="F1806" s="7" t="s">
        <v>14</v>
      </c>
      <c r="G1806" s="7" t="s">
        <v>1202</v>
      </c>
      <c r="H1806" s="15">
        <v>1755</v>
      </c>
      <c r="I1806" s="15">
        <v>1500.72</v>
      </c>
      <c r="J1806" s="7" t="str">
        <f>IFERROR(_xlfn.XLOOKUP(F1806,ccustos!A:A,ccustos!B:B),"Sem termo")</f>
        <v>SEPAT</v>
      </c>
    </row>
    <row r="1807" spans="1:10" ht="25.5" customHeight="1" x14ac:dyDescent="0.25">
      <c r="A1807" s="16">
        <v>13376</v>
      </c>
      <c r="B1807" s="17" t="s">
        <v>236</v>
      </c>
      <c r="C1807" s="17" t="s">
        <v>1251</v>
      </c>
      <c r="D1807" s="17" t="s">
        <v>1252</v>
      </c>
      <c r="E1807" s="17" t="s">
        <v>335</v>
      </c>
      <c r="F1807" s="17" t="s">
        <v>78</v>
      </c>
      <c r="G1807" s="17" t="s">
        <v>1253</v>
      </c>
      <c r="H1807" s="18">
        <v>1040</v>
      </c>
      <c r="I1807" s="18">
        <v>844.87</v>
      </c>
      <c r="J1807" s="7" t="str">
        <f>IFERROR(_xlfn.XLOOKUP(F1807,ccustos!A:A,ccustos!B:B),"Sem termo")</f>
        <v>CGTI</v>
      </c>
    </row>
    <row r="1808" spans="1:10" ht="25.5" customHeight="1" x14ac:dyDescent="0.25">
      <c r="A1808" s="14">
        <v>13377</v>
      </c>
      <c r="B1808" s="7" t="s">
        <v>236</v>
      </c>
      <c r="C1808" s="7" t="s">
        <v>1251</v>
      </c>
      <c r="D1808" s="7" t="s">
        <v>1252</v>
      </c>
      <c r="E1808" s="7" t="s">
        <v>335</v>
      </c>
      <c r="F1808" s="7" t="s">
        <v>78</v>
      </c>
      <c r="G1808" s="7" t="s">
        <v>1253</v>
      </c>
      <c r="H1808" s="15">
        <v>1040</v>
      </c>
      <c r="I1808" s="15">
        <v>844.87</v>
      </c>
      <c r="J1808" s="7" t="str">
        <f>IFERROR(_xlfn.XLOOKUP(F1808,ccustos!A:A,ccustos!B:B),"Sem termo")</f>
        <v>CGTI</v>
      </c>
    </row>
    <row r="1809" spans="1:10" ht="25.5" customHeight="1" x14ac:dyDescent="0.25">
      <c r="A1809" s="16">
        <v>13378</v>
      </c>
      <c r="B1809" s="17" t="s">
        <v>236</v>
      </c>
      <c r="C1809" s="17" t="s">
        <v>1251</v>
      </c>
      <c r="D1809" s="17" t="s">
        <v>1252</v>
      </c>
      <c r="E1809" s="17" t="s">
        <v>335</v>
      </c>
      <c r="F1809" s="17" t="s">
        <v>78</v>
      </c>
      <c r="G1809" s="17" t="s">
        <v>1253</v>
      </c>
      <c r="H1809" s="18">
        <v>1040</v>
      </c>
      <c r="I1809" s="18">
        <v>844.87</v>
      </c>
      <c r="J1809" s="7" t="str">
        <f>IFERROR(_xlfn.XLOOKUP(F1809,ccustos!A:A,ccustos!B:B),"Sem termo")</f>
        <v>CGTI</v>
      </c>
    </row>
    <row r="1810" spans="1:10" ht="36.75" customHeight="1" x14ac:dyDescent="0.25">
      <c r="A1810" s="14">
        <v>13379</v>
      </c>
      <c r="B1810" s="7" t="s">
        <v>236</v>
      </c>
      <c r="C1810" s="7" t="s">
        <v>1251</v>
      </c>
      <c r="D1810" s="7" t="s">
        <v>1252</v>
      </c>
      <c r="E1810" s="7" t="s">
        <v>335</v>
      </c>
      <c r="F1810" s="7" t="s">
        <v>78</v>
      </c>
      <c r="G1810" s="7" t="s">
        <v>1253</v>
      </c>
      <c r="H1810" s="15">
        <v>1040</v>
      </c>
      <c r="I1810" s="15">
        <v>844.87</v>
      </c>
      <c r="J1810" s="7" t="str">
        <f>IFERROR(_xlfn.XLOOKUP(F1810,ccustos!A:A,ccustos!B:B),"Sem termo")</f>
        <v>CGTI</v>
      </c>
    </row>
    <row r="1811" spans="1:10" ht="25.5" customHeight="1" x14ac:dyDescent="0.25">
      <c r="A1811" s="16">
        <v>13380</v>
      </c>
      <c r="B1811" s="17" t="s">
        <v>236</v>
      </c>
      <c r="C1811" s="17" t="s">
        <v>1251</v>
      </c>
      <c r="D1811" s="17" t="s">
        <v>1252</v>
      </c>
      <c r="E1811" s="17" t="s">
        <v>335</v>
      </c>
      <c r="F1811" s="17" t="s">
        <v>78</v>
      </c>
      <c r="G1811" s="17" t="s">
        <v>1253</v>
      </c>
      <c r="H1811" s="18">
        <v>1040</v>
      </c>
      <c r="I1811" s="18">
        <v>844.87</v>
      </c>
      <c r="J1811" s="7" t="str">
        <f>IFERROR(_xlfn.XLOOKUP(F1811,ccustos!A:A,ccustos!B:B),"Sem termo")</f>
        <v>CGTI</v>
      </c>
    </row>
    <row r="1812" spans="1:10" ht="36.75" customHeight="1" x14ac:dyDescent="0.25">
      <c r="A1812" s="14">
        <v>13381</v>
      </c>
      <c r="B1812" s="7" t="s">
        <v>236</v>
      </c>
      <c r="C1812" s="7" t="s">
        <v>1251</v>
      </c>
      <c r="D1812" s="7" t="s">
        <v>1252</v>
      </c>
      <c r="E1812" s="7" t="s">
        <v>335</v>
      </c>
      <c r="F1812" s="7" t="s">
        <v>78</v>
      </c>
      <c r="G1812" s="7" t="s">
        <v>1253</v>
      </c>
      <c r="H1812" s="15">
        <v>1040</v>
      </c>
      <c r="I1812" s="15">
        <v>844.87</v>
      </c>
      <c r="J1812" s="7" t="str">
        <f>IFERROR(_xlfn.XLOOKUP(F1812,ccustos!A:A,ccustos!B:B),"Sem termo")</f>
        <v>CGTI</v>
      </c>
    </row>
    <row r="1813" spans="1:10" ht="25.5" customHeight="1" x14ac:dyDescent="0.25">
      <c r="A1813" s="16">
        <v>13382</v>
      </c>
      <c r="B1813" s="17" t="s">
        <v>236</v>
      </c>
      <c r="C1813" s="17" t="s">
        <v>1251</v>
      </c>
      <c r="D1813" s="17" t="s">
        <v>1252</v>
      </c>
      <c r="E1813" s="17" t="s">
        <v>335</v>
      </c>
      <c r="F1813" s="17" t="s">
        <v>78</v>
      </c>
      <c r="G1813" s="17" t="s">
        <v>1253</v>
      </c>
      <c r="H1813" s="18">
        <v>1040</v>
      </c>
      <c r="I1813" s="18">
        <v>844.87</v>
      </c>
      <c r="J1813" s="7" t="str">
        <f>IFERROR(_xlfn.XLOOKUP(F1813,ccustos!A:A,ccustos!B:B),"Sem termo")</f>
        <v>CGTI</v>
      </c>
    </row>
    <row r="1814" spans="1:10" ht="25.5" customHeight="1" x14ac:dyDescent="0.25">
      <c r="A1814" s="14">
        <v>13383</v>
      </c>
      <c r="B1814" s="7" t="s">
        <v>236</v>
      </c>
      <c r="C1814" s="7" t="s">
        <v>1251</v>
      </c>
      <c r="D1814" s="7" t="s">
        <v>1252</v>
      </c>
      <c r="E1814" s="7" t="s">
        <v>335</v>
      </c>
      <c r="F1814" s="7" t="s">
        <v>78</v>
      </c>
      <c r="G1814" s="7" t="s">
        <v>1253</v>
      </c>
      <c r="H1814" s="15">
        <v>1040</v>
      </c>
      <c r="I1814" s="15">
        <v>844.87</v>
      </c>
      <c r="J1814" s="7" t="str">
        <f>IFERROR(_xlfn.XLOOKUP(F1814,ccustos!A:A,ccustos!B:B),"Sem termo")</f>
        <v>CGTI</v>
      </c>
    </row>
    <row r="1815" spans="1:10" ht="25.5" customHeight="1" x14ac:dyDescent="0.25">
      <c r="A1815" s="16">
        <v>13384</v>
      </c>
      <c r="B1815" s="17" t="s">
        <v>236</v>
      </c>
      <c r="C1815" s="17" t="s">
        <v>1251</v>
      </c>
      <c r="D1815" s="17" t="s">
        <v>1252</v>
      </c>
      <c r="E1815" s="17" t="s">
        <v>335</v>
      </c>
      <c r="F1815" s="17" t="s">
        <v>78</v>
      </c>
      <c r="G1815" s="17" t="s">
        <v>1253</v>
      </c>
      <c r="H1815" s="18">
        <v>1040</v>
      </c>
      <c r="I1815" s="18">
        <v>844.87</v>
      </c>
      <c r="J1815" s="7" t="str">
        <f>IFERROR(_xlfn.XLOOKUP(F1815,ccustos!A:A,ccustos!B:B),"Sem termo")</f>
        <v>CGTI</v>
      </c>
    </row>
    <row r="1816" spans="1:10" ht="25.5" customHeight="1" x14ac:dyDescent="0.25">
      <c r="A1816" s="14">
        <v>13385</v>
      </c>
      <c r="B1816" s="7" t="s">
        <v>236</v>
      </c>
      <c r="C1816" s="7" t="s">
        <v>1251</v>
      </c>
      <c r="D1816" s="7" t="s">
        <v>1252</v>
      </c>
      <c r="E1816" s="7" t="s">
        <v>335</v>
      </c>
      <c r="F1816" s="7" t="s">
        <v>78</v>
      </c>
      <c r="G1816" s="7" t="s">
        <v>1253</v>
      </c>
      <c r="H1816" s="15">
        <v>1040</v>
      </c>
      <c r="I1816" s="15">
        <v>844.87</v>
      </c>
      <c r="J1816" s="7" t="str">
        <f>IFERROR(_xlfn.XLOOKUP(F1816,ccustos!A:A,ccustos!B:B),"Sem termo")</f>
        <v>CGTI</v>
      </c>
    </row>
    <row r="1817" spans="1:10" ht="25.5" customHeight="1" x14ac:dyDescent="0.25">
      <c r="A1817" s="16">
        <v>13386</v>
      </c>
      <c r="B1817" s="17" t="s">
        <v>236</v>
      </c>
      <c r="C1817" s="17" t="s">
        <v>1251</v>
      </c>
      <c r="D1817" s="17" t="s">
        <v>1252</v>
      </c>
      <c r="E1817" s="17" t="s">
        <v>335</v>
      </c>
      <c r="F1817" s="17" t="s">
        <v>78</v>
      </c>
      <c r="G1817" s="17" t="s">
        <v>1253</v>
      </c>
      <c r="H1817" s="18">
        <v>1040</v>
      </c>
      <c r="I1817" s="18">
        <v>844.87</v>
      </c>
      <c r="J1817" s="7" t="str">
        <f>IFERROR(_xlfn.XLOOKUP(F1817,ccustos!A:A,ccustos!B:B),"Sem termo")</f>
        <v>CGTI</v>
      </c>
    </row>
    <row r="1818" spans="1:10" ht="25.5" customHeight="1" x14ac:dyDescent="0.25">
      <c r="A1818" s="14">
        <v>13387</v>
      </c>
      <c r="B1818" s="7" t="s">
        <v>236</v>
      </c>
      <c r="C1818" s="7" t="s">
        <v>1251</v>
      </c>
      <c r="D1818" s="7" t="s">
        <v>1252</v>
      </c>
      <c r="E1818" s="7" t="s">
        <v>335</v>
      </c>
      <c r="F1818" s="7" t="s">
        <v>78</v>
      </c>
      <c r="G1818" s="7" t="s">
        <v>1253</v>
      </c>
      <c r="H1818" s="15">
        <v>1040</v>
      </c>
      <c r="I1818" s="15">
        <v>844.87</v>
      </c>
      <c r="J1818" s="7" t="str">
        <f>IFERROR(_xlfn.XLOOKUP(F1818,ccustos!A:A,ccustos!B:B),"Sem termo")</f>
        <v>CGTI</v>
      </c>
    </row>
    <row r="1819" spans="1:10" ht="25.5" customHeight="1" x14ac:dyDescent="0.25">
      <c r="A1819" s="16">
        <v>13389</v>
      </c>
      <c r="B1819" s="17" t="s">
        <v>236</v>
      </c>
      <c r="C1819" s="17" t="s">
        <v>831</v>
      </c>
      <c r="D1819" s="17" t="s">
        <v>1254</v>
      </c>
      <c r="E1819" s="17" t="s">
        <v>335</v>
      </c>
      <c r="F1819" s="17" t="s">
        <v>6</v>
      </c>
      <c r="G1819" s="17" t="s">
        <v>1255</v>
      </c>
      <c r="H1819" s="18">
        <v>21060</v>
      </c>
      <c r="I1819" s="18">
        <v>14797.94</v>
      </c>
      <c r="J1819" s="7" t="str">
        <f>IFERROR(_xlfn.XLOOKUP(F1819,ccustos!A:A,ccustos!B:B),"Sem termo")</f>
        <v>SEPAT</v>
      </c>
    </row>
    <row r="1820" spans="1:10" ht="25.5" customHeight="1" x14ac:dyDescent="0.25">
      <c r="A1820" s="14">
        <v>13390</v>
      </c>
      <c r="B1820" s="7" t="s">
        <v>236</v>
      </c>
      <c r="C1820" s="7" t="s">
        <v>1209</v>
      </c>
      <c r="D1820" s="7" t="s">
        <v>1256</v>
      </c>
      <c r="E1820" s="7" t="s">
        <v>250</v>
      </c>
      <c r="F1820" s="7" t="s">
        <v>0</v>
      </c>
      <c r="G1820" s="7" t="s">
        <v>1257</v>
      </c>
      <c r="H1820" s="15">
        <v>5500</v>
      </c>
      <c r="I1820" s="15">
        <v>4833.9399999999996</v>
      </c>
      <c r="J1820" s="7" t="str">
        <f>IFERROR(_xlfn.XLOOKUP(F1820,ccustos!A:A,ccustos!B:B),"Sem termo")</f>
        <v>SEPAT</v>
      </c>
    </row>
    <row r="1821" spans="1:10" ht="25.5" customHeight="1" x14ac:dyDescent="0.25">
      <c r="A1821" s="16">
        <v>13391</v>
      </c>
      <c r="B1821" s="17" t="s">
        <v>236</v>
      </c>
      <c r="C1821" s="17" t="s">
        <v>1209</v>
      </c>
      <c r="D1821" s="17" t="s">
        <v>1258</v>
      </c>
      <c r="E1821" s="17" t="s">
        <v>250</v>
      </c>
      <c r="F1821" s="17" t="s">
        <v>0</v>
      </c>
      <c r="G1821" s="17" t="s">
        <v>1257</v>
      </c>
      <c r="H1821" s="18">
        <v>8000</v>
      </c>
      <c r="I1821" s="18">
        <v>7204.03</v>
      </c>
      <c r="J1821" s="7" t="str">
        <f>IFERROR(_xlfn.XLOOKUP(F1821,ccustos!A:A,ccustos!B:B),"Sem termo")</f>
        <v>SEPAT</v>
      </c>
    </row>
    <row r="1822" spans="1:10" ht="36.75" customHeight="1" x14ac:dyDescent="0.25">
      <c r="A1822" s="14">
        <v>13392</v>
      </c>
      <c r="B1822" s="7" t="s">
        <v>236</v>
      </c>
      <c r="C1822" s="7" t="s">
        <v>1209</v>
      </c>
      <c r="D1822" s="7" t="s">
        <v>1259</v>
      </c>
      <c r="E1822" s="7" t="s">
        <v>250</v>
      </c>
      <c r="F1822" s="7" t="s">
        <v>2</v>
      </c>
      <c r="G1822" s="7" t="s">
        <v>1257</v>
      </c>
      <c r="H1822" s="15">
        <v>5233.34</v>
      </c>
      <c r="I1822" s="15">
        <v>4599.57</v>
      </c>
      <c r="J1822" s="7" t="str">
        <f>IFERROR(_xlfn.XLOOKUP(F1822,ccustos!A:A,ccustos!B:B),"Sem termo")</f>
        <v>SEGED</v>
      </c>
    </row>
    <row r="1823" spans="1:10" ht="25.5" customHeight="1" x14ac:dyDescent="0.25">
      <c r="A1823" s="16">
        <v>13393</v>
      </c>
      <c r="B1823" s="17" t="s">
        <v>236</v>
      </c>
      <c r="C1823" s="17" t="s">
        <v>1209</v>
      </c>
      <c r="D1823" s="17" t="s">
        <v>1260</v>
      </c>
      <c r="E1823" s="17" t="s">
        <v>250</v>
      </c>
      <c r="F1823" s="17" t="s">
        <v>2</v>
      </c>
      <c r="G1823" s="17" t="s">
        <v>1257</v>
      </c>
      <c r="H1823" s="18">
        <v>5233.33</v>
      </c>
      <c r="I1823" s="18">
        <v>4599.5600000000004</v>
      </c>
      <c r="J1823" s="7" t="str">
        <f>IFERROR(_xlfn.XLOOKUP(F1823,ccustos!A:A,ccustos!B:B),"Sem termo")</f>
        <v>SEGED</v>
      </c>
    </row>
    <row r="1824" spans="1:10" ht="25.5" customHeight="1" x14ac:dyDescent="0.25">
      <c r="A1824" s="14">
        <v>13394</v>
      </c>
      <c r="B1824" s="7" t="s">
        <v>236</v>
      </c>
      <c r="C1824" s="7" t="s">
        <v>1209</v>
      </c>
      <c r="D1824" s="7" t="s">
        <v>1261</v>
      </c>
      <c r="E1824" s="7" t="s">
        <v>250</v>
      </c>
      <c r="F1824" s="7" t="s">
        <v>2</v>
      </c>
      <c r="G1824" s="7" t="s">
        <v>1257</v>
      </c>
      <c r="H1824" s="15">
        <v>5233.33</v>
      </c>
      <c r="I1824" s="15">
        <v>4599.5600000000004</v>
      </c>
      <c r="J1824" s="7" t="str">
        <f>IFERROR(_xlfn.XLOOKUP(F1824,ccustos!A:A,ccustos!B:B),"Sem termo")</f>
        <v>SEGED</v>
      </c>
    </row>
    <row r="1825" spans="1:10" ht="25.5" customHeight="1" x14ac:dyDescent="0.25">
      <c r="A1825" s="16">
        <v>13395</v>
      </c>
      <c r="B1825" s="17" t="s">
        <v>236</v>
      </c>
      <c r="C1825" s="17" t="s">
        <v>1164</v>
      </c>
      <c r="D1825" s="17" t="s">
        <v>1262</v>
      </c>
      <c r="E1825" s="17" t="s">
        <v>250</v>
      </c>
      <c r="F1825" s="17" t="s">
        <v>10</v>
      </c>
      <c r="G1825" s="17" t="s">
        <v>1263</v>
      </c>
      <c r="H1825" s="18">
        <v>5720</v>
      </c>
      <c r="I1825" s="18">
        <v>5064.88</v>
      </c>
      <c r="J1825" s="7" t="str">
        <f>IFERROR(_xlfn.XLOOKUP(F1825,ccustos!A:A,ccustos!B:B),"Sem termo")</f>
        <v>SEPAT</v>
      </c>
    </row>
    <row r="1826" spans="1:10" ht="25.5" customHeight="1" x14ac:dyDescent="0.25">
      <c r="A1826" s="14">
        <v>13397</v>
      </c>
      <c r="B1826" s="7" t="s">
        <v>236</v>
      </c>
      <c r="C1826" s="7" t="s">
        <v>333</v>
      </c>
      <c r="D1826" s="7" t="s">
        <v>1264</v>
      </c>
      <c r="E1826" s="7" t="s">
        <v>335</v>
      </c>
      <c r="F1826" s="7" t="s">
        <v>20</v>
      </c>
      <c r="G1826" s="7" t="s">
        <v>1265</v>
      </c>
      <c r="H1826" s="15">
        <v>487.89</v>
      </c>
      <c r="I1826" s="15">
        <v>487.98</v>
      </c>
      <c r="J1826" s="7" t="str">
        <f>IFERROR(_xlfn.XLOOKUP(F1826,ccustos!A:A,ccustos!B:B),"Sem termo")</f>
        <v>CGTI</v>
      </c>
    </row>
    <row r="1827" spans="1:10" ht="25.5" customHeight="1" x14ac:dyDescent="0.25">
      <c r="A1827" s="16">
        <v>13398</v>
      </c>
      <c r="B1827" s="17" t="s">
        <v>236</v>
      </c>
      <c r="C1827" s="17" t="s">
        <v>333</v>
      </c>
      <c r="D1827" s="17" t="s">
        <v>1264</v>
      </c>
      <c r="E1827" s="17" t="s">
        <v>335</v>
      </c>
      <c r="F1827" s="17" t="s">
        <v>53</v>
      </c>
      <c r="G1827" s="17" t="s">
        <v>1265</v>
      </c>
      <c r="H1827" s="18">
        <v>487.89</v>
      </c>
      <c r="I1827" s="18">
        <v>487.98</v>
      </c>
      <c r="J1827" s="7" t="str">
        <f>IFERROR(_xlfn.XLOOKUP(F1827,ccustos!A:A,ccustos!B:B),"Sem termo")</f>
        <v>DELIC</v>
      </c>
    </row>
    <row r="1828" spans="1:10" ht="25.5" customHeight="1" x14ac:dyDescent="0.25">
      <c r="A1828" s="14">
        <v>13399</v>
      </c>
      <c r="B1828" s="7" t="s">
        <v>236</v>
      </c>
      <c r="C1828" s="7" t="s">
        <v>333</v>
      </c>
      <c r="D1828" s="7" t="s">
        <v>1264</v>
      </c>
      <c r="E1828" s="7" t="s">
        <v>335</v>
      </c>
      <c r="F1828" s="7" t="s">
        <v>54</v>
      </c>
      <c r="G1828" s="7" t="s">
        <v>1265</v>
      </c>
      <c r="H1828" s="15">
        <v>487.89</v>
      </c>
      <c r="I1828" s="15">
        <v>487.98</v>
      </c>
      <c r="J1828" s="7" t="str">
        <f>IFERROR(_xlfn.XLOOKUP(F1828,ccustos!A:A,ccustos!B:B),"Sem termo")</f>
        <v>DEFIN</v>
      </c>
    </row>
    <row r="1829" spans="1:10" ht="25.5" customHeight="1" x14ac:dyDescent="0.25">
      <c r="A1829" s="16">
        <v>13401</v>
      </c>
      <c r="B1829" s="17" t="s">
        <v>236</v>
      </c>
      <c r="C1829" s="17" t="s">
        <v>333</v>
      </c>
      <c r="D1829" s="17" t="s">
        <v>1264</v>
      </c>
      <c r="E1829" s="17" t="s">
        <v>335</v>
      </c>
      <c r="F1829" s="17" t="s">
        <v>37</v>
      </c>
      <c r="G1829" s="17" t="s">
        <v>1265</v>
      </c>
      <c r="H1829" s="18">
        <v>487.89</v>
      </c>
      <c r="I1829" s="18">
        <v>487.98</v>
      </c>
      <c r="J1829" s="7" t="str">
        <f>IFERROR(_xlfn.XLOOKUP(F1829,ccustos!A:A,ccustos!B:B),"Sem termo")</f>
        <v>PROJUR</v>
      </c>
    </row>
    <row r="1830" spans="1:10" ht="25.5" customHeight="1" x14ac:dyDescent="0.25">
      <c r="A1830" s="14">
        <v>13402</v>
      </c>
      <c r="B1830" s="7" t="s">
        <v>236</v>
      </c>
      <c r="C1830" s="7" t="s">
        <v>333</v>
      </c>
      <c r="D1830" s="7" t="s">
        <v>1264</v>
      </c>
      <c r="E1830" s="7" t="s">
        <v>335</v>
      </c>
      <c r="F1830" s="7" t="s">
        <v>30</v>
      </c>
      <c r="G1830" s="7" t="s">
        <v>1265</v>
      </c>
      <c r="H1830" s="15">
        <v>487.89</v>
      </c>
      <c r="I1830" s="15">
        <v>487.98</v>
      </c>
      <c r="J1830" s="7" t="str">
        <f>IFERROR(_xlfn.XLOOKUP(F1830,ccustos!A:A,ccustos!B:B),"Sem termo")</f>
        <v>COFIS</v>
      </c>
    </row>
    <row r="1831" spans="1:10" ht="25.5" customHeight="1" x14ac:dyDescent="0.25">
      <c r="A1831" s="16">
        <v>13403</v>
      </c>
      <c r="B1831" s="17" t="s">
        <v>236</v>
      </c>
      <c r="C1831" s="17" t="s">
        <v>333</v>
      </c>
      <c r="D1831" s="17" t="s">
        <v>1264</v>
      </c>
      <c r="E1831" s="17" t="s">
        <v>335</v>
      </c>
      <c r="F1831" s="17" t="s">
        <v>205</v>
      </c>
      <c r="G1831" s="17" t="s">
        <v>1265</v>
      </c>
      <c r="H1831" s="18">
        <v>487.89</v>
      </c>
      <c r="I1831" s="18">
        <v>487.98</v>
      </c>
      <c r="J1831" s="7" t="str">
        <f>IFERROR(_xlfn.XLOOKUP(F1831,ccustos!A:A,ccustos!B:B),"Sem termo")</f>
        <v>CCOM</v>
      </c>
    </row>
    <row r="1832" spans="1:10" ht="25.5" customHeight="1" x14ac:dyDescent="0.25">
      <c r="A1832" s="14">
        <v>13404</v>
      </c>
      <c r="B1832" s="7" t="s">
        <v>236</v>
      </c>
      <c r="C1832" s="7" t="s">
        <v>333</v>
      </c>
      <c r="D1832" s="7" t="s">
        <v>1264</v>
      </c>
      <c r="E1832" s="7" t="s">
        <v>335</v>
      </c>
      <c r="F1832" s="7" t="s">
        <v>27</v>
      </c>
      <c r="G1832" s="7" t="s">
        <v>1265</v>
      </c>
      <c r="H1832" s="15">
        <v>487.89</v>
      </c>
      <c r="I1832" s="15">
        <v>487.98</v>
      </c>
      <c r="J1832" s="7" t="str">
        <f>IFERROR(_xlfn.XLOOKUP(F1832,ccustos!A:A,ccustos!B:B),"Sem termo")</f>
        <v>CCI</v>
      </c>
    </row>
    <row r="1833" spans="1:10" ht="25.5" customHeight="1" x14ac:dyDescent="0.25">
      <c r="A1833" s="16">
        <v>13405</v>
      </c>
      <c r="B1833" s="17" t="s">
        <v>236</v>
      </c>
      <c r="C1833" s="17" t="s">
        <v>333</v>
      </c>
      <c r="D1833" s="17" t="s">
        <v>1264</v>
      </c>
      <c r="E1833" s="17" t="s">
        <v>335</v>
      </c>
      <c r="F1833" s="17" t="s">
        <v>39</v>
      </c>
      <c r="G1833" s="17" t="s">
        <v>1265</v>
      </c>
      <c r="H1833" s="18">
        <v>487.89</v>
      </c>
      <c r="I1833" s="18">
        <v>487.98</v>
      </c>
      <c r="J1833" s="7" t="str">
        <f>IFERROR(_xlfn.XLOOKUP(F1833,ccustos!A:A,ccustos!B:B),"Sem termo")</f>
        <v>COREG</v>
      </c>
    </row>
    <row r="1834" spans="1:10" ht="25.5" customHeight="1" x14ac:dyDescent="0.25">
      <c r="A1834" s="14">
        <v>13407</v>
      </c>
      <c r="B1834" s="7" t="s">
        <v>236</v>
      </c>
      <c r="C1834" s="7" t="s">
        <v>1266</v>
      </c>
      <c r="D1834" s="7" t="s">
        <v>1267</v>
      </c>
      <c r="E1834" s="7" t="s">
        <v>335</v>
      </c>
      <c r="F1834" s="7" t="s">
        <v>190</v>
      </c>
      <c r="G1834" s="7" t="s">
        <v>1268</v>
      </c>
      <c r="H1834" s="15">
        <v>2652.66</v>
      </c>
      <c r="I1834" s="15">
        <v>2226.84</v>
      </c>
      <c r="J1834" s="7" t="str">
        <f>IFERROR(_xlfn.XLOOKUP(F1834,ccustos!A:A,ccustos!B:B),"Sem termo")</f>
        <v>TERMOS INDIVIDUAIS</v>
      </c>
    </row>
    <row r="1835" spans="1:10" ht="25.5" customHeight="1" x14ac:dyDescent="0.25">
      <c r="A1835" s="16">
        <v>13409</v>
      </c>
      <c r="B1835" s="17" t="s">
        <v>236</v>
      </c>
      <c r="C1835" s="17" t="s">
        <v>1266</v>
      </c>
      <c r="D1835" s="17" t="s">
        <v>1267</v>
      </c>
      <c r="E1835" s="17" t="s">
        <v>335</v>
      </c>
      <c r="F1835" s="17" t="s">
        <v>81</v>
      </c>
      <c r="G1835" s="17" t="s">
        <v>1268</v>
      </c>
      <c r="H1835" s="18">
        <v>2652.66</v>
      </c>
      <c r="I1835" s="18">
        <v>2226.84</v>
      </c>
      <c r="J1835" s="7" t="str">
        <f>IFERROR(_xlfn.XLOOKUP(F1835,ccustos!A:A,ccustos!B:B),"Sem termo")</f>
        <v>SEPAT</v>
      </c>
    </row>
    <row r="1836" spans="1:10" ht="25.5" customHeight="1" x14ac:dyDescent="0.25">
      <c r="A1836" s="14">
        <v>13410</v>
      </c>
      <c r="B1836" s="7" t="s">
        <v>236</v>
      </c>
      <c r="C1836" s="7" t="s">
        <v>1266</v>
      </c>
      <c r="D1836" s="7" t="s">
        <v>1267</v>
      </c>
      <c r="E1836" s="7" t="s">
        <v>335</v>
      </c>
      <c r="F1836" s="7" t="s">
        <v>81</v>
      </c>
      <c r="G1836" s="7" t="s">
        <v>1268</v>
      </c>
      <c r="H1836" s="15">
        <v>2652.66</v>
      </c>
      <c r="I1836" s="15">
        <v>2226.84</v>
      </c>
      <c r="J1836" s="7" t="str">
        <f>IFERROR(_xlfn.XLOOKUP(F1836,ccustos!A:A,ccustos!B:B),"Sem termo")</f>
        <v>SEPAT</v>
      </c>
    </row>
    <row r="1837" spans="1:10" ht="14.25" customHeight="1" x14ac:dyDescent="0.25">
      <c r="A1837" s="16">
        <v>13411</v>
      </c>
      <c r="B1837" s="17" t="s">
        <v>236</v>
      </c>
      <c r="C1837" s="17" t="s">
        <v>1266</v>
      </c>
      <c r="D1837" s="17" t="s">
        <v>1267</v>
      </c>
      <c r="E1837" s="17" t="s">
        <v>335</v>
      </c>
      <c r="F1837" s="17" t="s">
        <v>190</v>
      </c>
      <c r="G1837" s="17" t="s">
        <v>1268</v>
      </c>
      <c r="H1837" s="18">
        <v>2652.66</v>
      </c>
      <c r="I1837" s="18">
        <v>2226.84</v>
      </c>
      <c r="J1837" s="7" t="str">
        <f>IFERROR(_xlfn.XLOOKUP(F1837,ccustos!A:A,ccustos!B:B),"Sem termo")</f>
        <v>TERMOS INDIVIDUAIS</v>
      </c>
    </row>
    <row r="1838" spans="1:10" ht="25.5" customHeight="1" x14ac:dyDescent="0.25">
      <c r="A1838" s="14">
        <v>13412</v>
      </c>
      <c r="B1838" s="7" t="s">
        <v>236</v>
      </c>
      <c r="C1838" s="7" t="s">
        <v>1266</v>
      </c>
      <c r="D1838" s="7" t="s">
        <v>1267</v>
      </c>
      <c r="E1838" s="7" t="s">
        <v>335</v>
      </c>
      <c r="F1838" s="7" t="s">
        <v>81</v>
      </c>
      <c r="G1838" s="7" t="s">
        <v>1268</v>
      </c>
      <c r="H1838" s="15">
        <v>2652.66</v>
      </c>
      <c r="I1838" s="15">
        <v>2226.84</v>
      </c>
      <c r="J1838" s="7" t="str">
        <f>IFERROR(_xlfn.XLOOKUP(F1838,ccustos!A:A,ccustos!B:B),"Sem termo")</f>
        <v>SEPAT</v>
      </c>
    </row>
    <row r="1839" spans="1:10" ht="25.5" customHeight="1" x14ac:dyDescent="0.25">
      <c r="A1839" s="16">
        <v>13413</v>
      </c>
      <c r="B1839" s="17" t="s">
        <v>236</v>
      </c>
      <c r="C1839" s="17" t="s">
        <v>1266</v>
      </c>
      <c r="D1839" s="17" t="s">
        <v>1267</v>
      </c>
      <c r="E1839" s="17" t="s">
        <v>335</v>
      </c>
      <c r="F1839" s="17" t="s">
        <v>190</v>
      </c>
      <c r="G1839" s="17" t="s">
        <v>1268</v>
      </c>
      <c r="H1839" s="18">
        <v>2652.66</v>
      </c>
      <c r="I1839" s="18">
        <v>2226.84</v>
      </c>
      <c r="J1839" s="7" t="str">
        <f>IFERROR(_xlfn.XLOOKUP(F1839,ccustos!A:A,ccustos!B:B),"Sem termo")</f>
        <v>TERMOS INDIVIDUAIS</v>
      </c>
    </row>
    <row r="1840" spans="1:10" ht="25.5" customHeight="1" x14ac:dyDescent="0.25">
      <c r="A1840" s="14">
        <v>13414</v>
      </c>
      <c r="B1840" s="7" t="s">
        <v>236</v>
      </c>
      <c r="C1840" s="7" t="s">
        <v>1266</v>
      </c>
      <c r="D1840" s="7" t="s">
        <v>1267</v>
      </c>
      <c r="E1840" s="7" t="s">
        <v>335</v>
      </c>
      <c r="F1840" s="7" t="s">
        <v>83</v>
      </c>
      <c r="G1840" s="7" t="s">
        <v>1268</v>
      </c>
      <c r="H1840" s="15">
        <v>2652.66</v>
      </c>
      <c r="I1840" s="15">
        <v>2226.84</v>
      </c>
      <c r="J1840" s="7" t="str">
        <f>IFERROR(_xlfn.XLOOKUP(F1840,ccustos!A:A,ccustos!B:B),"Sem termo")</f>
        <v>GABIN</v>
      </c>
    </row>
    <row r="1841" spans="1:10" ht="25.5" customHeight="1" x14ac:dyDescent="0.25">
      <c r="A1841" s="16">
        <v>13415</v>
      </c>
      <c r="B1841" s="17" t="s">
        <v>236</v>
      </c>
      <c r="C1841" s="17" t="s">
        <v>1266</v>
      </c>
      <c r="D1841" s="17" t="s">
        <v>1267</v>
      </c>
      <c r="E1841" s="17" t="s">
        <v>335</v>
      </c>
      <c r="F1841" s="17" t="s">
        <v>81</v>
      </c>
      <c r="G1841" s="17" t="s">
        <v>1268</v>
      </c>
      <c r="H1841" s="18">
        <v>2652.66</v>
      </c>
      <c r="I1841" s="18">
        <v>2226.84</v>
      </c>
      <c r="J1841" s="7" t="str">
        <f>IFERROR(_xlfn.XLOOKUP(F1841,ccustos!A:A,ccustos!B:B),"Sem termo")</f>
        <v>SEPAT</v>
      </c>
    </row>
    <row r="1842" spans="1:10" ht="25.5" customHeight="1" x14ac:dyDescent="0.25">
      <c r="A1842" s="14">
        <v>13416</v>
      </c>
      <c r="B1842" s="7" t="s">
        <v>236</v>
      </c>
      <c r="C1842" s="7" t="s">
        <v>1266</v>
      </c>
      <c r="D1842" s="7" t="s">
        <v>1267</v>
      </c>
      <c r="E1842" s="7" t="s">
        <v>335</v>
      </c>
      <c r="F1842" s="7" t="s">
        <v>190</v>
      </c>
      <c r="G1842" s="7" t="s">
        <v>1268</v>
      </c>
      <c r="H1842" s="15">
        <v>2652.66</v>
      </c>
      <c r="I1842" s="15">
        <v>2226.84</v>
      </c>
      <c r="J1842" s="7" t="str">
        <f>IFERROR(_xlfn.XLOOKUP(F1842,ccustos!A:A,ccustos!B:B),"Sem termo")</f>
        <v>TERMOS INDIVIDUAIS</v>
      </c>
    </row>
    <row r="1843" spans="1:10" ht="25.5" customHeight="1" x14ac:dyDescent="0.25">
      <c r="A1843" s="16">
        <v>13417</v>
      </c>
      <c r="B1843" s="17" t="s">
        <v>236</v>
      </c>
      <c r="C1843" s="17" t="s">
        <v>1266</v>
      </c>
      <c r="D1843" s="17" t="s">
        <v>1267</v>
      </c>
      <c r="E1843" s="17" t="s">
        <v>335</v>
      </c>
      <c r="F1843" s="17" t="s">
        <v>190</v>
      </c>
      <c r="G1843" s="17" t="s">
        <v>1268</v>
      </c>
      <c r="H1843" s="18">
        <v>2652.66</v>
      </c>
      <c r="I1843" s="18">
        <v>2226.84</v>
      </c>
      <c r="J1843" s="7" t="str">
        <f>IFERROR(_xlfn.XLOOKUP(F1843,ccustos!A:A,ccustos!B:B),"Sem termo")</f>
        <v>TERMOS INDIVIDUAIS</v>
      </c>
    </row>
    <row r="1844" spans="1:10" ht="25.5" customHeight="1" x14ac:dyDescent="0.25">
      <c r="A1844" s="14">
        <v>13418</v>
      </c>
      <c r="B1844" s="7" t="s">
        <v>236</v>
      </c>
      <c r="C1844" s="7" t="s">
        <v>1266</v>
      </c>
      <c r="D1844" s="7" t="s">
        <v>1267</v>
      </c>
      <c r="E1844" s="7" t="s">
        <v>335</v>
      </c>
      <c r="F1844" s="7" t="s">
        <v>81</v>
      </c>
      <c r="G1844" s="7" t="s">
        <v>1268</v>
      </c>
      <c r="H1844" s="15">
        <v>2652.66</v>
      </c>
      <c r="I1844" s="15">
        <v>2226.84</v>
      </c>
      <c r="J1844" s="7" t="str">
        <f>IFERROR(_xlfn.XLOOKUP(F1844,ccustos!A:A,ccustos!B:B),"Sem termo")</f>
        <v>SEPAT</v>
      </c>
    </row>
    <row r="1845" spans="1:10" ht="25.5" customHeight="1" x14ac:dyDescent="0.25">
      <c r="A1845" s="16">
        <v>13419</v>
      </c>
      <c r="B1845" s="17" t="s">
        <v>236</v>
      </c>
      <c r="C1845" s="17" t="s">
        <v>1266</v>
      </c>
      <c r="D1845" s="17" t="s">
        <v>1267</v>
      </c>
      <c r="E1845" s="17" t="s">
        <v>335</v>
      </c>
      <c r="F1845" s="17" t="s">
        <v>190</v>
      </c>
      <c r="G1845" s="17" t="s">
        <v>1268</v>
      </c>
      <c r="H1845" s="18">
        <v>2652.66</v>
      </c>
      <c r="I1845" s="18">
        <v>2226.84</v>
      </c>
      <c r="J1845" s="7" t="str">
        <f>IFERROR(_xlfn.XLOOKUP(F1845,ccustos!A:A,ccustos!B:B),"Sem termo")</f>
        <v>TERMOS INDIVIDUAIS</v>
      </c>
    </row>
    <row r="1846" spans="1:10" ht="25.5" customHeight="1" x14ac:dyDescent="0.25">
      <c r="A1846" s="14">
        <v>13420</v>
      </c>
      <c r="B1846" s="7" t="s">
        <v>236</v>
      </c>
      <c r="C1846" s="7" t="s">
        <v>1266</v>
      </c>
      <c r="D1846" s="7" t="s">
        <v>1267</v>
      </c>
      <c r="E1846" s="7" t="s">
        <v>335</v>
      </c>
      <c r="F1846" s="7" t="s">
        <v>81</v>
      </c>
      <c r="G1846" s="7" t="s">
        <v>1268</v>
      </c>
      <c r="H1846" s="15">
        <v>2652.66</v>
      </c>
      <c r="I1846" s="15">
        <v>2226.84</v>
      </c>
      <c r="J1846" s="7" t="str">
        <f>IFERROR(_xlfn.XLOOKUP(F1846,ccustos!A:A,ccustos!B:B),"Sem termo")</f>
        <v>SEPAT</v>
      </c>
    </row>
    <row r="1847" spans="1:10" ht="36.75" customHeight="1" x14ac:dyDescent="0.25">
      <c r="A1847" s="16">
        <v>13421</v>
      </c>
      <c r="B1847" s="17" t="s">
        <v>236</v>
      </c>
      <c r="C1847" s="17" t="s">
        <v>1266</v>
      </c>
      <c r="D1847" s="17" t="s">
        <v>1267</v>
      </c>
      <c r="E1847" s="17" t="s">
        <v>335</v>
      </c>
      <c r="F1847" s="17" t="s">
        <v>190</v>
      </c>
      <c r="G1847" s="17" t="s">
        <v>1268</v>
      </c>
      <c r="H1847" s="18">
        <v>2652.66</v>
      </c>
      <c r="I1847" s="18">
        <v>2226.84</v>
      </c>
      <c r="J1847" s="7" t="str">
        <f>IFERROR(_xlfn.XLOOKUP(F1847,ccustos!A:A,ccustos!B:B),"Sem termo")</f>
        <v>TERMOS INDIVIDUAIS</v>
      </c>
    </row>
    <row r="1848" spans="1:10" ht="36.75" customHeight="1" x14ac:dyDescent="0.25">
      <c r="A1848" s="14">
        <v>13422</v>
      </c>
      <c r="B1848" s="7" t="s">
        <v>236</v>
      </c>
      <c r="C1848" s="7" t="s">
        <v>1266</v>
      </c>
      <c r="D1848" s="7" t="s">
        <v>1267</v>
      </c>
      <c r="E1848" s="7" t="s">
        <v>335</v>
      </c>
      <c r="F1848" s="7" t="s">
        <v>190</v>
      </c>
      <c r="G1848" s="7" t="s">
        <v>1268</v>
      </c>
      <c r="H1848" s="15">
        <v>2652.66</v>
      </c>
      <c r="I1848" s="15">
        <v>2226.84</v>
      </c>
      <c r="J1848" s="7" t="str">
        <f>IFERROR(_xlfn.XLOOKUP(F1848,ccustos!A:A,ccustos!B:B),"Sem termo")</f>
        <v>TERMOS INDIVIDUAIS</v>
      </c>
    </row>
    <row r="1849" spans="1:10" ht="36.75" customHeight="1" x14ac:dyDescent="0.25">
      <c r="A1849" s="16">
        <v>13423</v>
      </c>
      <c r="B1849" s="17" t="s">
        <v>236</v>
      </c>
      <c r="C1849" s="17" t="s">
        <v>1266</v>
      </c>
      <c r="D1849" s="17" t="s">
        <v>1267</v>
      </c>
      <c r="E1849" s="17" t="s">
        <v>335</v>
      </c>
      <c r="F1849" s="17" t="s">
        <v>81</v>
      </c>
      <c r="G1849" s="17" t="s">
        <v>1268</v>
      </c>
      <c r="H1849" s="18">
        <v>2652.66</v>
      </c>
      <c r="I1849" s="18">
        <v>2226.84</v>
      </c>
      <c r="J1849" s="7" t="str">
        <f>IFERROR(_xlfn.XLOOKUP(F1849,ccustos!A:A,ccustos!B:B),"Sem termo")</f>
        <v>SEPAT</v>
      </c>
    </row>
    <row r="1850" spans="1:10" ht="36.75" customHeight="1" x14ac:dyDescent="0.25">
      <c r="A1850" s="14">
        <v>13424</v>
      </c>
      <c r="B1850" s="7" t="s">
        <v>236</v>
      </c>
      <c r="C1850" s="7" t="s">
        <v>1266</v>
      </c>
      <c r="D1850" s="7" t="s">
        <v>1267</v>
      </c>
      <c r="E1850" s="7" t="s">
        <v>335</v>
      </c>
      <c r="F1850" s="7" t="s">
        <v>81</v>
      </c>
      <c r="G1850" s="7" t="s">
        <v>1268</v>
      </c>
      <c r="H1850" s="15">
        <v>2652.66</v>
      </c>
      <c r="I1850" s="15">
        <v>2226.84</v>
      </c>
      <c r="J1850" s="7" t="str">
        <f>IFERROR(_xlfn.XLOOKUP(F1850,ccustos!A:A,ccustos!B:B),"Sem termo")</f>
        <v>SEPAT</v>
      </c>
    </row>
    <row r="1851" spans="1:10" ht="25.5" customHeight="1" x14ac:dyDescent="0.25">
      <c r="A1851" s="16">
        <v>13425</v>
      </c>
      <c r="B1851" s="17" t="s">
        <v>236</v>
      </c>
      <c r="C1851" s="17" t="s">
        <v>1266</v>
      </c>
      <c r="D1851" s="17" t="s">
        <v>1269</v>
      </c>
      <c r="E1851" s="17" t="s">
        <v>335</v>
      </c>
      <c r="F1851" s="17" t="s">
        <v>81</v>
      </c>
      <c r="G1851" s="17" t="s">
        <v>1268</v>
      </c>
      <c r="H1851" s="18">
        <v>2652.66</v>
      </c>
      <c r="I1851" s="18">
        <v>2226.84</v>
      </c>
      <c r="J1851" s="7" t="str">
        <f>IFERROR(_xlfn.XLOOKUP(F1851,ccustos!A:A,ccustos!B:B),"Sem termo")</f>
        <v>SEPAT</v>
      </c>
    </row>
    <row r="1852" spans="1:10" ht="36.75" customHeight="1" x14ac:dyDescent="0.25">
      <c r="A1852" s="14">
        <v>13426</v>
      </c>
      <c r="B1852" s="7" t="s">
        <v>236</v>
      </c>
      <c r="C1852" s="7" t="s">
        <v>1266</v>
      </c>
      <c r="D1852" s="7" t="s">
        <v>1267</v>
      </c>
      <c r="E1852" s="7" t="s">
        <v>335</v>
      </c>
      <c r="F1852" s="7" t="s">
        <v>190</v>
      </c>
      <c r="G1852" s="7" t="s">
        <v>1268</v>
      </c>
      <c r="H1852" s="15">
        <v>2652.66</v>
      </c>
      <c r="I1852" s="15">
        <v>2226.84</v>
      </c>
      <c r="J1852" s="7" t="str">
        <f>IFERROR(_xlfn.XLOOKUP(F1852,ccustos!A:A,ccustos!B:B),"Sem termo")</f>
        <v>TERMOS INDIVIDUAIS</v>
      </c>
    </row>
    <row r="1853" spans="1:10" ht="25.5" customHeight="1" x14ac:dyDescent="0.25">
      <c r="A1853" s="16">
        <v>13427</v>
      </c>
      <c r="B1853" s="17" t="s">
        <v>236</v>
      </c>
      <c r="C1853" s="17" t="s">
        <v>1266</v>
      </c>
      <c r="D1853" s="17" t="s">
        <v>1267</v>
      </c>
      <c r="E1853" s="17" t="s">
        <v>335</v>
      </c>
      <c r="F1853" s="17" t="s">
        <v>190</v>
      </c>
      <c r="G1853" s="17" t="s">
        <v>1268</v>
      </c>
      <c r="H1853" s="18">
        <v>2652.66</v>
      </c>
      <c r="I1853" s="18">
        <v>2226.84</v>
      </c>
      <c r="J1853" s="7" t="str">
        <f>IFERROR(_xlfn.XLOOKUP(F1853,ccustos!A:A,ccustos!B:B),"Sem termo")</f>
        <v>TERMOS INDIVIDUAIS</v>
      </c>
    </row>
    <row r="1854" spans="1:10" ht="36.75" customHeight="1" x14ac:dyDescent="0.25">
      <c r="A1854" s="14">
        <v>13428</v>
      </c>
      <c r="B1854" s="7" t="s">
        <v>236</v>
      </c>
      <c r="C1854" s="7" t="s">
        <v>1266</v>
      </c>
      <c r="D1854" s="7" t="s">
        <v>1267</v>
      </c>
      <c r="E1854" s="7" t="s">
        <v>335</v>
      </c>
      <c r="F1854" s="7" t="s">
        <v>81</v>
      </c>
      <c r="G1854" s="7" t="s">
        <v>1268</v>
      </c>
      <c r="H1854" s="15">
        <v>2652.66</v>
      </c>
      <c r="I1854" s="15">
        <v>2226.84</v>
      </c>
      <c r="J1854" s="7" t="str">
        <f>IFERROR(_xlfn.XLOOKUP(F1854,ccustos!A:A,ccustos!B:B),"Sem termo")</f>
        <v>SEPAT</v>
      </c>
    </row>
    <row r="1855" spans="1:10" ht="36.75" customHeight="1" x14ac:dyDescent="0.25">
      <c r="A1855" s="16">
        <v>13429</v>
      </c>
      <c r="B1855" s="17" t="s">
        <v>236</v>
      </c>
      <c r="C1855" s="17" t="s">
        <v>1266</v>
      </c>
      <c r="D1855" s="17" t="s">
        <v>1270</v>
      </c>
      <c r="E1855" s="17" t="s">
        <v>335</v>
      </c>
      <c r="F1855" s="17" t="s">
        <v>81</v>
      </c>
      <c r="G1855" s="17" t="s">
        <v>1268</v>
      </c>
      <c r="H1855" s="18">
        <v>2652.66</v>
      </c>
      <c r="I1855" s="18">
        <v>0</v>
      </c>
      <c r="J1855" s="7" t="str">
        <f>IFERROR(_xlfn.XLOOKUP(F1855,ccustos!A:A,ccustos!B:B),"Sem termo")</f>
        <v>SEPAT</v>
      </c>
    </row>
    <row r="1856" spans="1:10" ht="36.75" customHeight="1" x14ac:dyDescent="0.25">
      <c r="A1856" s="14">
        <v>13438</v>
      </c>
      <c r="B1856" s="7" t="s">
        <v>236</v>
      </c>
      <c r="C1856" s="7" t="s">
        <v>1271</v>
      </c>
      <c r="D1856" s="7" t="s">
        <v>1272</v>
      </c>
      <c r="E1856" s="7" t="s">
        <v>335</v>
      </c>
      <c r="F1856" s="7" t="s">
        <v>81</v>
      </c>
      <c r="G1856" s="7" t="s">
        <v>1273</v>
      </c>
      <c r="H1856" s="15">
        <v>2186.04</v>
      </c>
      <c r="I1856" s="15">
        <v>0</v>
      </c>
      <c r="J1856" s="7" t="str">
        <f>IFERROR(_xlfn.XLOOKUP(F1856,ccustos!A:A,ccustos!B:B),"Sem termo")</f>
        <v>SEPAT</v>
      </c>
    </row>
    <row r="1857" spans="1:10" ht="36.75" customHeight="1" x14ac:dyDescent="0.25">
      <c r="A1857" s="16">
        <v>13442</v>
      </c>
      <c r="B1857" s="17" t="s">
        <v>236</v>
      </c>
      <c r="C1857" s="17" t="s">
        <v>1271</v>
      </c>
      <c r="D1857" s="17" t="s">
        <v>1272</v>
      </c>
      <c r="E1857" s="17" t="s">
        <v>335</v>
      </c>
      <c r="F1857" s="17" t="s">
        <v>256</v>
      </c>
      <c r="G1857" s="17" t="s">
        <v>1273</v>
      </c>
      <c r="H1857" s="18">
        <v>2186.04</v>
      </c>
      <c r="I1857" s="18">
        <v>2255.4299999999998</v>
      </c>
      <c r="J1857" s="7" t="str">
        <f>IFERROR(_xlfn.XLOOKUP(F1857,ccustos!A:A,ccustos!B:B),"Sem termo")</f>
        <v>Sem termo</v>
      </c>
    </row>
    <row r="1858" spans="1:10" ht="36.75" customHeight="1" x14ac:dyDescent="0.25">
      <c r="A1858" s="14">
        <v>13445</v>
      </c>
      <c r="B1858" s="7" t="s">
        <v>236</v>
      </c>
      <c r="C1858" s="7" t="s">
        <v>881</v>
      </c>
      <c r="D1858" s="7" t="s">
        <v>1274</v>
      </c>
      <c r="E1858" s="7" t="s">
        <v>335</v>
      </c>
      <c r="F1858" s="7" t="s">
        <v>20</v>
      </c>
      <c r="G1858" s="7" t="s">
        <v>1275</v>
      </c>
      <c r="H1858" s="15">
        <v>26628.33</v>
      </c>
      <c r="I1858" s="15">
        <v>0</v>
      </c>
      <c r="J1858" s="7" t="str">
        <f>IFERROR(_xlfn.XLOOKUP(F1858,ccustos!A:A,ccustos!B:B),"Sem termo")</f>
        <v>CGTI</v>
      </c>
    </row>
    <row r="1859" spans="1:10" ht="36.75" customHeight="1" x14ac:dyDescent="0.25">
      <c r="A1859" s="16">
        <v>13446</v>
      </c>
      <c r="B1859" s="17" t="s">
        <v>236</v>
      </c>
      <c r="C1859" s="17" t="s">
        <v>881</v>
      </c>
      <c r="D1859" s="17" t="s">
        <v>1274</v>
      </c>
      <c r="E1859" s="17" t="s">
        <v>335</v>
      </c>
      <c r="F1859" s="17" t="s">
        <v>78</v>
      </c>
      <c r="G1859" s="17" t="s">
        <v>1275</v>
      </c>
      <c r="H1859" s="18">
        <v>26628.33</v>
      </c>
      <c r="I1859" s="18">
        <v>27648</v>
      </c>
      <c r="J1859" s="7" t="str">
        <f>IFERROR(_xlfn.XLOOKUP(F1859,ccustos!A:A,ccustos!B:B),"Sem termo")</f>
        <v>CGTI</v>
      </c>
    </row>
    <row r="1860" spans="1:10" ht="36.75" customHeight="1" x14ac:dyDescent="0.25">
      <c r="A1860" s="14">
        <v>13447</v>
      </c>
      <c r="B1860" s="7" t="s">
        <v>236</v>
      </c>
      <c r="C1860" s="7" t="s">
        <v>881</v>
      </c>
      <c r="D1860" s="7" t="s">
        <v>1274</v>
      </c>
      <c r="E1860" s="7" t="s">
        <v>335</v>
      </c>
      <c r="F1860" s="7" t="s">
        <v>78</v>
      </c>
      <c r="G1860" s="7" t="s">
        <v>1275</v>
      </c>
      <c r="H1860" s="15">
        <v>26628.33</v>
      </c>
      <c r="I1860" s="15">
        <v>27648</v>
      </c>
      <c r="J1860" s="7" t="str">
        <f>IFERROR(_xlfn.XLOOKUP(F1860,ccustos!A:A,ccustos!B:B),"Sem termo")</f>
        <v>CGTI</v>
      </c>
    </row>
    <row r="1861" spans="1:10" ht="36.75" customHeight="1" x14ac:dyDescent="0.25">
      <c r="A1861" s="16">
        <v>13448</v>
      </c>
      <c r="B1861" s="17" t="s">
        <v>236</v>
      </c>
      <c r="C1861" s="17" t="s">
        <v>471</v>
      </c>
      <c r="D1861" s="17" t="s">
        <v>1276</v>
      </c>
      <c r="E1861" s="17" t="s">
        <v>335</v>
      </c>
      <c r="F1861" s="17" t="s">
        <v>78</v>
      </c>
      <c r="G1861" s="17" t="s">
        <v>1275</v>
      </c>
      <c r="H1861" s="18">
        <v>6200</v>
      </c>
      <c r="I1861" s="18">
        <v>0</v>
      </c>
      <c r="J1861" s="7" t="str">
        <f>IFERROR(_xlfn.XLOOKUP(F1861,ccustos!A:A,ccustos!B:B),"Sem termo")</f>
        <v>CGTI</v>
      </c>
    </row>
    <row r="1862" spans="1:10" ht="36.75" customHeight="1" x14ac:dyDescent="0.25">
      <c r="A1862" s="14">
        <v>13449</v>
      </c>
      <c r="B1862" s="7" t="s">
        <v>236</v>
      </c>
      <c r="C1862" s="7" t="s">
        <v>471</v>
      </c>
      <c r="D1862" s="7" t="s">
        <v>1276</v>
      </c>
      <c r="E1862" s="7" t="s">
        <v>335</v>
      </c>
      <c r="F1862" s="7" t="s">
        <v>78</v>
      </c>
      <c r="G1862" s="7" t="s">
        <v>1275</v>
      </c>
      <c r="H1862" s="15">
        <v>6200</v>
      </c>
      <c r="I1862" s="15">
        <v>5286.21</v>
      </c>
      <c r="J1862" s="7" t="str">
        <f>IFERROR(_xlfn.XLOOKUP(F1862,ccustos!A:A,ccustos!B:B),"Sem termo")</f>
        <v>CGTI</v>
      </c>
    </row>
    <row r="1863" spans="1:10" ht="36.75" customHeight="1" x14ac:dyDescent="0.25">
      <c r="A1863" s="16">
        <v>13450</v>
      </c>
      <c r="B1863" s="17" t="s">
        <v>236</v>
      </c>
      <c r="C1863" s="17" t="s">
        <v>471</v>
      </c>
      <c r="D1863" s="17" t="s">
        <v>1276</v>
      </c>
      <c r="E1863" s="17" t="s">
        <v>335</v>
      </c>
      <c r="F1863" s="17" t="s">
        <v>78</v>
      </c>
      <c r="G1863" s="17" t="s">
        <v>1275</v>
      </c>
      <c r="H1863" s="18">
        <v>6200</v>
      </c>
      <c r="I1863" s="18">
        <v>5286.21</v>
      </c>
      <c r="J1863" s="7" t="str">
        <f>IFERROR(_xlfn.XLOOKUP(F1863,ccustos!A:A,ccustos!B:B),"Sem termo")</f>
        <v>CGTI</v>
      </c>
    </row>
    <row r="1864" spans="1:10" ht="36.75" customHeight="1" x14ac:dyDescent="0.25">
      <c r="A1864" s="14">
        <v>13451</v>
      </c>
      <c r="B1864" s="7" t="s">
        <v>236</v>
      </c>
      <c r="C1864" s="7" t="s">
        <v>471</v>
      </c>
      <c r="D1864" s="7" t="s">
        <v>1276</v>
      </c>
      <c r="E1864" s="7" t="s">
        <v>335</v>
      </c>
      <c r="F1864" s="7" t="s">
        <v>78</v>
      </c>
      <c r="G1864" s="7" t="s">
        <v>1275</v>
      </c>
      <c r="H1864" s="15">
        <v>6200</v>
      </c>
      <c r="I1864" s="15">
        <v>5286.21</v>
      </c>
      <c r="J1864" s="7" t="str">
        <f>IFERROR(_xlfn.XLOOKUP(F1864,ccustos!A:A,ccustos!B:B),"Sem termo")</f>
        <v>CGTI</v>
      </c>
    </row>
    <row r="1865" spans="1:10" ht="36.75" customHeight="1" x14ac:dyDescent="0.25">
      <c r="A1865" s="16">
        <v>13452</v>
      </c>
      <c r="B1865" s="17" t="s">
        <v>236</v>
      </c>
      <c r="C1865" s="17" t="s">
        <v>1277</v>
      </c>
      <c r="D1865" s="17" t="s">
        <v>1278</v>
      </c>
      <c r="E1865" s="17" t="s">
        <v>250</v>
      </c>
      <c r="F1865" s="17" t="s">
        <v>68</v>
      </c>
      <c r="G1865" s="17" t="s">
        <v>1279</v>
      </c>
      <c r="H1865" s="18">
        <v>3311.11</v>
      </c>
      <c r="I1865" s="18">
        <v>3040.69</v>
      </c>
      <c r="J1865" s="7" t="str">
        <f>IFERROR(_xlfn.XLOOKUP(F1865,ccustos!A:A,ccustos!B:B),"Sem termo")</f>
        <v>DEINFRA</v>
      </c>
    </row>
    <row r="1866" spans="1:10" ht="36.75" customHeight="1" x14ac:dyDescent="0.25">
      <c r="A1866" s="14">
        <v>13453</v>
      </c>
      <c r="B1866" s="7" t="s">
        <v>236</v>
      </c>
      <c r="C1866" s="7" t="s">
        <v>1277</v>
      </c>
      <c r="D1866" s="7" t="s">
        <v>1278</v>
      </c>
      <c r="E1866" s="7" t="s">
        <v>250</v>
      </c>
      <c r="F1866" s="7" t="s">
        <v>68</v>
      </c>
      <c r="G1866" s="7" t="s">
        <v>1279</v>
      </c>
      <c r="H1866" s="15">
        <v>3311.11</v>
      </c>
      <c r="I1866" s="15">
        <v>3040.69</v>
      </c>
      <c r="J1866" s="7" t="str">
        <f>IFERROR(_xlfn.XLOOKUP(F1866,ccustos!A:A,ccustos!B:B),"Sem termo")</f>
        <v>DEINFRA</v>
      </c>
    </row>
    <row r="1867" spans="1:10" ht="36.75" customHeight="1" x14ac:dyDescent="0.25">
      <c r="A1867" s="16">
        <v>13454</v>
      </c>
      <c r="B1867" s="17" t="s">
        <v>236</v>
      </c>
      <c r="C1867" s="17" t="s">
        <v>1277</v>
      </c>
      <c r="D1867" s="17" t="s">
        <v>1278</v>
      </c>
      <c r="E1867" s="17" t="s">
        <v>250</v>
      </c>
      <c r="F1867" s="17" t="s">
        <v>68</v>
      </c>
      <c r="G1867" s="17" t="s">
        <v>1279</v>
      </c>
      <c r="H1867" s="18">
        <v>3311.11</v>
      </c>
      <c r="I1867" s="18">
        <v>3040.69</v>
      </c>
      <c r="J1867" s="7" t="str">
        <f>IFERROR(_xlfn.XLOOKUP(F1867,ccustos!A:A,ccustos!B:B),"Sem termo")</f>
        <v>DEINFRA</v>
      </c>
    </row>
    <row r="1868" spans="1:10" ht="36.75" customHeight="1" x14ac:dyDescent="0.25">
      <c r="A1868" s="14">
        <v>13455</v>
      </c>
      <c r="B1868" s="7" t="s">
        <v>236</v>
      </c>
      <c r="C1868" s="7" t="s">
        <v>1280</v>
      </c>
      <c r="D1868" s="7" t="s">
        <v>1281</v>
      </c>
      <c r="E1868" s="7" t="s">
        <v>250</v>
      </c>
      <c r="F1868" s="7" t="s">
        <v>7</v>
      </c>
      <c r="G1868" s="7" t="s">
        <v>1279</v>
      </c>
      <c r="H1868" s="15">
        <v>811.12</v>
      </c>
      <c r="I1868" s="15">
        <v>762.42</v>
      </c>
      <c r="J1868" s="7" t="str">
        <f>IFERROR(_xlfn.XLOOKUP(F1868,ccustos!A:A,ccustos!B:B),"Sem termo")</f>
        <v>SEPAT</v>
      </c>
    </row>
    <row r="1869" spans="1:10" ht="36.75" customHeight="1" x14ac:dyDescent="0.25">
      <c r="A1869" s="16">
        <v>13456</v>
      </c>
      <c r="B1869" s="17" t="s">
        <v>236</v>
      </c>
      <c r="C1869" s="17" t="s">
        <v>1280</v>
      </c>
      <c r="D1869" s="17" t="s">
        <v>1281</v>
      </c>
      <c r="E1869" s="17" t="s">
        <v>250</v>
      </c>
      <c r="F1869" s="17" t="s">
        <v>7</v>
      </c>
      <c r="G1869" s="17" t="s">
        <v>1279</v>
      </c>
      <c r="H1869" s="18">
        <v>811.11</v>
      </c>
      <c r="I1869" s="18">
        <v>762.41</v>
      </c>
      <c r="J1869" s="7" t="str">
        <f>IFERROR(_xlfn.XLOOKUP(F1869,ccustos!A:A,ccustos!B:B),"Sem termo")</f>
        <v>SEPAT</v>
      </c>
    </row>
    <row r="1870" spans="1:10" ht="36.75" customHeight="1" x14ac:dyDescent="0.25">
      <c r="A1870" s="14">
        <v>13457</v>
      </c>
      <c r="B1870" s="7" t="s">
        <v>236</v>
      </c>
      <c r="C1870" s="7" t="s">
        <v>1280</v>
      </c>
      <c r="D1870" s="7" t="s">
        <v>1281</v>
      </c>
      <c r="E1870" s="7" t="s">
        <v>250</v>
      </c>
      <c r="F1870" s="7" t="s">
        <v>7</v>
      </c>
      <c r="G1870" s="7" t="s">
        <v>1279</v>
      </c>
      <c r="H1870" s="15">
        <v>811.11</v>
      </c>
      <c r="I1870" s="15">
        <v>762.41</v>
      </c>
      <c r="J1870" s="7" t="str">
        <f>IFERROR(_xlfn.XLOOKUP(F1870,ccustos!A:A,ccustos!B:B),"Sem termo")</f>
        <v>SEPAT</v>
      </c>
    </row>
    <row r="1871" spans="1:10" ht="36.75" customHeight="1" x14ac:dyDescent="0.25">
      <c r="A1871" s="16">
        <v>13458</v>
      </c>
      <c r="B1871" s="17" t="s">
        <v>236</v>
      </c>
      <c r="C1871" s="17" t="s">
        <v>1280</v>
      </c>
      <c r="D1871" s="17" t="s">
        <v>1281</v>
      </c>
      <c r="E1871" s="17" t="s">
        <v>250</v>
      </c>
      <c r="F1871" s="17" t="s">
        <v>7</v>
      </c>
      <c r="G1871" s="17" t="s">
        <v>1279</v>
      </c>
      <c r="H1871" s="18">
        <v>811.11</v>
      </c>
      <c r="I1871" s="18">
        <v>762.41</v>
      </c>
      <c r="J1871" s="7" t="str">
        <f>IFERROR(_xlfn.XLOOKUP(F1871,ccustos!A:A,ccustos!B:B),"Sem termo")</f>
        <v>SEPAT</v>
      </c>
    </row>
    <row r="1872" spans="1:10" ht="36.75" customHeight="1" x14ac:dyDescent="0.25">
      <c r="A1872" s="14">
        <v>13459</v>
      </c>
      <c r="B1872" s="7" t="s">
        <v>236</v>
      </c>
      <c r="C1872" s="7" t="s">
        <v>1280</v>
      </c>
      <c r="D1872" s="7" t="s">
        <v>1281</v>
      </c>
      <c r="E1872" s="7" t="s">
        <v>250</v>
      </c>
      <c r="F1872" s="7" t="s">
        <v>7</v>
      </c>
      <c r="G1872" s="7" t="s">
        <v>1279</v>
      </c>
      <c r="H1872" s="15">
        <v>811.11</v>
      </c>
      <c r="I1872" s="15">
        <v>762.41</v>
      </c>
      <c r="J1872" s="7" t="str">
        <f>IFERROR(_xlfn.XLOOKUP(F1872,ccustos!A:A,ccustos!B:B),"Sem termo")</f>
        <v>SEPAT</v>
      </c>
    </row>
    <row r="1873" spans="1:10" ht="36.75" customHeight="1" x14ac:dyDescent="0.25">
      <c r="A1873" s="16">
        <v>13460</v>
      </c>
      <c r="B1873" s="17" t="s">
        <v>236</v>
      </c>
      <c r="C1873" s="17" t="s">
        <v>1280</v>
      </c>
      <c r="D1873" s="17" t="s">
        <v>1281</v>
      </c>
      <c r="E1873" s="17" t="s">
        <v>250</v>
      </c>
      <c r="F1873" s="17" t="s">
        <v>7</v>
      </c>
      <c r="G1873" s="17" t="s">
        <v>1279</v>
      </c>
      <c r="H1873" s="18">
        <v>811.11</v>
      </c>
      <c r="I1873" s="18">
        <v>762.41</v>
      </c>
      <c r="J1873" s="7" t="str">
        <f>IFERROR(_xlfn.XLOOKUP(F1873,ccustos!A:A,ccustos!B:B),"Sem termo")</f>
        <v>SEPAT</v>
      </c>
    </row>
    <row r="1874" spans="1:10" ht="36.75" customHeight="1" x14ac:dyDescent="0.25">
      <c r="A1874" s="14">
        <v>13466</v>
      </c>
      <c r="B1874" s="7" t="s">
        <v>236</v>
      </c>
      <c r="C1874" s="7" t="s">
        <v>1209</v>
      </c>
      <c r="D1874" s="7" t="s">
        <v>1282</v>
      </c>
      <c r="E1874" s="7" t="s">
        <v>250</v>
      </c>
      <c r="F1874" s="7" t="s">
        <v>43</v>
      </c>
      <c r="G1874" s="7" t="s">
        <v>1283</v>
      </c>
      <c r="H1874" s="15">
        <v>7995</v>
      </c>
      <c r="I1874" s="15">
        <v>0</v>
      </c>
      <c r="J1874" s="7" t="str">
        <f>IFERROR(_xlfn.XLOOKUP(F1874,ccustos!A:A,ccustos!B:B),"Sem termo")</f>
        <v>SEPAT</v>
      </c>
    </row>
    <row r="1875" spans="1:10" ht="36.75" customHeight="1" x14ac:dyDescent="0.25">
      <c r="A1875" s="16">
        <v>13467</v>
      </c>
      <c r="B1875" s="17" t="s">
        <v>236</v>
      </c>
      <c r="C1875" s="17" t="s">
        <v>1209</v>
      </c>
      <c r="D1875" s="17" t="s">
        <v>1282</v>
      </c>
      <c r="E1875" s="17" t="s">
        <v>250</v>
      </c>
      <c r="F1875" s="17" t="s">
        <v>43</v>
      </c>
      <c r="G1875" s="17" t="s">
        <v>1283</v>
      </c>
      <c r="H1875" s="18">
        <v>7995</v>
      </c>
      <c r="I1875" s="18">
        <v>0</v>
      </c>
      <c r="J1875" s="7" t="str">
        <f>IFERROR(_xlfn.XLOOKUP(F1875,ccustos!A:A,ccustos!B:B),"Sem termo")</f>
        <v>SEPAT</v>
      </c>
    </row>
    <row r="1876" spans="1:10" ht="36.75" customHeight="1" x14ac:dyDescent="0.25">
      <c r="A1876" s="14">
        <v>13470</v>
      </c>
      <c r="B1876" s="7" t="s">
        <v>236</v>
      </c>
      <c r="C1876" s="7" t="s">
        <v>1271</v>
      </c>
      <c r="D1876" s="7" t="s">
        <v>1284</v>
      </c>
      <c r="E1876" s="7" t="s">
        <v>335</v>
      </c>
      <c r="F1876" s="7" t="s">
        <v>20</v>
      </c>
      <c r="G1876" s="7" t="s">
        <v>1285</v>
      </c>
      <c r="H1876" s="15">
        <v>2186.04</v>
      </c>
      <c r="I1876" s="15">
        <v>2186.04</v>
      </c>
      <c r="J1876" s="7" t="str">
        <f>IFERROR(_xlfn.XLOOKUP(F1876,ccustos!A:A,ccustos!B:B),"Sem termo")</f>
        <v>CGTI</v>
      </c>
    </row>
    <row r="1877" spans="1:10" ht="25.5" customHeight="1" x14ac:dyDescent="0.25">
      <c r="A1877" s="16">
        <v>13501</v>
      </c>
      <c r="B1877" s="17" t="s">
        <v>236</v>
      </c>
      <c r="C1877" s="17" t="s">
        <v>1271</v>
      </c>
      <c r="D1877" s="17" t="s">
        <v>1284</v>
      </c>
      <c r="E1877" s="17" t="s">
        <v>335</v>
      </c>
      <c r="F1877" s="17" t="s">
        <v>190</v>
      </c>
      <c r="G1877" s="17" t="s">
        <v>1285</v>
      </c>
      <c r="H1877" s="18">
        <v>2186.04</v>
      </c>
      <c r="I1877" s="18">
        <v>2186.04</v>
      </c>
      <c r="J1877" s="7" t="str">
        <f>IFERROR(_xlfn.XLOOKUP(F1877,ccustos!A:A,ccustos!B:B),"Sem termo")</f>
        <v>TERMOS INDIVIDUAIS</v>
      </c>
    </row>
    <row r="1878" spans="1:10" ht="25.5" customHeight="1" x14ac:dyDescent="0.25">
      <c r="A1878" s="14">
        <v>13503</v>
      </c>
      <c r="B1878" s="7" t="s">
        <v>236</v>
      </c>
      <c r="C1878" s="7" t="s">
        <v>1271</v>
      </c>
      <c r="D1878" s="7" t="s">
        <v>1284</v>
      </c>
      <c r="E1878" s="7" t="s">
        <v>335</v>
      </c>
      <c r="F1878" s="7" t="s">
        <v>54</v>
      </c>
      <c r="G1878" s="7" t="s">
        <v>1285</v>
      </c>
      <c r="H1878" s="15">
        <v>2186.04</v>
      </c>
      <c r="I1878" s="15">
        <v>2186.04</v>
      </c>
      <c r="J1878" s="7" t="str">
        <f>IFERROR(_xlfn.XLOOKUP(F1878,ccustos!A:A,ccustos!B:B),"Sem termo")</f>
        <v>DEFIN</v>
      </c>
    </row>
    <row r="1879" spans="1:10" ht="36.75" customHeight="1" x14ac:dyDescent="0.25">
      <c r="A1879" s="16">
        <v>13508</v>
      </c>
      <c r="B1879" s="17" t="s">
        <v>236</v>
      </c>
      <c r="C1879" s="17" t="s">
        <v>1271</v>
      </c>
      <c r="D1879" s="17" t="s">
        <v>1284</v>
      </c>
      <c r="E1879" s="17" t="s">
        <v>335</v>
      </c>
      <c r="F1879" s="17" t="s">
        <v>80</v>
      </c>
      <c r="G1879" s="17" t="s">
        <v>1285</v>
      </c>
      <c r="H1879" s="18">
        <v>2186.04</v>
      </c>
      <c r="I1879" s="18">
        <v>2186.04</v>
      </c>
      <c r="J1879" s="7" t="str">
        <f>IFERROR(_xlfn.XLOOKUP(F1879,ccustos!A:A,ccustos!B:B),"Sem termo")</f>
        <v>SEPAT</v>
      </c>
    </row>
    <row r="1880" spans="1:10" ht="36.75" customHeight="1" x14ac:dyDescent="0.25">
      <c r="A1880" s="14">
        <v>13513</v>
      </c>
      <c r="B1880" s="7" t="s">
        <v>236</v>
      </c>
      <c r="C1880" s="7" t="s">
        <v>917</v>
      </c>
      <c r="D1880" s="7" t="s">
        <v>1286</v>
      </c>
      <c r="E1880" s="7" t="s">
        <v>250</v>
      </c>
      <c r="F1880" s="7" t="s">
        <v>13</v>
      </c>
      <c r="G1880" s="7" t="s">
        <v>1287</v>
      </c>
      <c r="H1880" s="15">
        <v>520</v>
      </c>
      <c r="I1880" s="15">
        <v>520</v>
      </c>
      <c r="J1880" s="7" t="str">
        <f>IFERROR(_xlfn.XLOOKUP(F1880,ccustos!A:A,ccustos!B:B),"Sem termo")</f>
        <v>SEPROT</v>
      </c>
    </row>
    <row r="1881" spans="1:10" ht="36.75" customHeight="1" x14ac:dyDescent="0.25">
      <c r="A1881" s="16">
        <v>13514</v>
      </c>
      <c r="B1881" s="17" t="s">
        <v>236</v>
      </c>
      <c r="C1881" s="17" t="s">
        <v>316</v>
      </c>
      <c r="D1881" s="17" t="s">
        <v>1288</v>
      </c>
      <c r="E1881" s="17" t="s">
        <v>318</v>
      </c>
      <c r="F1881" s="17" t="s">
        <v>16</v>
      </c>
      <c r="G1881" s="17" t="s">
        <v>1289</v>
      </c>
      <c r="H1881" s="18">
        <v>1199</v>
      </c>
      <c r="I1881" s="18">
        <v>1199</v>
      </c>
      <c r="J1881" s="7" t="str">
        <f>IFERROR(_xlfn.XLOOKUP(F1881,ccustos!A:A,ccustos!B:B),"Sem termo")</f>
        <v>SEPAT</v>
      </c>
    </row>
    <row r="1882" spans="1:10" ht="36.75" customHeight="1" x14ac:dyDescent="0.25">
      <c r="A1882" s="14">
        <v>13516</v>
      </c>
      <c r="B1882" s="7" t="s">
        <v>236</v>
      </c>
      <c r="C1882" s="7" t="s">
        <v>1290</v>
      </c>
      <c r="D1882" s="7" t="s">
        <v>1291</v>
      </c>
      <c r="E1882" s="7" t="s">
        <v>250</v>
      </c>
      <c r="F1882" s="7" t="s">
        <v>0</v>
      </c>
      <c r="G1882" s="7" t="s">
        <v>1292</v>
      </c>
      <c r="H1882" s="15">
        <v>867.5</v>
      </c>
      <c r="I1882" s="15">
        <v>867.5</v>
      </c>
      <c r="J1882" s="7" t="str">
        <f>IFERROR(_xlfn.XLOOKUP(F1882,ccustos!A:A,ccustos!B:B),"Sem termo")</f>
        <v>SEPAT</v>
      </c>
    </row>
    <row r="1883" spans="1:10" ht="25.5" customHeight="1" x14ac:dyDescent="0.25">
      <c r="A1883" s="16">
        <v>13518</v>
      </c>
      <c r="B1883" s="17" t="s">
        <v>236</v>
      </c>
      <c r="C1883" s="17" t="s">
        <v>1290</v>
      </c>
      <c r="D1883" s="17" t="s">
        <v>1291</v>
      </c>
      <c r="E1883" s="17" t="s">
        <v>250</v>
      </c>
      <c r="F1883" s="17" t="s">
        <v>0</v>
      </c>
      <c r="G1883" s="17" t="s">
        <v>1292</v>
      </c>
      <c r="H1883" s="18">
        <v>867.5</v>
      </c>
      <c r="I1883" s="18">
        <v>867.5</v>
      </c>
      <c r="J1883" s="7" t="str">
        <f>IFERROR(_xlfn.XLOOKUP(F1883,ccustos!A:A,ccustos!B:B),"Sem termo")</f>
        <v>SEPAT</v>
      </c>
    </row>
    <row r="1884" spans="1:10" ht="25.5" customHeight="1" x14ac:dyDescent="0.25">
      <c r="A1884" s="14">
        <v>13519</v>
      </c>
      <c r="B1884" s="7" t="s">
        <v>236</v>
      </c>
      <c r="C1884" s="7" t="s">
        <v>1290</v>
      </c>
      <c r="D1884" s="7" t="s">
        <v>1291</v>
      </c>
      <c r="E1884" s="7" t="s">
        <v>250</v>
      </c>
      <c r="F1884" s="7" t="s">
        <v>0</v>
      </c>
      <c r="G1884" s="7" t="s">
        <v>1292</v>
      </c>
      <c r="H1884" s="15">
        <v>867.5</v>
      </c>
      <c r="I1884" s="15">
        <v>867.5</v>
      </c>
      <c r="J1884" s="7" t="str">
        <f>IFERROR(_xlfn.XLOOKUP(F1884,ccustos!A:A,ccustos!B:B),"Sem termo")</f>
        <v>SEPAT</v>
      </c>
    </row>
    <row r="1885" spans="1:10" ht="36.75" customHeight="1" x14ac:dyDescent="0.25">
      <c r="A1885" s="16">
        <v>13520</v>
      </c>
      <c r="B1885" s="17" t="s">
        <v>236</v>
      </c>
      <c r="C1885" s="17" t="s">
        <v>1290</v>
      </c>
      <c r="D1885" s="17" t="s">
        <v>1291</v>
      </c>
      <c r="E1885" s="17" t="s">
        <v>250</v>
      </c>
      <c r="F1885" s="17" t="s">
        <v>0</v>
      </c>
      <c r="G1885" s="17" t="s">
        <v>1292</v>
      </c>
      <c r="H1885" s="18">
        <v>867.5</v>
      </c>
      <c r="I1885" s="18">
        <v>867.5</v>
      </c>
      <c r="J1885" s="7" t="str">
        <f>IFERROR(_xlfn.XLOOKUP(F1885,ccustos!A:A,ccustos!B:B),"Sem termo")</f>
        <v>SEPAT</v>
      </c>
    </row>
    <row r="1886" spans="1:10" ht="36.75" customHeight="1" x14ac:dyDescent="0.25">
      <c r="A1886" s="14">
        <v>13521</v>
      </c>
      <c r="B1886" s="7" t="s">
        <v>236</v>
      </c>
      <c r="C1886" s="7" t="s">
        <v>1290</v>
      </c>
      <c r="D1886" s="7" t="s">
        <v>1291</v>
      </c>
      <c r="E1886" s="7" t="s">
        <v>250</v>
      </c>
      <c r="F1886" s="7" t="s">
        <v>0</v>
      </c>
      <c r="G1886" s="7" t="s">
        <v>1292</v>
      </c>
      <c r="H1886" s="15">
        <v>867.5</v>
      </c>
      <c r="I1886" s="15">
        <v>867.5</v>
      </c>
      <c r="J1886" s="7" t="str">
        <f>IFERROR(_xlfn.XLOOKUP(F1886,ccustos!A:A,ccustos!B:B),"Sem termo")</f>
        <v>SEPAT</v>
      </c>
    </row>
    <row r="1887" spans="1:10" ht="36.75" customHeight="1" x14ac:dyDescent="0.25">
      <c r="A1887" s="16">
        <v>13523</v>
      </c>
      <c r="B1887" s="17" t="s">
        <v>236</v>
      </c>
      <c r="C1887" s="17" t="s">
        <v>1290</v>
      </c>
      <c r="D1887" s="17" t="s">
        <v>1291</v>
      </c>
      <c r="E1887" s="17" t="s">
        <v>250</v>
      </c>
      <c r="F1887" s="17" t="s">
        <v>0</v>
      </c>
      <c r="G1887" s="17" t="s">
        <v>1292</v>
      </c>
      <c r="H1887" s="18">
        <v>867.5</v>
      </c>
      <c r="I1887" s="18">
        <v>867.5</v>
      </c>
      <c r="J1887" s="7" t="str">
        <f>IFERROR(_xlfn.XLOOKUP(F1887,ccustos!A:A,ccustos!B:B),"Sem termo")</f>
        <v>SEPAT</v>
      </c>
    </row>
    <row r="1888" spans="1:10" ht="36.75" customHeight="1" x14ac:dyDescent="0.25">
      <c r="A1888" s="14">
        <v>13524</v>
      </c>
      <c r="B1888" s="7" t="s">
        <v>236</v>
      </c>
      <c r="C1888" s="7" t="s">
        <v>1290</v>
      </c>
      <c r="D1888" s="7" t="s">
        <v>1291</v>
      </c>
      <c r="E1888" s="7" t="s">
        <v>250</v>
      </c>
      <c r="F1888" s="7" t="s">
        <v>0</v>
      </c>
      <c r="G1888" s="7" t="s">
        <v>1292</v>
      </c>
      <c r="H1888" s="15">
        <v>867.5</v>
      </c>
      <c r="I1888" s="15">
        <v>867.5</v>
      </c>
      <c r="J1888" s="7" t="str">
        <f>IFERROR(_xlfn.XLOOKUP(F1888,ccustos!A:A,ccustos!B:B),"Sem termo")</f>
        <v>SEPAT</v>
      </c>
    </row>
    <row r="1889" spans="1:10" ht="36.75" customHeight="1" x14ac:dyDescent="0.25">
      <c r="A1889" s="16">
        <v>13526</v>
      </c>
      <c r="B1889" s="17" t="s">
        <v>236</v>
      </c>
      <c r="C1889" s="17" t="s">
        <v>1290</v>
      </c>
      <c r="D1889" s="17" t="s">
        <v>1291</v>
      </c>
      <c r="E1889" s="17" t="s">
        <v>250</v>
      </c>
      <c r="F1889" s="17" t="s">
        <v>0</v>
      </c>
      <c r="G1889" s="17" t="s">
        <v>1292</v>
      </c>
      <c r="H1889" s="18">
        <v>867.5</v>
      </c>
      <c r="I1889" s="18">
        <v>867.5</v>
      </c>
      <c r="J1889" s="7" t="str">
        <f>IFERROR(_xlfn.XLOOKUP(F1889,ccustos!A:A,ccustos!B:B),"Sem termo")</f>
        <v>SEPAT</v>
      </c>
    </row>
    <row r="1890" spans="1:10" ht="25.5" customHeight="1" x14ac:dyDescent="0.25">
      <c r="A1890" s="14">
        <v>13527</v>
      </c>
      <c r="B1890" s="7" t="s">
        <v>236</v>
      </c>
      <c r="C1890" s="7" t="s">
        <v>1290</v>
      </c>
      <c r="D1890" s="7" t="s">
        <v>1291</v>
      </c>
      <c r="E1890" s="7" t="s">
        <v>250</v>
      </c>
      <c r="F1890" s="7" t="s">
        <v>0</v>
      </c>
      <c r="G1890" s="7" t="s">
        <v>1292</v>
      </c>
      <c r="H1890" s="15">
        <v>867.5</v>
      </c>
      <c r="I1890" s="15">
        <v>867.5</v>
      </c>
      <c r="J1890" s="7" t="str">
        <f>IFERROR(_xlfn.XLOOKUP(F1890,ccustos!A:A,ccustos!B:B),"Sem termo")</f>
        <v>SEPAT</v>
      </c>
    </row>
    <row r="1891" spans="1:10" ht="25.5" customHeight="1" x14ac:dyDescent="0.25">
      <c r="A1891" s="16">
        <v>13528</v>
      </c>
      <c r="B1891" s="17" t="s">
        <v>236</v>
      </c>
      <c r="C1891" s="17" t="s">
        <v>1293</v>
      </c>
      <c r="D1891" s="17" t="s">
        <v>1294</v>
      </c>
      <c r="E1891" s="17" t="s">
        <v>239</v>
      </c>
      <c r="F1891" s="17" t="s">
        <v>19</v>
      </c>
      <c r="G1891" s="17" t="s">
        <v>1295</v>
      </c>
      <c r="H1891" s="18">
        <v>690</v>
      </c>
      <c r="I1891" s="18">
        <v>690</v>
      </c>
      <c r="J1891" s="7" t="str">
        <f>IFERROR(_xlfn.XLOOKUP(F1891,ccustos!A:A,ccustos!B:B),"Sem termo")</f>
        <v>SEGED</v>
      </c>
    </row>
    <row r="1892" spans="1:10" ht="25.5" customHeight="1" x14ac:dyDescent="0.25">
      <c r="A1892" s="14">
        <v>13529</v>
      </c>
      <c r="B1892" s="7" t="s">
        <v>236</v>
      </c>
      <c r="C1892" s="7" t="s">
        <v>1293</v>
      </c>
      <c r="D1892" s="7" t="s">
        <v>1294</v>
      </c>
      <c r="E1892" s="7" t="s">
        <v>239</v>
      </c>
      <c r="F1892" s="7" t="s">
        <v>0</v>
      </c>
      <c r="G1892" s="7" t="s">
        <v>1295</v>
      </c>
      <c r="H1892" s="15">
        <v>690</v>
      </c>
      <c r="I1892" s="15">
        <v>690</v>
      </c>
      <c r="J1892" s="7" t="str">
        <f>IFERROR(_xlfn.XLOOKUP(F1892,ccustos!A:A,ccustos!B:B),"Sem termo")</f>
        <v>SEPAT</v>
      </c>
    </row>
    <row r="1893" spans="1:10" ht="25.5" customHeight="1" x14ac:dyDescent="0.25">
      <c r="A1893" s="16">
        <v>13537</v>
      </c>
      <c r="B1893" s="17" t="s">
        <v>236</v>
      </c>
      <c r="C1893" s="17" t="s">
        <v>831</v>
      </c>
      <c r="D1893" s="17" t="s">
        <v>1296</v>
      </c>
      <c r="E1893" s="17" t="s">
        <v>335</v>
      </c>
      <c r="F1893" s="17" t="s">
        <v>6</v>
      </c>
      <c r="G1893" s="17" t="s">
        <v>1297</v>
      </c>
      <c r="H1893" s="18">
        <v>2755.55</v>
      </c>
      <c r="I1893" s="18">
        <v>2755.55</v>
      </c>
      <c r="J1893" s="7" t="str">
        <f>IFERROR(_xlfn.XLOOKUP(F1893,ccustos!A:A,ccustos!B:B),"Sem termo")</f>
        <v>SEPAT</v>
      </c>
    </row>
    <row r="1894" spans="1:10" ht="25.5" customHeight="1" x14ac:dyDescent="0.25">
      <c r="A1894" s="14">
        <v>13538</v>
      </c>
      <c r="B1894" s="7" t="s">
        <v>236</v>
      </c>
      <c r="C1894" s="7" t="s">
        <v>831</v>
      </c>
      <c r="D1894" s="7" t="s">
        <v>1296</v>
      </c>
      <c r="E1894" s="7" t="s">
        <v>335</v>
      </c>
      <c r="F1894" s="7" t="s">
        <v>20</v>
      </c>
      <c r="G1894" s="7" t="s">
        <v>1297</v>
      </c>
      <c r="H1894" s="15">
        <v>2755.55</v>
      </c>
      <c r="I1894" s="15">
        <v>2755.55</v>
      </c>
      <c r="J1894" s="7" t="str">
        <f>IFERROR(_xlfn.XLOOKUP(F1894,ccustos!A:A,ccustos!B:B),"Sem termo")</f>
        <v>CGTI</v>
      </c>
    </row>
    <row r="1895" spans="1:10" ht="25.5" customHeight="1" x14ac:dyDescent="0.25">
      <c r="A1895" s="16">
        <v>13540</v>
      </c>
      <c r="B1895" s="17" t="s">
        <v>236</v>
      </c>
      <c r="C1895" s="17" t="s">
        <v>831</v>
      </c>
      <c r="D1895" s="17" t="s">
        <v>1296</v>
      </c>
      <c r="E1895" s="17" t="s">
        <v>335</v>
      </c>
      <c r="F1895" s="17" t="s">
        <v>20</v>
      </c>
      <c r="G1895" s="17" t="s">
        <v>1297</v>
      </c>
      <c r="H1895" s="18">
        <v>2755.55</v>
      </c>
      <c r="I1895" s="18">
        <v>0</v>
      </c>
      <c r="J1895" s="7" t="str">
        <f>IFERROR(_xlfn.XLOOKUP(F1895,ccustos!A:A,ccustos!B:B),"Sem termo")</f>
        <v>CGTI</v>
      </c>
    </row>
    <row r="1896" spans="1:10" ht="25.5" customHeight="1" x14ac:dyDescent="0.25">
      <c r="A1896" s="14">
        <v>13541</v>
      </c>
      <c r="B1896" s="7" t="s">
        <v>236</v>
      </c>
      <c r="C1896" s="7" t="s">
        <v>831</v>
      </c>
      <c r="D1896" s="7" t="s">
        <v>1296</v>
      </c>
      <c r="E1896" s="7" t="s">
        <v>335</v>
      </c>
      <c r="F1896" s="7" t="s">
        <v>8</v>
      </c>
      <c r="G1896" s="7" t="s">
        <v>1297</v>
      </c>
      <c r="H1896" s="15">
        <v>2755.55</v>
      </c>
      <c r="I1896" s="15">
        <v>2755.55</v>
      </c>
      <c r="J1896" s="7" t="str">
        <f>IFERROR(_xlfn.XLOOKUP(F1896,ccustos!A:A,ccustos!B:B),"Sem termo")</f>
        <v>DEINFRA</v>
      </c>
    </row>
    <row r="1897" spans="1:10" ht="25.5" customHeight="1" x14ac:dyDescent="0.25">
      <c r="A1897" s="16">
        <v>13546</v>
      </c>
      <c r="B1897" s="17" t="s">
        <v>236</v>
      </c>
      <c r="C1897" s="17" t="s">
        <v>831</v>
      </c>
      <c r="D1897" s="17" t="s">
        <v>1296</v>
      </c>
      <c r="E1897" s="17" t="s">
        <v>335</v>
      </c>
      <c r="F1897" s="17" t="s">
        <v>256</v>
      </c>
      <c r="G1897" s="17" t="s">
        <v>1297</v>
      </c>
      <c r="H1897" s="18">
        <v>2755.55</v>
      </c>
      <c r="I1897" s="18">
        <v>2755.55</v>
      </c>
      <c r="J1897" s="7" t="str">
        <f>IFERROR(_xlfn.XLOOKUP(F1897,ccustos!A:A,ccustos!B:B),"Sem termo")</f>
        <v>Sem termo</v>
      </c>
    </row>
    <row r="1898" spans="1:10" ht="25.5" customHeight="1" x14ac:dyDescent="0.25">
      <c r="A1898" s="14">
        <v>13547</v>
      </c>
      <c r="B1898" s="7" t="s">
        <v>236</v>
      </c>
      <c r="C1898" s="7" t="s">
        <v>831</v>
      </c>
      <c r="D1898" s="7" t="s">
        <v>1296</v>
      </c>
      <c r="E1898" s="7" t="s">
        <v>335</v>
      </c>
      <c r="F1898" s="7" t="s">
        <v>6</v>
      </c>
      <c r="G1898" s="7" t="s">
        <v>1297</v>
      </c>
      <c r="H1898" s="15">
        <v>2755.55</v>
      </c>
      <c r="I1898" s="15">
        <v>2755.55</v>
      </c>
      <c r="J1898" s="7" t="str">
        <f>IFERROR(_xlfn.XLOOKUP(F1898,ccustos!A:A,ccustos!B:B),"Sem termo")</f>
        <v>SEPAT</v>
      </c>
    </row>
    <row r="1899" spans="1:10" ht="25.5" customHeight="1" x14ac:dyDescent="0.25">
      <c r="A1899" s="16">
        <v>13548</v>
      </c>
      <c r="B1899" s="17" t="s">
        <v>236</v>
      </c>
      <c r="C1899" s="17" t="s">
        <v>831</v>
      </c>
      <c r="D1899" s="17" t="s">
        <v>1296</v>
      </c>
      <c r="E1899" s="17" t="s">
        <v>335</v>
      </c>
      <c r="F1899" s="17" t="s">
        <v>13</v>
      </c>
      <c r="G1899" s="17" t="s">
        <v>1297</v>
      </c>
      <c r="H1899" s="18">
        <v>2755.55</v>
      </c>
      <c r="I1899" s="18">
        <v>2755.55</v>
      </c>
      <c r="J1899" s="7" t="str">
        <f>IFERROR(_xlfn.XLOOKUP(F1899,ccustos!A:A,ccustos!B:B),"Sem termo")</f>
        <v>SEPROT</v>
      </c>
    </row>
    <row r="1900" spans="1:10" ht="25.5" customHeight="1" x14ac:dyDescent="0.25">
      <c r="A1900" s="14">
        <v>13549</v>
      </c>
      <c r="B1900" s="7" t="s">
        <v>236</v>
      </c>
      <c r="C1900" s="7" t="s">
        <v>831</v>
      </c>
      <c r="D1900" s="7" t="s">
        <v>1296</v>
      </c>
      <c r="E1900" s="7" t="s">
        <v>335</v>
      </c>
      <c r="F1900" s="7" t="s">
        <v>47</v>
      </c>
      <c r="G1900" s="7" t="s">
        <v>1297</v>
      </c>
      <c r="H1900" s="15">
        <v>2755.55</v>
      </c>
      <c r="I1900" s="15">
        <v>2755.55</v>
      </c>
      <c r="J1900" s="7" t="str">
        <f>IFERROR(_xlfn.XLOOKUP(F1900,ccustos!A:A,ccustos!B:B),"Sem termo")</f>
        <v>CDPROF</v>
      </c>
    </row>
    <row r="1901" spans="1:10" ht="25.5" customHeight="1" x14ac:dyDescent="0.25">
      <c r="A1901" s="16">
        <v>13550</v>
      </c>
      <c r="B1901" s="17" t="s">
        <v>236</v>
      </c>
      <c r="C1901" s="17" t="s">
        <v>831</v>
      </c>
      <c r="D1901" s="17" t="s">
        <v>1296</v>
      </c>
      <c r="E1901" s="17" t="s">
        <v>335</v>
      </c>
      <c r="F1901" s="17" t="s">
        <v>1</v>
      </c>
      <c r="G1901" s="17" t="s">
        <v>1297</v>
      </c>
      <c r="H1901" s="18">
        <v>2755.55</v>
      </c>
      <c r="I1901" s="18">
        <v>2755.55</v>
      </c>
      <c r="J1901" s="7" t="str">
        <f>IFERROR(_xlfn.XLOOKUP(F1901,ccustos!A:A,ccustos!B:B),"Sem termo")</f>
        <v>SEPAT</v>
      </c>
    </row>
    <row r="1902" spans="1:10" ht="25.5" customHeight="1" x14ac:dyDescent="0.25">
      <c r="A1902" s="14">
        <v>13553</v>
      </c>
      <c r="B1902" s="7" t="s">
        <v>236</v>
      </c>
      <c r="C1902" s="7" t="s">
        <v>831</v>
      </c>
      <c r="D1902" s="7" t="s">
        <v>1296</v>
      </c>
      <c r="E1902" s="7" t="s">
        <v>335</v>
      </c>
      <c r="F1902" s="7" t="s">
        <v>256</v>
      </c>
      <c r="G1902" s="7" t="s">
        <v>1297</v>
      </c>
      <c r="H1902" s="15">
        <v>2755.55</v>
      </c>
      <c r="I1902" s="15">
        <v>2755.55</v>
      </c>
      <c r="J1902" s="7" t="str">
        <f>IFERROR(_xlfn.XLOOKUP(F1902,ccustos!A:A,ccustos!B:B),"Sem termo")</f>
        <v>Sem termo</v>
      </c>
    </row>
    <row r="1903" spans="1:10" ht="25.5" customHeight="1" x14ac:dyDescent="0.25">
      <c r="A1903" s="16">
        <v>13554</v>
      </c>
      <c r="B1903" s="17" t="s">
        <v>236</v>
      </c>
      <c r="C1903" s="17" t="s">
        <v>831</v>
      </c>
      <c r="D1903" s="17" t="s">
        <v>1296</v>
      </c>
      <c r="E1903" s="17" t="s">
        <v>335</v>
      </c>
      <c r="F1903" s="17" t="s">
        <v>27</v>
      </c>
      <c r="G1903" s="17" t="s">
        <v>1297</v>
      </c>
      <c r="H1903" s="18">
        <v>2755.55</v>
      </c>
      <c r="I1903" s="18">
        <v>2755.55</v>
      </c>
      <c r="J1903" s="7" t="str">
        <f>IFERROR(_xlfn.XLOOKUP(F1903,ccustos!A:A,ccustos!B:B),"Sem termo")</f>
        <v>CCI</v>
      </c>
    </row>
    <row r="1904" spans="1:10" ht="25.5" customHeight="1" x14ac:dyDescent="0.25">
      <c r="A1904" s="14">
        <v>13555</v>
      </c>
      <c r="B1904" s="7" t="s">
        <v>236</v>
      </c>
      <c r="C1904" s="7" t="s">
        <v>333</v>
      </c>
      <c r="D1904" s="7" t="s">
        <v>1298</v>
      </c>
      <c r="E1904" s="7" t="s">
        <v>335</v>
      </c>
      <c r="F1904" s="7" t="s">
        <v>205</v>
      </c>
      <c r="G1904" s="7" t="s">
        <v>1297</v>
      </c>
      <c r="H1904" s="15">
        <v>987.78</v>
      </c>
      <c r="I1904" s="15">
        <v>987.78</v>
      </c>
      <c r="J1904" s="7" t="str">
        <f>IFERROR(_xlfn.XLOOKUP(F1904,ccustos!A:A,ccustos!B:B),"Sem termo")</f>
        <v>CCOM</v>
      </c>
    </row>
    <row r="1905" spans="1:10" ht="25.5" customHeight="1" x14ac:dyDescent="0.25">
      <c r="A1905" s="16">
        <v>13556</v>
      </c>
      <c r="B1905" s="17" t="s">
        <v>236</v>
      </c>
      <c r="C1905" s="17" t="s">
        <v>333</v>
      </c>
      <c r="D1905" s="17" t="s">
        <v>1298</v>
      </c>
      <c r="E1905" s="17" t="s">
        <v>335</v>
      </c>
      <c r="F1905" s="17" t="s">
        <v>83</v>
      </c>
      <c r="G1905" s="17" t="s">
        <v>1297</v>
      </c>
      <c r="H1905" s="18">
        <v>987.78</v>
      </c>
      <c r="I1905" s="18">
        <v>987.78</v>
      </c>
      <c r="J1905" s="7" t="str">
        <f>IFERROR(_xlfn.XLOOKUP(F1905,ccustos!A:A,ccustos!B:B),"Sem termo")</f>
        <v>GABIN</v>
      </c>
    </row>
    <row r="1906" spans="1:10" ht="25.5" customHeight="1" x14ac:dyDescent="0.25">
      <c r="A1906" s="14">
        <v>13557</v>
      </c>
      <c r="B1906" s="7" t="s">
        <v>236</v>
      </c>
      <c r="C1906" s="7" t="s">
        <v>333</v>
      </c>
      <c r="D1906" s="7" t="s">
        <v>1298</v>
      </c>
      <c r="E1906" s="7" t="s">
        <v>335</v>
      </c>
      <c r="F1906" s="7" t="s">
        <v>67</v>
      </c>
      <c r="G1906" s="7" t="s">
        <v>1297</v>
      </c>
      <c r="H1906" s="15">
        <v>987.78</v>
      </c>
      <c r="I1906" s="15">
        <v>987.78</v>
      </c>
      <c r="J1906" s="7" t="str">
        <f>IFERROR(_xlfn.XLOOKUP(F1906,ccustos!A:A,ccustos!B:B),"Sem termo")</f>
        <v>CDPROF</v>
      </c>
    </row>
    <row r="1907" spans="1:10" ht="25.5" customHeight="1" x14ac:dyDescent="0.25">
      <c r="A1907" s="16">
        <v>13558</v>
      </c>
      <c r="B1907" s="17" t="s">
        <v>236</v>
      </c>
      <c r="C1907" s="17" t="s">
        <v>333</v>
      </c>
      <c r="D1907" s="17" t="s">
        <v>1298</v>
      </c>
      <c r="E1907" s="17" t="s">
        <v>335</v>
      </c>
      <c r="F1907" s="17" t="s">
        <v>60</v>
      </c>
      <c r="G1907" s="17" t="s">
        <v>1297</v>
      </c>
      <c r="H1907" s="18">
        <v>987.78</v>
      </c>
      <c r="I1907" s="18">
        <v>987.78</v>
      </c>
      <c r="J1907" s="7" t="str">
        <f>IFERROR(_xlfn.XLOOKUP(F1907,ccustos!A:A,ccustos!B:B),"Sem termo")</f>
        <v>DEGEP</v>
      </c>
    </row>
    <row r="1908" spans="1:10" ht="36.75" customHeight="1" x14ac:dyDescent="0.25">
      <c r="A1908" s="14">
        <v>13559</v>
      </c>
      <c r="B1908" s="7" t="s">
        <v>236</v>
      </c>
      <c r="C1908" s="7" t="s">
        <v>333</v>
      </c>
      <c r="D1908" s="7" t="s">
        <v>1298</v>
      </c>
      <c r="E1908" s="7" t="s">
        <v>335</v>
      </c>
      <c r="F1908" s="7" t="s">
        <v>213</v>
      </c>
      <c r="G1908" s="7" t="s">
        <v>1297</v>
      </c>
      <c r="H1908" s="15">
        <v>987.78</v>
      </c>
      <c r="I1908" s="15">
        <v>987.78</v>
      </c>
      <c r="J1908" s="7" t="str">
        <f>IFERROR(_xlfn.XLOOKUP(F1908,ccustos!A:A,ccustos!B:B),"Sem termo")</f>
        <v>DIEPG</v>
      </c>
    </row>
    <row r="1909" spans="1:10" ht="25.5" customHeight="1" x14ac:dyDescent="0.25">
      <c r="A1909" s="16">
        <v>13560</v>
      </c>
      <c r="B1909" s="17" t="s">
        <v>236</v>
      </c>
      <c r="C1909" s="17" t="s">
        <v>333</v>
      </c>
      <c r="D1909" s="17" t="s">
        <v>1298</v>
      </c>
      <c r="E1909" s="17" t="s">
        <v>335</v>
      </c>
      <c r="F1909" s="17" t="s">
        <v>20</v>
      </c>
      <c r="G1909" s="17" t="s">
        <v>1297</v>
      </c>
      <c r="H1909" s="18">
        <v>987.78</v>
      </c>
      <c r="I1909" s="18">
        <v>987.78</v>
      </c>
      <c r="J1909" s="7" t="str">
        <f>IFERROR(_xlfn.XLOOKUP(F1909,ccustos!A:A,ccustos!B:B),"Sem termo")</f>
        <v>CGTI</v>
      </c>
    </row>
    <row r="1910" spans="1:10" ht="36.75" customHeight="1" x14ac:dyDescent="0.25">
      <c r="A1910" s="14">
        <v>13561</v>
      </c>
      <c r="B1910" s="7" t="s">
        <v>236</v>
      </c>
      <c r="C1910" s="7" t="s">
        <v>333</v>
      </c>
      <c r="D1910" s="7" t="s">
        <v>1298</v>
      </c>
      <c r="E1910" s="7" t="s">
        <v>335</v>
      </c>
      <c r="F1910" s="7" t="s">
        <v>53</v>
      </c>
      <c r="G1910" s="7" t="s">
        <v>1297</v>
      </c>
      <c r="H1910" s="15">
        <v>987.78</v>
      </c>
      <c r="I1910" s="15">
        <v>987.78</v>
      </c>
      <c r="J1910" s="7" t="str">
        <f>IFERROR(_xlfn.XLOOKUP(F1910,ccustos!A:A,ccustos!B:B),"Sem termo")</f>
        <v>DELIC</v>
      </c>
    </row>
    <row r="1911" spans="1:10" ht="25.5" customHeight="1" x14ac:dyDescent="0.25">
      <c r="A1911" s="16">
        <v>13562</v>
      </c>
      <c r="B1911" s="17" t="s">
        <v>236</v>
      </c>
      <c r="C1911" s="17" t="s">
        <v>333</v>
      </c>
      <c r="D1911" s="17" t="s">
        <v>1298</v>
      </c>
      <c r="E1911" s="17" t="s">
        <v>335</v>
      </c>
      <c r="F1911" s="17" t="s">
        <v>55</v>
      </c>
      <c r="G1911" s="17" t="s">
        <v>1297</v>
      </c>
      <c r="H1911" s="18">
        <v>987.78</v>
      </c>
      <c r="I1911" s="18">
        <v>987.78</v>
      </c>
      <c r="J1911" s="7" t="str">
        <f>IFERROR(_xlfn.XLOOKUP(F1911,ccustos!A:A,ccustos!B:B),"Sem termo")</f>
        <v>DEPAD</v>
      </c>
    </row>
    <row r="1912" spans="1:10" ht="14.25" customHeight="1" x14ac:dyDescent="0.25">
      <c r="A1912" s="14">
        <v>13563</v>
      </c>
      <c r="B1912" s="7" t="s">
        <v>236</v>
      </c>
      <c r="C1912" s="7" t="s">
        <v>333</v>
      </c>
      <c r="D1912" s="7" t="s">
        <v>1298</v>
      </c>
      <c r="E1912" s="7" t="s">
        <v>335</v>
      </c>
      <c r="F1912" s="7" t="s">
        <v>205</v>
      </c>
      <c r="G1912" s="7" t="s">
        <v>1297</v>
      </c>
      <c r="H1912" s="15">
        <v>987.78</v>
      </c>
      <c r="I1912" s="15">
        <v>987.78</v>
      </c>
      <c r="J1912" s="7" t="str">
        <f>IFERROR(_xlfn.XLOOKUP(F1912,ccustos!A:A,ccustos!B:B),"Sem termo")</f>
        <v>CCOM</v>
      </c>
    </row>
    <row r="1913" spans="1:10" ht="36.75" customHeight="1" x14ac:dyDescent="0.25">
      <c r="A1913" s="16">
        <v>13564</v>
      </c>
      <c r="B1913" s="17" t="s">
        <v>236</v>
      </c>
      <c r="C1913" s="17" t="s">
        <v>333</v>
      </c>
      <c r="D1913" s="17" t="s">
        <v>1298</v>
      </c>
      <c r="E1913" s="17" t="s">
        <v>335</v>
      </c>
      <c r="F1913" s="17" t="s">
        <v>47</v>
      </c>
      <c r="G1913" s="17" t="s">
        <v>1297</v>
      </c>
      <c r="H1913" s="18">
        <v>987.78</v>
      </c>
      <c r="I1913" s="18">
        <v>987.78</v>
      </c>
      <c r="J1913" s="7" t="str">
        <f>IFERROR(_xlfn.XLOOKUP(F1913,ccustos!A:A,ccustos!B:B),"Sem termo")</f>
        <v>CDPROF</v>
      </c>
    </row>
    <row r="1914" spans="1:10" ht="25.5" customHeight="1" x14ac:dyDescent="0.25">
      <c r="A1914" s="14">
        <v>13565</v>
      </c>
      <c r="B1914" s="7" t="s">
        <v>236</v>
      </c>
      <c r="C1914" s="7" t="s">
        <v>333</v>
      </c>
      <c r="D1914" s="7" t="s">
        <v>1298</v>
      </c>
      <c r="E1914" s="7" t="s">
        <v>335</v>
      </c>
      <c r="F1914" s="7" t="s">
        <v>205</v>
      </c>
      <c r="G1914" s="7" t="s">
        <v>1297</v>
      </c>
      <c r="H1914" s="15">
        <v>987.78</v>
      </c>
      <c r="I1914" s="15">
        <v>987.78</v>
      </c>
      <c r="J1914" s="7" t="str">
        <f>IFERROR(_xlfn.XLOOKUP(F1914,ccustos!A:A,ccustos!B:B),"Sem termo")</f>
        <v>CCOM</v>
      </c>
    </row>
    <row r="1915" spans="1:10" ht="25.5" customHeight="1" x14ac:dyDescent="0.25">
      <c r="A1915" s="16">
        <v>13566</v>
      </c>
      <c r="B1915" s="17" t="s">
        <v>236</v>
      </c>
      <c r="C1915" s="17" t="s">
        <v>333</v>
      </c>
      <c r="D1915" s="17" t="s">
        <v>1298</v>
      </c>
      <c r="E1915" s="17" t="s">
        <v>335</v>
      </c>
      <c r="F1915" s="17" t="s">
        <v>27</v>
      </c>
      <c r="G1915" s="17" t="s">
        <v>1297</v>
      </c>
      <c r="H1915" s="18">
        <v>987.78</v>
      </c>
      <c r="I1915" s="18">
        <v>987.78</v>
      </c>
      <c r="J1915" s="7" t="str">
        <f>IFERROR(_xlfn.XLOOKUP(F1915,ccustos!A:A,ccustos!B:B),"Sem termo")</f>
        <v>CCI</v>
      </c>
    </row>
    <row r="1916" spans="1:10" ht="25.5" customHeight="1" x14ac:dyDescent="0.25">
      <c r="A1916" s="14">
        <v>13567</v>
      </c>
      <c r="B1916" s="7" t="s">
        <v>236</v>
      </c>
      <c r="C1916" s="7" t="s">
        <v>333</v>
      </c>
      <c r="D1916" s="7" t="s">
        <v>1298</v>
      </c>
      <c r="E1916" s="7" t="s">
        <v>335</v>
      </c>
      <c r="F1916" s="7" t="s">
        <v>185</v>
      </c>
      <c r="G1916" s="7" t="s">
        <v>1297</v>
      </c>
      <c r="H1916" s="15">
        <v>987.78</v>
      </c>
      <c r="I1916" s="15">
        <v>987.78</v>
      </c>
      <c r="J1916" s="7" t="str">
        <f>IFERROR(_xlfn.XLOOKUP(F1916,ccustos!A:A,ccustos!B:B),"Sem termo")</f>
        <v>CGGE</v>
      </c>
    </row>
    <row r="1917" spans="1:10" ht="36.75" customHeight="1" x14ac:dyDescent="0.25">
      <c r="A1917" s="16">
        <v>13568</v>
      </c>
      <c r="B1917" s="17" t="s">
        <v>236</v>
      </c>
      <c r="C1917" s="17" t="s">
        <v>333</v>
      </c>
      <c r="D1917" s="17" t="s">
        <v>1298</v>
      </c>
      <c r="E1917" s="17" t="s">
        <v>335</v>
      </c>
      <c r="F1917" s="17" t="s">
        <v>83</v>
      </c>
      <c r="G1917" s="17" t="s">
        <v>1297</v>
      </c>
      <c r="H1917" s="18">
        <v>987.78</v>
      </c>
      <c r="I1917" s="18">
        <v>987.78</v>
      </c>
      <c r="J1917" s="7" t="str">
        <f>IFERROR(_xlfn.XLOOKUP(F1917,ccustos!A:A,ccustos!B:B),"Sem termo")</f>
        <v>GABIN</v>
      </c>
    </row>
    <row r="1918" spans="1:10" ht="25.5" customHeight="1" x14ac:dyDescent="0.25">
      <c r="A1918" s="14">
        <v>13569</v>
      </c>
      <c r="B1918" s="7" t="s">
        <v>236</v>
      </c>
      <c r="C1918" s="7" t="s">
        <v>333</v>
      </c>
      <c r="D1918" s="7" t="s">
        <v>1298</v>
      </c>
      <c r="E1918" s="7" t="s">
        <v>335</v>
      </c>
      <c r="F1918" s="7" t="s">
        <v>37</v>
      </c>
      <c r="G1918" s="7" t="s">
        <v>1297</v>
      </c>
      <c r="H1918" s="15">
        <v>987.78</v>
      </c>
      <c r="I1918" s="15">
        <v>987.78</v>
      </c>
      <c r="J1918" s="7" t="str">
        <f>IFERROR(_xlfn.XLOOKUP(F1918,ccustos!A:A,ccustos!B:B),"Sem termo")</f>
        <v>PROJUR</v>
      </c>
    </row>
    <row r="1919" spans="1:10" ht="25.5" customHeight="1" x14ac:dyDescent="0.25">
      <c r="A1919" s="16">
        <v>13570</v>
      </c>
      <c r="B1919" s="17" t="s">
        <v>236</v>
      </c>
      <c r="C1919" s="17" t="s">
        <v>333</v>
      </c>
      <c r="D1919" s="17" t="s">
        <v>1299</v>
      </c>
      <c r="E1919" s="17" t="s">
        <v>335</v>
      </c>
      <c r="F1919" s="17" t="s">
        <v>185</v>
      </c>
      <c r="G1919" s="17" t="s">
        <v>1297</v>
      </c>
      <c r="H1919" s="18">
        <v>987.78</v>
      </c>
      <c r="I1919" s="18">
        <v>987.78</v>
      </c>
      <c r="J1919" s="7" t="str">
        <f>IFERROR(_xlfn.XLOOKUP(F1919,ccustos!A:A,ccustos!B:B),"Sem termo")</f>
        <v>CGGE</v>
      </c>
    </row>
    <row r="1920" spans="1:10" ht="25.5" customHeight="1" x14ac:dyDescent="0.25">
      <c r="A1920" s="14">
        <v>13571</v>
      </c>
      <c r="B1920" s="7" t="s">
        <v>236</v>
      </c>
      <c r="C1920" s="7" t="s">
        <v>333</v>
      </c>
      <c r="D1920" s="7" t="s">
        <v>1298</v>
      </c>
      <c r="E1920" s="7" t="s">
        <v>335</v>
      </c>
      <c r="F1920" s="7" t="s">
        <v>47</v>
      </c>
      <c r="G1920" s="7" t="s">
        <v>1297</v>
      </c>
      <c r="H1920" s="15">
        <v>987.78</v>
      </c>
      <c r="I1920" s="15">
        <v>987.78</v>
      </c>
      <c r="J1920" s="7" t="str">
        <f>IFERROR(_xlfn.XLOOKUP(F1920,ccustos!A:A,ccustos!B:B),"Sem termo")</f>
        <v>CDPROF</v>
      </c>
    </row>
    <row r="1921" spans="1:10" ht="25.5" customHeight="1" x14ac:dyDescent="0.25">
      <c r="A1921" s="16">
        <v>13572</v>
      </c>
      <c r="B1921" s="17" t="s">
        <v>236</v>
      </c>
      <c r="C1921" s="17" t="s">
        <v>333</v>
      </c>
      <c r="D1921" s="17" t="s">
        <v>1298</v>
      </c>
      <c r="E1921" s="17" t="s">
        <v>335</v>
      </c>
      <c r="F1921" s="17" t="s">
        <v>20</v>
      </c>
      <c r="G1921" s="17" t="s">
        <v>1297</v>
      </c>
      <c r="H1921" s="18">
        <v>987.78</v>
      </c>
      <c r="I1921" s="18">
        <v>987.78</v>
      </c>
      <c r="J1921" s="7" t="str">
        <f>IFERROR(_xlfn.XLOOKUP(F1921,ccustos!A:A,ccustos!B:B),"Sem termo")</f>
        <v>CGTI</v>
      </c>
    </row>
    <row r="1922" spans="1:10" ht="36.75" customHeight="1" x14ac:dyDescent="0.25">
      <c r="A1922" s="14">
        <v>13573</v>
      </c>
      <c r="B1922" s="7" t="s">
        <v>236</v>
      </c>
      <c r="C1922" s="7" t="s">
        <v>333</v>
      </c>
      <c r="D1922" s="7" t="s">
        <v>1298</v>
      </c>
      <c r="E1922" s="7" t="s">
        <v>335</v>
      </c>
      <c r="F1922" s="7" t="s">
        <v>20</v>
      </c>
      <c r="G1922" s="7" t="s">
        <v>1297</v>
      </c>
      <c r="H1922" s="15">
        <v>987.78</v>
      </c>
      <c r="I1922" s="15">
        <v>987.78</v>
      </c>
      <c r="J1922" s="7" t="str">
        <f>IFERROR(_xlfn.XLOOKUP(F1922,ccustos!A:A,ccustos!B:B),"Sem termo")</f>
        <v>CGTI</v>
      </c>
    </row>
    <row r="1923" spans="1:10" ht="36.75" customHeight="1" x14ac:dyDescent="0.25">
      <c r="A1923" s="16">
        <v>13574</v>
      </c>
      <c r="B1923" s="17" t="s">
        <v>236</v>
      </c>
      <c r="C1923" s="17" t="s">
        <v>333</v>
      </c>
      <c r="D1923" s="17" t="s">
        <v>1298</v>
      </c>
      <c r="E1923" s="17" t="s">
        <v>335</v>
      </c>
      <c r="F1923" s="17" t="s">
        <v>47</v>
      </c>
      <c r="G1923" s="17" t="s">
        <v>1297</v>
      </c>
      <c r="H1923" s="18">
        <v>987.78</v>
      </c>
      <c r="I1923" s="18">
        <v>987.78</v>
      </c>
      <c r="J1923" s="7" t="str">
        <f>IFERROR(_xlfn.XLOOKUP(F1923,ccustos!A:A,ccustos!B:B),"Sem termo")</f>
        <v>CDPROF</v>
      </c>
    </row>
    <row r="1924" spans="1:10" ht="25.5" customHeight="1" x14ac:dyDescent="0.25">
      <c r="A1924" s="14">
        <v>13575</v>
      </c>
      <c r="B1924" s="7" t="s">
        <v>236</v>
      </c>
      <c r="C1924" s="7" t="s">
        <v>752</v>
      </c>
      <c r="D1924" s="7" t="s">
        <v>1300</v>
      </c>
      <c r="E1924" s="7" t="s">
        <v>335</v>
      </c>
      <c r="F1924" s="7" t="s">
        <v>19</v>
      </c>
      <c r="G1924" s="7" t="s">
        <v>1301</v>
      </c>
      <c r="H1924" s="15">
        <v>6100</v>
      </c>
      <c r="I1924" s="15">
        <v>6100</v>
      </c>
      <c r="J1924" s="7" t="str">
        <f>IFERROR(_xlfn.XLOOKUP(F1924,ccustos!A:A,ccustos!B:B),"Sem termo")</f>
        <v>SEGED</v>
      </c>
    </row>
    <row r="1925" spans="1:10" ht="25.5" customHeight="1" x14ac:dyDescent="0.25">
      <c r="A1925" s="16">
        <v>13576</v>
      </c>
      <c r="B1925" s="17" t="s">
        <v>236</v>
      </c>
      <c r="C1925" s="17" t="s">
        <v>752</v>
      </c>
      <c r="D1925" s="17" t="s">
        <v>1302</v>
      </c>
      <c r="E1925" s="17" t="s">
        <v>335</v>
      </c>
      <c r="F1925" s="17" t="s">
        <v>47</v>
      </c>
      <c r="G1925" s="17" t="s">
        <v>1301</v>
      </c>
      <c r="H1925" s="18">
        <v>6100</v>
      </c>
      <c r="I1925" s="18">
        <v>6100</v>
      </c>
      <c r="J1925" s="7" t="str">
        <f>IFERROR(_xlfn.XLOOKUP(F1925,ccustos!A:A,ccustos!B:B),"Sem termo")</f>
        <v>CDPROF</v>
      </c>
    </row>
    <row r="1926" spans="1:10" ht="25.5" customHeight="1" x14ac:dyDescent="0.25">
      <c r="A1926" s="14">
        <v>13577</v>
      </c>
      <c r="B1926" s="7" t="s">
        <v>236</v>
      </c>
      <c r="C1926" s="7" t="s">
        <v>831</v>
      </c>
      <c r="D1926" s="7" t="s">
        <v>1303</v>
      </c>
      <c r="E1926" s="7" t="s">
        <v>335</v>
      </c>
      <c r="F1926" s="7" t="s">
        <v>185</v>
      </c>
      <c r="G1926" s="7" t="s">
        <v>1304</v>
      </c>
      <c r="H1926" s="15">
        <v>2755.55</v>
      </c>
      <c r="I1926" s="15">
        <v>2755.55</v>
      </c>
      <c r="J1926" s="7" t="str">
        <f>IFERROR(_xlfn.XLOOKUP(F1926,ccustos!A:A,ccustos!B:B),"Sem termo")</f>
        <v>CGGE</v>
      </c>
    </row>
    <row r="1927" spans="1:10" ht="25.5" customHeight="1" x14ac:dyDescent="0.25">
      <c r="A1927" s="16">
        <v>13578</v>
      </c>
      <c r="B1927" s="17" t="s">
        <v>236</v>
      </c>
      <c r="C1927" s="17" t="s">
        <v>831</v>
      </c>
      <c r="D1927" s="17" t="s">
        <v>1305</v>
      </c>
      <c r="E1927" s="17" t="s">
        <v>335</v>
      </c>
      <c r="F1927" s="17" t="s">
        <v>18</v>
      </c>
      <c r="G1927" s="17" t="s">
        <v>1304</v>
      </c>
      <c r="H1927" s="18">
        <v>2755.55</v>
      </c>
      <c r="I1927" s="18">
        <v>2755.55</v>
      </c>
      <c r="J1927" s="7" t="str">
        <f>IFERROR(_xlfn.XLOOKUP(F1927,ccustos!A:A,ccustos!B:B),"Sem termo")</f>
        <v>DEINFRA</v>
      </c>
    </row>
    <row r="1928" spans="1:10" ht="36.75" customHeight="1" x14ac:dyDescent="0.25">
      <c r="A1928" s="14">
        <v>13582</v>
      </c>
      <c r="B1928" s="7" t="s">
        <v>236</v>
      </c>
      <c r="C1928" s="7" t="s">
        <v>831</v>
      </c>
      <c r="D1928" s="7" t="s">
        <v>1306</v>
      </c>
      <c r="E1928" s="7" t="s">
        <v>335</v>
      </c>
      <c r="F1928" s="7" t="s">
        <v>62</v>
      </c>
      <c r="G1928" s="7" t="s">
        <v>1304</v>
      </c>
      <c r="H1928" s="15">
        <v>2755.55</v>
      </c>
      <c r="I1928" s="15">
        <v>2755.55</v>
      </c>
      <c r="J1928" s="7" t="str">
        <f>IFERROR(_xlfn.XLOOKUP(F1928,ccustos!A:A,ccustos!B:B),"Sem termo")</f>
        <v>SETRAN</v>
      </c>
    </row>
    <row r="1929" spans="1:10" ht="36.75" customHeight="1" x14ac:dyDescent="0.25">
      <c r="A1929" s="16">
        <v>13583</v>
      </c>
      <c r="B1929" s="17" t="s">
        <v>236</v>
      </c>
      <c r="C1929" s="17" t="s">
        <v>831</v>
      </c>
      <c r="D1929" s="17" t="s">
        <v>1307</v>
      </c>
      <c r="E1929" s="17" t="s">
        <v>335</v>
      </c>
      <c r="F1929" s="17" t="s">
        <v>303</v>
      </c>
      <c r="G1929" s="17" t="s">
        <v>1304</v>
      </c>
      <c r="H1929" s="18">
        <v>2755.55</v>
      </c>
      <c r="I1929" s="18">
        <v>2755.55</v>
      </c>
      <c r="J1929" s="7" t="str">
        <f>IFERROR(_xlfn.XLOOKUP(F1929,ccustos!A:A,ccustos!B:B),"Sem termo")</f>
        <v>Sem termo</v>
      </c>
    </row>
    <row r="1930" spans="1:10" ht="14.25" customHeight="1" x14ac:dyDescent="0.25">
      <c r="A1930" s="14">
        <v>13584</v>
      </c>
      <c r="B1930" s="7" t="s">
        <v>236</v>
      </c>
      <c r="C1930" s="7" t="s">
        <v>831</v>
      </c>
      <c r="D1930" s="7" t="s">
        <v>1308</v>
      </c>
      <c r="E1930" s="7" t="s">
        <v>335</v>
      </c>
      <c r="F1930" s="7" t="s">
        <v>55</v>
      </c>
      <c r="G1930" s="7" t="s">
        <v>1304</v>
      </c>
      <c r="H1930" s="15">
        <v>2755.55</v>
      </c>
      <c r="I1930" s="15">
        <v>2755.55</v>
      </c>
      <c r="J1930" s="7" t="str">
        <f>IFERROR(_xlfn.XLOOKUP(F1930,ccustos!A:A,ccustos!B:B),"Sem termo")</f>
        <v>DEPAD</v>
      </c>
    </row>
    <row r="1931" spans="1:10" ht="25.5" customHeight="1" x14ac:dyDescent="0.25">
      <c r="A1931" s="16">
        <v>13585</v>
      </c>
      <c r="B1931" s="17" t="s">
        <v>236</v>
      </c>
      <c r="C1931" s="17" t="s">
        <v>831</v>
      </c>
      <c r="D1931" s="17" t="s">
        <v>1309</v>
      </c>
      <c r="E1931" s="17" t="s">
        <v>335</v>
      </c>
      <c r="F1931" s="17" t="s">
        <v>205</v>
      </c>
      <c r="G1931" s="17" t="s">
        <v>1304</v>
      </c>
      <c r="H1931" s="18">
        <v>2755.55</v>
      </c>
      <c r="I1931" s="18">
        <v>2755.55</v>
      </c>
      <c r="J1931" s="7" t="str">
        <f>IFERROR(_xlfn.XLOOKUP(F1931,ccustos!A:A,ccustos!B:B),"Sem termo")</f>
        <v>CCOM</v>
      </c>
    </row>
    <row r="1932" spans="1:10" ht="25.5" customHeight="1" x14ac:dyDescent="0.25">
      <c r="A1932" s="14">
        <v>13590</v>
      </c>
      <c r="B1932" s="7" t="s">
        <v>236</v>
      </c>
      <c r="C1932" s="7" t="s">
        <v>831</v>
      </c>
      <c r="D1932" s="7" t="s">
        <v>1310</v>
      </c>
      <c r="E1932" s="7" t="s">
        <v>335</v>
      </c>
      <c r="F1932" s="7" t="s">
        <v>32</v>
      </c>
      <c r="G1932" s="7" t="s">
        <v>1304</v>
      </c>
      <c r="H1932" s="15">
        <v>2755.55</v>
      </c>
      <c r="I1932" s="15">
        <v>2755.55</v>
      </c>
      <c r="J1932" s="7" t="str">
        <f>IFERROR(_xlfn.XLOOKUP(F1932,ccustos!A:A,ccustos!B:B),"Sem termo")</f>
        <v>DECONT</v>
      </c>
    </row>
    <row r="1933" spans="1:10" ht="25.5" customHeight="1" x14ac:dyDescent="0.25">
      <c r="A1933" s="16">
        <v>13591</v>
      </c>
      <c r="B1933" s="17" t="s">
        <v>236</v>
      </c>
      <c r="C1933" s="17" t="s">
        <v>831</v>
      </c>
      <c r="D1933" s="17" t="s">
        <v>1311</v>
      </c>
      <c r="E1933" s="17" t="s">
        <v>335</v>
      </c>
      <c r="F1933" s="17" t="s">
        <v>81</v>
      </c>
      <c r="G1933" s="17" t="s">
        <v>1304</v>
      </c>
      <c r="H1933" s="18">
        <v>2755.55</v>
      </c>
      <c r="I1933" s="18">
        <v>2755.55</v>
      </c>
      <c r="J1933" s="7" t="str">
        <f>IFERROR(_xlfn.XLOOKUP(F1933,ccustos!A:A,ccustos!B:B),"Sem termo")</f>
        <v>SEPAT</v>
      </c>
    </row>
    <row r="1934" spans="1:10" ht="25.5" customHeight="1" x14ac:dyDescent="0.25">
      <c r="A1934" s="14">
        <v>13592</v>
      </c>
      <c r="B1934" s="7" t="s">
        <v>236</v>
      </c>
      <c r="C1934" s="7" t="s">
        <v>831</v>
      </c>
      <c r="D1934" s="7" t="s">
        <v>1312</v>
      </c>
      <c r="E1934" s="7" t="s">
        <v>335</v>
      </c>
      <c r="F1934" s="7" t="s">
        <v>19</v>
      </c>
      <c r="G1934" s="7" t="s">
        <v>1304</v>
      </c>
      <c r="H1934" s="15">
        <v>2755.55</v>
      </c>
      <c r="I1934" s="15">
        <v>2755.55</v>
      </c>
      <c r="J1934" s="7" t="str">
        <f>IFERROR(_xlfn.XLOOKUP(F1934,ccustos!A:A,ccustos!B:B),"Sem termo")</f>
        <v>SEGED</v>
      </c>
    </row>
    <row r="1935" spans="1:10" ht="25.5" customHeight="1" x14ac:dyDescent="0.25">
      <c r="A1935" s="16">
        <v>13593</v>
      </c>
      <c r="B1935" s="17" t="s">
        <v>236</v>
      </c>
      <c r="C1935" s="17" t="s">
        <v>831</v>
      </c>
      <c r="D1935" s="17" t="s">
        <v>1313</v>
      </c>
      <c r="E1935" s="17" t="s">
        <v>335</v>
      </c>
      <c r="F1935" s="17" t="s">
        <v>26</v>
      </c>
      <c r="G1935" s="17" t="s">
        <v>1304</v>
      </c>
      <c r="H1935" s="18">
        <v>2755.55</v>
      </c>
      <c r="I1935" s="18">
        <v>2755.55</v>
      </c>
      <c r="J1935" s="7" t="str">
        <f>IFERROR(_xlfn.XLOOKUP(F1935,ccustos!A:A,ccustos!B:B),"Sem termo")</f>
        <v>COLOG</v>
      </c>
    </row>
    <row r="1936" spans="1:10" ht="25.5" customHeight="1" x14ac:dyDescent="0.25">
      <c r="A1936" s="14">
        <v>13598</v>
      </c>
      <c r="B1936" s="7" t="s">
        <v>236</v>
      </c>
      <c r="C1936" s="7" t="s">
        <v>831</v>
      </c>
      <c r="D1936" s="7" t="s">
        <v>1314</v>
      </c>
      <c r="E1936" s="7" t="s">
        <v>335</v>
      </c>
      <c r="F1936" s="7" t="s">
        <v>70</v>
      </c>
      <c r="G1936" s="7" t="s">
        <v>1304</v>
      </c>
      <c r="H1936" s="15">
        <v>2755.55</v>
      </c>
      <c r="I1936" s="15">
        <v>2755.55</v>
      </c>
      <c r="J1936" s="7" t="str">
        <f>IFERROR(_xlfn.XLOOKUP(F1936,ccustos!A:A,ccustos!B:B),"Sem termo")</f>
        <v>SEBIB</v>
      </c>
    </row>
    <row r="1937" spans="1:10" ht="25.5" customHeight="1" x14ac:dyDescent="0.25">
      <c r="A1937" s="16">
        <v>13602</v>
      </c>
      <c r="B1937" s="17" t="s">
        <v>236</v>
      </c>
      <c r="C1937" s="17" t="s">
        <v>831</v>
      </c>
      <c r="D1937" s="17" t="s">
        <v>1315</v>
      </c>
      <c r="E1937" s="17" t="s">
        <v>335</v>
      </c>
      <c r="F1937" s="17" t="s">
        <v>6</v>
      </c>
      <c r="G1937" s="17" t="s">
        <v>1304</v>
      </c>
      <c r="H1937" s="18">
        <v>2755.55</v>
      </c>
      <c r="I1937" s="18">
        <v>2755.55</v>
      </c>
      <c r="J1937" s="7" t="str">
        <f>IFERROR(_xlfn.XLOOKUP(F1937,ccustos!A:A,ccustos!B:B),"Sem termo")</f>
        <v>SEPAT</v>
      </c>
    </row>
    <row r="1938" spans="1:10" ht="25.5" customHeight="1" x14ac:dyDescent="0.25">
      <c r="A1938" s="14">
        <v>13603</v>
      </c>
      <c r="B1938" s="7" t="s">
        <v>236</v>
      </c>
      <c r="C1938" s="7" t="s">
        <v>831</v>
      </c>
      <c r="D1938" s="7" t="s">
        <v>1316</v>
      </c>
      <c r="E1938" s="7" t="s">
        <v>335</v>
      </c>
      <c r="F1938" s="7" t="s">
        <v>20</v>
      </c>
      <c r="G1938" s="7" t="s">
        <v>1304</v>
      </c>
      <c r="H1938" s="15">
        <v>2755.55</v>
      </c>
      <c r="I1938" s="15">
        <v>2755.55</v>
      </c>
      <c r="J1938" s="7" t="str">
        <f>IFERROR(_xlfn.XLOOKUP(F1938,ccustos!A:A,ccustos!B:B),"Sem termo")</f>
        <v>CGTI</v>
      </c>
    </row>
    <row r="1939" spans="1:10" ht="25.5" customHeight="1" x14ac:dyDescent="0.25">
      <c r="A1939" s="16">
        <v>13604</v>
      </c>
      <c r="B1939" s="17" t="s">
        <v>236</v>
      </c>
      <c r="C1939" s="17" t="s">
        <v>831</v>
      </c>
      <c r="D1939" s="17" t="s">
        <v>1317</v>
      </c>
      <c r="E1939" s="17" t="s">
        <v>335</v>
      </c>
      <c r="F1939" s="17" t="s">
        <v>39</v>
      </c>
      <c r="G1939" s="17" t="s">
        <v>1304</v>
      </c>
      <c r="H1939" s="18">
        <v>2755.55</v>
      </c>
      <c r="I1939" s="18">
        <v>2755.55</v>
      </c>
      <c r="J1939" s="7" t="str">
        <f>IFERROR(_xlfn.XLOOKUP(F1939,ccustos!A:A,ccustos!B:B),"Sem termo")</f>
        <v>COREG</v>
      </c>
    </row>
    <row r="1940" spans="1:10" ht="25.5" customHeight="1" x14ac:dyDescent="0.25">
      <c r="A1940" s="14">
        <v>13606</v>
      </c>
      <c r="B1940" s="7" t="s">
        <v>236</v>
      </c>
      <c r="C1940" s="7" t="s">
        <v>831</v>
      </c>
      <c r="D1940" s="7" t="s">
        <v>1318</v>
      </c>
      <c r="E1940" s="7" t="s">
        <v>335</v>
      </c>
      <c r="F1940" s="7" t="s">
        <v>13</v>
      </c>
      <c r="G1940" s="7" t="s">
        <v>1304</v>
      </c>
      <c r="H1940" s="15">
        <v>2755.55</v>
      </c>
      <c r="I1940" s="15">
        <v>2755.55</v>
      </c>
      <c r="J1940" s="7" t="str">
        <f>IFERROR(_xlfn.XLOOKUP(F1940,ccustos!A:A,ccustos!B:B),"Sem termo")</f>
        <v>SEPROT</v>
      </c>
    </row>
    <row r="1941" spans="1:10" ht="25.5" customHeight="1" x14ac:dyDescent="0.25">
      <c r="A1941" s="16">
        <v>13610</v>
      </c>
      <c r="B1941" s="17" t="s">
        <v>236</v>
      </c>
      <c r="C1941" s="17" t="s">
        <v>831</v>
      </c>
      <c r="D1941" s="17" t="s">
        <v>1319</v>
      </c>
      <c r="E1941" s="17" t="s">
        <v>335</v>
      </c>
      <c r="F1941" s="17" t="s">
        <v>27</v>
      </c>
      <c r="G1941" s="17" t="s">
        <v>1304</v>
      </c>
      <c r="H1941" s="18">
        <v>2755.55</v>
      </c>
      <c r="I1941" s="18">
        <v>2755.55</v>
      </c>
      <c r="J1941" s="7" t="str">
        <f>IFERROR(_xlfn.XLOOKUP(F1941,ccustos!A:A,ccustos!B:B),"Sem termo")</f>
        <v>CCI</v>
      </c>
    </row>
    <row r="1942" spans="1:10" ht="25.5" customHeight="1" x14ac:dyDescent="0.25">
      <c r="A1942" s="14">
        <v>13611</v>
      </c>
      <c r="B1942" s="7" t="s">
        <v>236</v>
      </c>
      <c r="C1942" s="7" t="s">
        <v>831</v>
      </c>
      <c r="D1942" s="7" t="s">
        <v>1320</v>
      </c>
      <c r="E1942" s="7" t="s">
        <v>335</v>
      </c>
      <c r="F1942" s="7" t="s">
        <v>20</v>
      </c>
      <c r="G1942" s="7" t="s">
        <v>1304</v>
      </c>
      <c r="H1942" s="15">
        <v>2755.55</v>
      </c>
      <c r="I1942" s="15">
        <v>2755.55</v>
      </c>
      <c r="J1942" s="7" t="str">
        <f>IFERROR(_xlfn.XLOOKUP(F1942,ccustos!A:A,ccustos!B:B),"Sem termo")</f>
        <v>CGTI</v>
      </c>
    </row>
    <row r="1943" spans="1:10" ht="25.5" customHeight="1" x14ac:dyDescent="0.25">
      <c r="A1943" s="16">
        <v>13612</v>
      </c>
      <c r="B1943" s="17" t="s">
        <v>236</v>
      </c>
      <c r="C1943" s="17" t="s">
        <v>831</v>
      </c>
      <c r="D1943" s="17" t="s">
        <v>1321</v>
      </c>
      <c r="E1943" s="17" t="s">
        <v>335</v>
      </c>
      <c r="F1943" s="17" t="s">
        <v>70</v>
      </c>
      <c r="G1943" s="17" t="s">
        <v>1304</v>
      </c>
      <c r="H1943" s="18">
        <v>2755.55</v>
      </c>
      <c r="I1943" s="18">
        <v>2755.55</v>
      </c>
      <c r="J1943" s="7" t="str">
        <f>IFERROR(_xlfn.XLOOKUP(F1943,ccustos!A:A,ccustos!B:B),"Sem termo")</f>
        <v>SEBIB</v>
      </c>
    </row>
    <row r="1944" spans="1:10" ht="25.5" customHeight="1" x14ac:dyDescent="0.25">
      <c r="A1944" s="14">
        <v>13619</v>
      </c>
      <c r="B1944" s="7" t="s">
        <v>236</v>
      </c>
      <c r="C1944" s="7" t="s">
        <v>316</v>
      </c>
      <c r="D1944" s="7" t="s">
        <v>1322</v>
      </c>
      <c r="E1944" s="7" t="s">
        <v>318</v>
      </c>
      <c r="F1944" s="7" t="s">
        <v>35</v>
      </c>
      <c r="G1944" s="7" t="s">
        <v>1323</v>
      </c>
      <c r="H1944" s="15">
        <v>2049</v>
      </c>
      <c r="I1944" s="15">
        <v>2049</v>
      </c>
      <c r="J1944" s="7" t="str">
        <f>IFERROR(_xlfn.XLOOKUP(F1944,ccustos!A:A,ccustos!B:B),"Sem termo")</f>
        <v>DEINFRA</v>
      </c>
    </row>
    <row r="1945" spans="1:10" ht="25.5" customHeight="1" x14ac:dyDescent="0.25">
      <c r="A1945" s="16">
        <v>13622</v>
      </c>
      <c r="B1945" s="17" t="s">
        <v>236</v>
      </c>
      <c r="C1945" s="17" t="s">
        <v>333</v>
      </c>
      <c r="D1945" s="17" t="s">
        <v>1324</v>
      </c>
      <c r="E1945" s="17" t="s">
        <v>335</v>
      </c>
      <c r="F1945" s="17" t="s">
        <v>37</v>
      </c>
      <c r="G1945" s="17" t="s">
        <v>1325</v>
      </c>
      <c r="H1945" s="18">
        <v>487.89</v>
      </c>
      <c r="I1945" s="18">
        <v>487.89</v>
      </c>
      <c r="J1945" s="7" t="str">
        <f>IFERROR(_xlfn.XLOOKUP(F1945,ccustos!A:A,ccustos!B:B),"Sem termo")</f>
        <v>PROJUR</v>
      </c>
    </row>
    <row r="1946" spans="1:10" ht="25.5" customHeight="1" x14ac:dyDescent="0.25">
      <c r="A1946" s="14">
        <v>13623</v>
      </c>
      <c r="B1946" s="7" t="s">
        <v>236</v>
      </c>
      <c r="C1946" s="7" t="s">
        <v>333</v>
      </c>
      <c r="D1946" s="7" t="s">
        <v>1326</v>
      </c>
      <c r="E1946" s="7" t="s">
        <v>335</v>
      </c>
      <c r="F1946" s="7" t="s">
        <v>47</v>
      </c>
      <c r="G1946" s="7" t="s">
        <v>1325</v>
      </c>
      <c r="H1946" s="15">
        <v>487.89</v>
      </c>
      <c r="I1946" s="15">
        <v>487.89</v>
      </c>
      <c r="J1946" s="7" t="str">
        <f>IFERROR(_xlfn.XLOOKUP(F1946,ccustos!A:A,ccustos!B:B),"Sem termo")</f>
        <v>CDPROF</v>
      </c>
    </row>
    <row r="1947" spans="1:10" ht="25.5" customHeight="1" x14ac:dyDescent="0.25">
      <c r="A1947" s="16">
        <v>13624</v>
      </c>
      <c r="B1947" s="17" t="s">
        <v>236</v>
      </c>
      <c r="C1947" s="17" t="s">
        <v>333</v>
      </c>
      <c r="D1947" s="17" t="s">
        <v>1327</v>
      </c>
      <c r="E1947" s="17" t="s">
        <v>335</v>
      </c>
      <c r="F1947" s="17" t="s">
        <v>20</v>
      </c>
      <c r="G1947" s="17" t="s">
        <v>1325</v>
      </c>
      <c r="H1947" s="18">
        <v>487.89</v>
      </c>
      <c r="I1947" s="18">
        <v>487.89</v>
      </c>
      <c r="J1947" s="7" t="str">
        <f>IFERROR(_xlfn.XLOOKUP(F1947,ccustos!A:A,ccustos!B:B),"Sem termo")</f>
        <v>CGTI</v>
      </c>
    </row>
    <row r="1948" spans="1:10" ht="25.5" customHeight="1" x14ac:dyDescent="0.25">
      <c r="A1948" s="14">
        <v>13625</v>
      </c>
      <c r="B1948" s="7" t="s">
        <v>236</v>
      </c>
      <c r="C1948" s="7" t="s">
        <v>333</v>
      </c>
      <c r="D1948" s="7" t="s">
        <v>1324</v>
      </c>
      <c r="E1948" s="7" t="s">
        <v>335</v>
      </c>
      <c r="F1948" s="7" t="s">
        <v>13</v>
      </c>
      <c r="G1948" s="7" t="s">
        <v>1325</v>
      </c>
      <c r="H1948" s="15">
        <v>487.89</v>
      </c>
      <c r="I1948" s="15">
        <v>487.89</v>
      </c>
      <c r="J1948" s="7" t="str">
        <f>IFERROR(_xlfn.XLOOKUP(F1948,ccustos!A:A,ccustos!B:B),"Sem termo")</f>
        <v>SEPROT</v>
      </c>
    </row>
    <row r="1949" spans="1:10" ht="25.5" customHeight="1" x14ac:dyDescent="0.25">
      <c r="A1949" s="16">
        <v>13626</v>
      </c>
      <c r="B1949" s="17" t="s">
        <v>236</v>
      </c>
      <c r="C1949" s="17" t="s">
        <v>333</v>
      </c>
      <c r="D1949" s="17" t="s">
        <v>1324</v>
      </c>
      <c r="E1949" s="17" t="s">
        <v>335</v>
      </c>
      <c r="F1949" s="17" t="s">
        <v>20</v>
      </c>
      <c r="G1949" s="17" t="s">
        <v>1325</v>
      </c>
      <c r="H1949" s="18">
        <v>487.89</v>
      </c>
      <c r="I1949" s="18">
        <v>487.89</v>
      </c>
      <c r="J1949" s="7" t="str">
        <f>IFERROR(_xlfn.XLOOKUP(F1949,ccustos!A:A,ccustos!B:B),"Sem termo")</f>
        <v>CGTI</v>
      </c>
    </row>
    <row r="1950" spans="1:10" ht="25.5" customHeight="1" x14ac:dyDescent="0.25">
      <c r="A1950" s="14">
        <v>13627</v>
      </c>
      <c r="B1950" s="7" t="s">
        <v>236</v>
      </c>
      <c r="C1950" s="7" t="s">
        <v>333</v>
      </c>
      <c r="D1950" s="7" t="s">
        <v>1328</v>
      </c>
      <c r="E1950" s="7" t="s">
        <v>335</v>
      </c>
      <c r="F1950" s="7" t="s">
        <v>18</v>
      </c>
      <c r="G1950" s="7" t="s">
        <v>1325</v>
      </c>
      <c r="H1950" s="15">
        <v>487.89</v>
      </c>
      <c r="I1950" s="15">
        <v>487.89</v>
      </c>
      <c r="J1950" s="7" t="str">
        <f>IFERROR(_xlfn.XLOOKUP(F1950,ccustos!A:A,ccustos!B:B),"Sem termo")</f>
        <v>DEINFRA</v>
      </c>
    </row>
    <row r="1951" spans="1:10" ht="25.5" customHeight="1" x14ac:dyDescent="0.25">
      <c r="A1951" s="16">
        <v>13629</v>
      </c>
      <c r="B1951" s="17" t="s">
        <v>236</v>
      </c>
      <c r="C1951" s="17" t="s">
        <v>333</v>
      </c>
      <c r="D1951" s="17" t="s">
        <v>1324</v>
      </c>
      <c r="E1951" s="17" t="s">
        <v>335</v>
      </c>
      <c r="F1951" s="17" t="s">
        <v>47</v>
      </c>
      <c r="G1951" s="17" t="s">
        <v>1325</v>
      </c>
      <c r="H1951" s="18">
        <v>487.89</v>
      </c>
      <c r="I1951" s="18">
        <v>487.89</v>
      </c>
      <c r="J1951" s="7" t="str">
        <f>IFERROR(_xlfn.XLOOKUP(F1951,ccustos!A:A,ccustos!B:B),"Sem termo")</f>
        <v>CDPROF</v>
      </c>
    </row>
    <row r="1952" spans="1:10" ht="25.5" customHeight="1" x14ac:dyDescent="0.25">
      <c r="A1952" s="14">
        <v>13630</v>
      </c>
      <c r="B1952" s="7" t="s">
        <v>236</v>
      </c>
      <c r="C1952" s="7" t="s">
        <v>333</v>
      </c>
      <c r="D1952" s="7" t="s">
        <v>1324</v>
      </c>
      <c r="E1952" s="7" t="s">
        <v>335</v>
      </c>
      <c r="F1952" s="7" t="s">
        <v>32</v>
      </c>
      <c r="G1952" s="7" t="s">
        <v>1325</v>
      </c>
      <c r="H1952" s="15">
        <v>487.89</v>
      </c>
      <c r="I1952" s="15">
        <v>487.89</v>
      </c>
      <c r="J1952" s="7" t="str">
        <f>IFERROR(_xlfn.XLOOKUP(F1952,ccustos!A:A,ccustos!B:B),"Sem termo")</f>
        <v>DECONT</v>
      </c>
    </row>
    <row r="1953" spans="1:10" ht="25.5" customHeight="1" x14ac:dyDescent="0.25">
      <c r="A1953" s="16">
        <v>13631</v>
      </c>
      <c r="B1953" s="17" t="s">
        <v>236</v>
      </c>
      <c r="C1953" s="17" t="s">
        <v>333</v>
      </c>
      <c r="D1953" s="17" t="s">
        <v>1329</v>
      </c>
      <c r="E1953" s="17" t="s">
        <v>335</v>
      </c>
      <c r="F1953" s="17" t="s">
        <v>27</v>
      </c>
      <c r="G1953" s="17" t="s">
        <v>1325</v>
      </c>
      <c r="H1953" s="18">
        <v>487.89</v>
      </c>
      <c r="I1953" s="18">
        <v>487.89</v>
      </c>
      <c r="J1953" s="7" t="str">
        <f>IFERROR(_xlfn.XLOOKUP(F1953,ccustos!A:A,ccustos!B:B),"Sem termo")</f>
        <v>CCI</v>
      </c>
    </row>
    <row r="1954" spans="1:10" ht="25.5" customHeight="1" x14ac:dyDescent="0.25">
      <c r="A1954" s="14">
        <v>13633</v>
      </c>
      <c r="B1954" s="7" t="s">
        <v>236</v>
      </c>
      <c r="C1954" s="7" t="s">
        <v>612</v>
      </c>
      <c r="D1954" s="7" t="s">
        <v>1330</v>
      </c>
      <c r="E1954" s="7" t="s">
        <v>335</v>
      </c>
      <c r="F1954" s="7" t="s">
        <v>47</v>
      </c>
      <c r="G1954" s="7" t="s">
        <v>1331</v>
      </c>
      <c r="H1954" s="15">
        <v>1194</v>
      </c>
      <c r="I1954" s="15">
        <v>1194</v>
      </c>
      <c r="J1954" s="7" t="str">
        <f>IFERROR(_xlfn.XLOOKUP(F1954,ccustos!A:A,ccustos!B:B),"Sem termo")</f>
        <v>CDPROF</v>
      </c>
    </row>
    <row r="1955" spans="1:10" ht="25.5" customHeight="1" x14ac:dyDescent="0.25">
      <c r="A1955" s="16">
        <v>13634</v>
      </c>
      <c r="B1955" s="17" t="s">
        <v>236</v>
      </c>
      <c r="C1955" s="17" t="s">
        <v>612</v>
      </c>
      <c r="D1955" s="17" t="s">
        <v>1330</v>
      </c>
      <c r="E1955" s="17" t="s">
        <v>335</v>
      </c>
      <c r="F1955" s="17" t="s">
        <v>47</v>
      </c>
      <c r="G1955" s="17" t="s">
        <v>1331</v>
      </c>
      <c r="H1955" s="18">
        <v>1194</v>
      </c>
      <c r="I1955" s="18">
        <v>1194</v>
      </c>
      <c r="J1955" s="7" t="str">
        <f>IFERROR(_xlfn.XLOOKUP(F1955,ccustos!A:A,ccustos!B:B),"Sem termo")</f>
        <v>CDPROF</v>
      </c>
    </row>
    <row r="1956" spans="1:10" ht="25.5" customHeight="1" x14ac:dyDescent="0.25">
      <c r="A1956" s="14">
        <v>13635</v>
      </c>
      <c r="B1956" s="7" t="s">
        <v>236</v>
      </c>
      <c r="C1956" s="7" t="s">
        <v>612</v>
      </c>
      <c r="D1956" s="7" t="s">
        <v>1330</v>
      </c>
      <c r="E1956" s="7" t="s">
        <v>335</v>
      </c>
      <c r="F1956" s="7" t="s">
        <v>47</v>
      </c>
      <c r="G1956" s="7" t="s">
        <v>1331</v>
      </c>
      <c r="H1956" s="15">
        <v>1194</v>
      </c>
      <c r="I1956" s="15">
        <v>1194</v>
      </c>
      <c r="J1956" s="7" t="str">
        <f>IFERROR(_xlfn.XLOOKUP(F1956,ccustos!A:A,ccustos!B:B),"Sem termo")</f>
        <v>CDPROF</v>
      </c>
    </row>
    <row r="1957" spans="1:10" ht="25.5" customHeight="1" x14ac:dyDescent="0.25">
      <c r="A1957" s="16">
        <v>13636</v>
      </c>
      <c r="B1957" s="17" t="s">
        <v>236</v>
      </c>
      <c r="C1957" s="17" t="s">
        <v>612</v>
      </c>
      <c r="D1957" s="17" t="s">
        <v>1330</v>
      </c>
      <c r="E1957" s="17" t="s">
        <v>335</v>
      </c>
      <c r="F1957" s="17" t="s">
        <v>47</v>
      </c>
      <c r="G1957" s="17" t="s">
        <v>1331</v>
      </c>
      <c r="H1957" s="18">
        <v>1194</v>
      </c>
      <c r="I1957" s="18">
        <v>1194</v>
      </c>
      <c r="J1957" s="7" t="str">
        <f>IFERROR(_xlfn.XLOOKUP(F1957,ccustos!A:A,ccustos!B:B),"Sem termo")</f>
        <v>CDPROF</v>
      </c>
    </row>
    <row r="1958" spans="1:10" ht="25.5" customHeight="1" x14ac:dyDescent="0.25">
      <c r="A1958" s="14">
        <v>13637</v>
      </c>
      <c r="B1958" s="7" t="s">
        <v>236</v>
      </c>
      <c r="C1958" s="7" t="s">
        <v>612</v>
      </c>
      <c r="D1958" s="7" t="s">
        <v>1330</v>
      </c>
      <c r="E1958" s="7" t="s">
        <v>335</v>
      </c>
      <c r="F1958" s="7" t="s">
        <v>6</v>
      </c>
      <c r="G1958" s="7" t="s">
        <v>1331</v>
      </c>
      <c r="H1958" s="15">
        <v>1194</v>
      </c>
      <c r="I1958" s="15">
        <v>1194</v>
      </c>
      <c r="J1958" s="7" t="str">
        <f>IFERROR(_xlfn.XLOOKUP(F1958,ccustos!A:A,ccustos!B:B),"Sem termo")</f>
        <v>SEPAT</v>
      </c>
    </row>
    <row r="1959" spans="1:10" ht="25.5" customHeight="1" x14ac:dyDescent="0.25">
      <c r="A1959" s="16">
        <v>13638</v>
      </c>
      <c r="B1959" s="17" t="s">
        <v>236</v>
      </c>
      <c r="C1959" s="17" t="s">
        <v>387</v>
      </c>
      <c r="D1959" s="17" t="s">
        <v>1332</v>
      </c>
      <c r="E1959" s="17" t="s">
        <v>250</v>
      </c>
      <c r="F1959" s="17" t="s">
        <v>83</v>
      </c>
      <c r="G1959" s="17" t="s">
        <v>1333</v>
      </c>
      <c r="H1959" s="18">
        <v>800</v>
      </c>
      <c r="I1959" s="18">
        <v>800</v>
      </c>
      <c r="J1959" s="7" t="str">
        <f>IFERROR(_xlfn.XLOOKUP(F1959,ccustos!A:A,ccustos!B:B),"Sem termo")</f>
        <v>GABIN</v>
      </c>
    </row>
    <row r="1960" spans="1:10" ht="25.5" customHeight="1" x14ac:dyDescent="0.25">
      <c r="A1960" s="14">
        <v>13639</v>
      </c>
      <c r="B1960" s="7" t="s">
        <v>236</v>
      </c>
      <c r="C1960" s="7" t="s">
        <v>241</v>
      </c>
      <c r="D1960" s="7" t="s">
        <v>1334</v>
      </c>
      <c r="E1960" s="7" t="s">
        <v>239</v>
      </c>
      <c r="F1960" s="7" t="s">
        <v>37</v>
      </c>
      <c r="G1960" s="7" t="s">
        <v>1335</v>
      </c>
      <c r="H1960" s="15">
        <v>1216</v>
      </c>
      <c r="I1960" s="15">
        <v>1216</v>
      </c>
      <c r="J1960" s="7" t="str">
        <f>IFERROR(_xlfn.XLOOKUP(F1960,ccustos!A:A,ccustos!B:B),"Sem termo")</f>
        <v>PROJUR</v>
      </c>
    </row>
    <row r="1961" spans="1:10" ht="25.5" customHeight="1" x14ac:dyDescent="0.25">
      <c r="A1961" s="16">
        <v>13640</v>
      </c>
      <c r="B1961" s="17" t="s">
        <v>236</v>
      </c>
      <c r="C1961" s="17" t="s">
        <v>241</v>
      </c>
      <c r="D1961" s="17" t="s">
        <v>1334</v>
      </c>
      <c r="E1961" s="17" t="s">
        <v>239</v>
      </c>
      <c r="F1961" s="17" t="s">
        <v>211</v>
      </c>
      <c r="G1961" s="17" t="s">
        <v>1335</v>
      </c>
      <c r="H1961" s="18">
        <v>1216</v>
      </c>
      <c r="I1961" s="18">
        <v>1216</v>
      </c>
      <c r="J1961" s="7" t="str">
        <f>IFERROR(_xlfn.XLOOKUP(F1961,ccustos!A:A,ccustos!B:B),"Sem termo")</f>
        <v>DIGEO</v>
      </c>
    </row>
    <row r="1962" spans="1:10" ht="25.5" customHeight="1" x14ac:dyDescent="0.25">
      <c r="A1962" s="14">
        <v>13641</v>
      </c>
      <c r="B1962" s="7" t="s">
        <v>236</v>
      </c>
      <c r="C1962" s="7" t="s">
        <v>241</v>
      </c>
      <c r="D1962" s="7" t="s">
        <v>1334</v>
      </c>
      <c r="E1962" s="7" t="s">
        <v>239</v>
      </c>
      <c r="F1962" s="7" t="s">
        <v>37</v>
      </c>
      <c r="G1962" s="7" t="s">
        <v>1335</v>
      </c>
      <c r="H1962" s="15">
        <v>1216</v>
      </c>
      <c r="I1962" s="15">
        <v>1216</v>
      </c>
      <c r="J1962" s="7" t="str">
        <f>IFERROR(_xlfn.XLOOKUP(F1962,ccustos!A:A,ccustos!B:B),"Sem termo")</f>
        <v>PROJUR</v>
      </c>
    </row>
    <row r="1963" spans="1:10" ht="25.5" customHeight="1" x14ac:dyDescent="0.25">
      <c r="A1963" s="16">
        <v>13642</v>
      </c>
      <c r="B1963" s="17" t="s">
        <v>236</v>
      </c>
      <c r="C1963" s="17" t="s">
        <v>241</v>
      </c>
      <c r="D1963" s="17" t="s">
        <v>1334</v>
      </c>
      <c r="E1963" s="17" t="s">
        <v>239</v>
      </c>
      <c r="F1963" s="17" t="s">
        <v>211</v>
      </c>
      <c r="G1963" s="17" t="s">
        <v>1335</v>
      </c>
      <c r="H1963" s="18">
        <v>1216</v>
      </c>
      <c r="I1963" s="18">
        <v>1216</v>
      </c>
      <c r="J1963" s="7" t="str">
        <f>IFERROR(_xlfn.XLOOKUP(F1963,ccustos!A:A,ccustos!B:B),"Sem termo")</f>
        <v>DIGEO</v>
      </c>
    </row>
    <row r="1964" spans="1:10" ht="25.5" customHeight="1" x14ac:dyDescent="0.25">
      <c r="A1964" s="14">
        <v>13643</v>
      </c>
      <c r="B1964" s="7" t="s">
        <v>236</v>
      </c>
      <c r="C1964" s="7" t="s">
        <v>241</v>
      </c>
      <c r="D1964" s="7" t="s">
        <v>1334</v>
      </c>
      <c r="E1964" s="7" t="s">
        <v>239</v>
      </c>
      <c r="F1964" s="7" t="s">
        <v>211</v>
      </c>
      <c r="G1964" s="7" t="s">
        <v>1335</v>
      </c>
      <c r="H1964" s="15">
        <v>1216</v>
      </c>
      <c r="I1964" s="15">
        <v>1216</v>
      </c>
      <c r="J1964" s="7" t="str">
        <f>IFERROR(_xlfn.XLOOKUP(F1964,ccustos!A:A,ccustos!B:B),"Sem termo")</f>
        <v>DIGEO</v>
      </c>
    </row>
    <row r="1965" spans="1:10" ht="25.5" customHeight="1" x14ac:dyDescent="0.25">
      <c r="A1965" s="16">
        <v>13644</v>
      </c>
      <c r="B1965" s="17" t="s">
        <v>236</v>
      </c>
      <c r="C1965" s="17" t="s">
        <v>241</v>
      </c>
      <c r="D1965" s="17" t="s">
        <v>1334</v>
      </c>
      <c r="E1965" s="17" t="s">
        <v>239</v>
      </c>
      <c r="F1965" s="17" t="s">
        <v>211</v>
      </c>
      <c r="G1965" s="17" t="s">
        <v>1335</v>
      </c>
      <c r="H1965" s="18">
        <v>1216</v>
      </c>
      <c r="I1965" s="18">
        <v>1216</v>
      </c>
      <c r="J1965" s="7" t="str">
        <f>IFERROR(_xlfn.XLOOKUP(F1965,ccustos!A:A,ccustos!B:B),"Sem termo")</f>
        <v>DIGEO</v>
      </c>
    </row>
    <row r="1966" spans="1:10" ht="25.5" customHeight="1" x14ac:dyDescent="0.25">
      <c r="A1966" s="14">
        <v>13645</v>
      </c>
      <c r="B1966" s="7" t="s">
        <v>236</v>
      </c>
      <c r="C1966" s="7" t="s">
        <v>241</v>
      </c>
      <c r="D1966" s="7" t="s">
        <v>1334</v>
      </c>
      <c r="E1966" s="7" t="s">
        <v>239</v>
      </c>
      <c r="F1966" s="7" t="s">
        <v>37</v>
      </c>
      <c r="G1966" s="7" t="s">
        <v>1335</v>
      </c>
      <c r="H1966" s="15">
        <v>1216</v>
      </c>
      <c r="I1966" s="15">
        <v>1216</v>
      </c>
      <c r="J1966" s="7" t="str">
        <f>IFERROR(_xlfn.XLOOKUP(F1966,ccustos!A:A,ccustos!B:B),"Sem termo")</f>
        <v>PROJUR</v>
      </c>
    </row>
    <row r="1967" spans="1:10" ht="25.5" customHeight="1" x14ac:dyDescent="0.25">
      <c r="A1967" s="16">
        <v>13646</v>
      </c>
      <c r="B1967" s="17" t="s">
        <v>236</v>
      </c>
      <c r="C1967" s="17" t="s">
        <v>241</v>
      </c>
      <c r="D1967" s="17" t="s">
        <v>1334</v>
      </c>
      <c r="E1967" s="17" t="s">
        <v>239</v>
      </c>
      <c r="F1967" s="17" t="s">
        <v>211</v>
      </c>
      <c r="G1967" s="17" t="s">
        <v>1335</v>
      </c>
      <c r="H1967" s="18">
        <v>1216</v>
      </c>
      <c r="I1967" s="18">
        <v>1216</v>
      </c>
      <c r="J1967" s="7" t="str">
        <f>IFERROR(_xlfn.XLOOKUP(F1967,ccustos!A:A,ccustos!B:B),"Sem termo")</f>
        <v>DIGEO</v>
      </c>
    </row>
    <row r="1968" spans="1:10" ht="25.5" customHeight="1" x14ac:dyDescent="0.25">
      <c r="A1968" s="14">
        <v>13647</v>
      </c>
      <c r="B1968" s="7" t="s">
        <v>236</v>
      </c>
      <c r="C1968" s="7" t="s">
        <v>241</v>
      </c>
      <c r="D1968" s="7" t="s">
        <v>1334</v>
      </c>
      <c r="E1968" s="7" t="s">
        <v>239</v>
      </c>
      <c r="F1968" s="7" t="s">
        <v>211</v>
      </c>
      <c r="G1968" s="7" t="s">
        <v>1335</v>
      </c>
      <c r="H1968" s="15">
        <v>1216</v>
      </c>
      <c r="I1968" s="15">
        <v>1216</v>
      </c>
      <c r="J1968" s="7" t="str">
        <f>IFERROR(_xlfn.XLOOKUP(F1968,ccustos!A:A,ccustos!B:B),"Sem termo")</f>
        <v>DIGEO</v>
      </c>
    </row>
    <row r="1969" spans="1:10" ht="25.5" customHeight="1" x14ac:dyDescent="0.25">
      <c r="A1969" s="16">
        <v>13648</v>
      </c>
      <c r="B1969" s="17" t="s">
        <v>236</v>
      </c>
      <c r="C1969" s="17" t="s">
        <v>241</v>
      </c>
      <c r="D1969" s="17" t="s">
        <v>1334</v>
      </c>
      <c r="E1969" s="17" t="s">
        <v>239</v>
      </c>
      <c r="F1969" s="17" t="s">
        <v>205</v>
      </c>
      <c r="G1969" s="17" t="s">
        <v>1335</v>
      </c>
      <c r="H1969" s="18">
        <v>1216</v>
      </c>
      <c r="I1969" s="18">
        <v>1216</v>
      </c>
      <c r="J1969" s="7" t="str">
        <f>IFERROR(_xlfn.XLOOKUP(F1969,ccustos!A:A,ccustos!B:B),"Sem termo")</f>
        <v>CCOM</v>
      </c>
    </row>
    <row r="1970" spans="1:10" ht="25.5" customHeight="1" x14ac:dyDescent="0.25">
      <c r="A1970" s="14">
        <v>13649</v>
      </c>
      <c r="B1970" s="7" t="s">
        <v>236</v>
      </c>
      <c r="C1970" s="7" t="s">
        <v>241</v>
      </c>
      <c r="D1970" s="7" t="s">
        <v>1334</v>
      </c>
      <c r="E1970" s="7" t="s">
        <v>239</v>
      </c>
      <c r="F1970" s="7" t="s">
        <v>205</v>
      </c>
      <c r="G1970" s="7" t="s">
        <v>1335</v>
      </c>
      <c r="H1970" s="15">
        <v>1216</v>
      </c>
      <c r="I1970" s="15">
        <v>1216</v>
      </c>
      <c r="J1970" s="7" t="str">
        <f>IFERROR(_xlfn.XLOOKUP(F1970,ccustos!A:A,ccustos!B:B),"Sem termo")</f>
        <v>CCOM</v>
      </c>
    </row>
    <row r="1971" spans="1:10" ht="25.5" customHeight="1" x14ac:dyDescent="0.25">
      <c r="A1971" s="16">
        <v>13650</v>
      </c>
      <c r="B1971" s="17" t="s">
        <v>236</v>
      </c>
      <c r="C1971" s="17" t="s">
        <v>241</v>
      </c>
      <c r="D1971" s="17" t="s">
        <v>1334</v>
      </c>
      <c r="E1971" s="17" t="s">
        <v>239</v>
      </c>
      <c r="F1971" s="17" t="s">
        <v>205</v>
      </c>
      <c r="G1971" s="17" t="s">
        <v>1335</v>
      </c>
      <c r="H1971" s="18">
        <v>1216</v>
      </c>
      <c r="I1971" s="18">
        <v>1216</v>
      </c>
      <c r="J1971" s="7" t="str">
        <f>IFERROR(_xlfn.XLOOKUP(F1971,ccustos!A:A,ccustos!B:B),"Sem termo")</f>
        <v>CCOM</v>
      </c>
    </row>
    <row r="1972" spans="1:10" ht="25.5" customHeight="1" x14ac:dyDescent="0.25">
      <c r="A1972" s="14">
        <v>13651</v>
      </c>
      <c r="B1972" s="7" t="s">
        <v>236</v>
      </c>
      <c r="C1972" s="7" t="s">
        <v>241</v>
      </c>
      <c r="D1972" s="7" t="s">
        <v>1334</v>
      </c>
      <c r="E1972" s="7" t="s">
        <v>239</v>
      </c>
      <c r="F1972" s="7" t="s">
        <v>205</v>
      </c>
      <c r="G1972" s="7" t="s">
        <v>1335</v>
      </c>
      <c r="H1972" s="15">
        <v>1216</v>
      </c>
      <c r="I1972" s="15">
        <v>1216</v>
      </c>
      <c r="J1972" s="7" t="str">
        <f>IFERROR(_xlfn.XLOOKUP(F1972,ccustos!A:A,ccustos!B:B),"Sem termo")</f>
        <v>CCOM</v>
      </c>
    </row>
    <row r="1973" spans="1:10" ht="25.5" customHeight="1" x14ac:dyDescent="0.25">
      <c r="A1973" s="16">
        <v>13652</v>
      </c>
      <c r="B1973" s="17" t="s">
        <v>236</v>
      </c>
      <c r="C1973" s="17" t="s">
        <v>241</v>
      </c>
      <c r="D1973" s="17" t="s">
        <v>1334</v>
      </c>
      <c r="E1973" s="17" t="s">
        <v>239</v>
      </c>
      <c r="F1973" s="17" t="s">
        <v>205</v>
      </c>
      <c r="G1973" s="17" t="s">
        <v>1335</v>
      </c>
      <c r="H1973" s="18">
        <v>1216</v>
      </c>
      <c r="I1973" s="18">
        <v>1216</v>
      </c>
      <c r="J1973" s="7" t="str">
        <f>IFERROR(_xlfn.XLOOKUP(F1973,ccustos!A:A,ccustos!B:B),"Sem termo")</f>
        <v>CCOM</v>
      </c>
    </row>
    <row r="1974" spans="1:10" ht="25.5" customHeight="1" x14ac:dyDescent="0.25">
      <c r="A1974" s="14">
        <v>13653</v>
      </c>
      <c r="B1974" s="7" t="s">
        <v>236</v>
      </c>
      <c r="C1974" s="7" t="s">
        <v>241</v>
      </c>
      <c r="D1974" s="7" t="s">
        <v>1336</v>
      </c>
      <c r="E1974" s="7" t="s">
        <v>239</v>
      </c>
      <c r="F1974" s="7" t="s">
        <v>6</v>
      </c>
      <c r="G1974" s="7" t="s">
        <v>1335</v>
      </c>
      <c r="H1974" s="15">
        <v>1195</v>
      </c>
      <c r="I1974" s="15">
        <v>1195</v>
      </c>
      <c r="J1974" s="7" t="str">
        <f>IFERROR(_xlfn.XLOOKUP(F1974,ccustos!A:A,ccustos!B:B),"Sem termo")</f>
        <v>SEPAT</v>
      </c>
    </row>
    <row r="1975" spans="1:10" ht="25.5" customHeight="1" x14ac:dyDescent="0.25">
      <c r="A1975" s="16">
        <v>13654</v>
      </c>
      <c r="B1975" s="17" t="s">
        <v>236</v>
      </c>
      <c r="C1975" s="17" t="s">
        <v>241</v>
      </c>
      <c r="D1975" s="17" t="s">
        <v>1337</v>
      </c>
      <c r="E1975" s="17" t="s">
        <v>239</v>
      </c>
      <c r="F1975" s="17" t="s">
        <v>211</v>
      </c>
      <c r="G1975" s="17" t="s">
        <v>1335</v>
      </c>
      <c r="H1975" s="18">
        <v>523.70000000000005</v>
      </c>
      <c r="I1975" s="18">
        <v>523.70000000000005</v>
      </c>
      <c r="J1975" s="7" t="str">
        <f>IFERROR(_xlfn.XLOOKUP(F1975,ccustos!A:A,ccustos!B:B),"Sem termo")</f>
        <v>DIGEO</v>
      </c>
    </row>
    <row r="1976" spans="1:10" ht="25.5" customHeight="1" x14ac:dyDescent="0.25">
      <c r="A1976" s="14">
        <v>13655</v>
      </c>
      <c r="B1976" s="7" t="s">
        <v>236</v>
      </c>
      <c r="C1976" s="7" t="s">
        <v>241</v>
      </c>
      <c r="D1976" s="7" t="s">
        <v>1338</v>
      </c>
      <c r="E1976" s="7" t="s">
        <v>239</v>
      </c>
      <c r="F1976" s="7" t="s">
        <v>256</v>
      </c>
      <c r="G1976" s="7" t="s">
        <v>1335</v>
      </c>
      <c r="H1976" s="15">
        <v>401.4</v>
      </c>
      <c r="I1976" s="15">
        <v>401.4</v>
      </c>
      <c r="J1976" s="7" t="str">
        <f>IFERROR(_xlfn.XLOOKUP(F1976,ccustos!A:A,ccustos!B:B),"Sem termo")</f>
        <v>Sem termo</v>
      </c>
    </row>
    <row r="1977" spans="1:10" ht="25.5" customHeight="1" x14ac:dyDescent="0.25">
      <c r="A1977" s="16">
        <v>13656</v>
      </c>
      <c r="B1977" s="17" t="s">
        <v>236</v>
      </c>
      <c r="C1977" s="17" t="s">
        <v>241</v>
      </c>
      <c r="D1977" s="17" t="s">
        <v>1339</v>
      </c>
      <c r="E1977" s="17" t="s">
        <v>239</v>
      </c>
      <c r="F1977" s="17" t="s">
        <v>205</v>
      </c>
      <c r="G1977" s="17" t="s">
        <v>1335</v>
      </c>
      <c r="H1977" s="18">
        <v>453.9</v>
      </c>
      <c r="I1977" s="18">
        <v>453.9</v>
      </c>
      <c r="J1977" s="7" t="str">
        <f>IFERROR(_xlfn.XLOOKUP(F1977,ccustos!A:A,ccustos!B:B),"Sem termo")</f>
        <v>CCOM</v>
      </c>
    </row>
    <row r="1978" spans="1:10" ht="25.5" customHeight="1" x14ac:dyDescent="0.25">
      <c r="A1978" s="14">
        <v>13657</v>
      </c>
      <c r="B1978" s="7" t="s">
        <v>236</v>
      </c>
      <c r="C1978" s="7" t="s">
        <v>337</v>
      </c>
      <c r="D1978" s="7" t="s">
        <v>1340</v>
      </c>
      <c r="E1978" s="7" t="s">
        <v>239</v>
      </c>
      <c r="F1978" s="7" t="s">
        <v>22</v>
      </c>
      <c r="G1978" s="7" t="s">
        <v>1335</v>
      </c>
      <c r="H1978" s="15">
        <v>559</v>
      </c>
      <c r="I1978" s="15">
        <v>559</v>
      </c>
      <c r="J1978" s="7" t="str">
        <f>IFERROR(_xlfn.XLOOKUP(F1978,ccustos!A:A,ccustos!B:B),"Sem termo")</f>
        <v>COTEC</v>
      </c>
    </row>
    <row r="1979" spans="1:10" ht="25.5" customHeight="1" x14ac:dyDescent="0.25">
      <c r="A1979" s="16">
        <v>13658</v>
      </c>
      <c r="B1979" s="17" t="s">
        <v>236</v>
      </c>
      <c r="C1979" s="17" t="s">
        <v>337</v>
      </c>
      <c r="D1979" s="17" t="s">
        <v>1340</v>
      </c>
      <c r="E1979" s="17" t="s">
        <v>239</v>
      </c>
      <c r="F1979" s="17" t="s">
        <v>211</v>
      </c>
      <c r="G1979" s="17" t="s">
        <v>1335</v>
      </c>
      <c r="H1979" s="18">
        <v>559</v>
      </c>
      <c r="I1979" s="18">
        <v>559</v>
      </c>
      <c r="J1979" s="7" t="str">
        <f>IFERROR(_xlfn.XLOOKUP(F1979,ccustos!A:A,ccustos!B:B),"Sem termo")</f>
        <v>DIGEO</v>
      </c>
    </row>
    <row r="1980" spans="1:10" ht="25.5" customHeight="1" x14ac:dyDescent="0.25">
      <c r="A1980" s="14">
        <v>13659</v>
      </c>
      <c r="B1980" s="7" t="s">
        <v>236</v>
      </c>
      <c r="C1980" s="7" t="s">
        <v>337</v>
      </c>
      <c r="D1980" s="7" t="s">
        <v>1340</v>
      </c>
      <c r="E1980" s="7" t="s">
        <v>239</v>
      </c>
      <c r="F1980" s="7" t="s">
        <v>37</v>
      </c>
      <c r="G1980" s="7" t="s">
        <v>1335</v>
      </c>
      <c r="H1980" s="15">
        <v>559</v>
      </c>
      <c r="I1980" s="15">
        <v>559</v>
      </c>
      <c r="J1980" s="7" t="str">
        <f>IFERROR(_xlfn.XLOOKUP(F1980,ccustos!A:A,ccustos!B:B),"Sem termo")</f>
        <v>PROJUR</v>
      </c>
    </row>
    <row r="1981" spans="1:10" ht="25.5" customHeight="1" x14ac:dyDescent="0.25">
      <c r="A1981" s="16">
        <v>13660</v>
      </c>
      <c r="B1981" s="17" t="s">
        <v>236</v>
      </c>
      <c r="C1981" s="17" t="s">
        <v>337</v>
      </c>
      <c r="D1981" s="17" t="s">
        <v>1340</v>
      </c>
      <c r="E1981" s="17" t="s">
        <v>239</v>
      </c>
      <c r="F1981" s="17" t="s">
        <v>37</v>
      </c>
      <c r="G1981" s="17" t="s">
        <v>1335</v>
      </c>
      <c r="H1981" s="18">
        <v>559</v>
      </c>
      <c r="I1981" s="18">
        <v>559</v>
      </c>
      <c r="J1981" s="7" t="str">
        <f>IFERROR(_xlfn.XLOOKUP(F1981,ccustos!A:A,ccustos!B:B),"Sem termo")</f>
        <v>PROJUR</v>
      </c>
    </row>
    <row r="1982" spans="1:10" ht="25.5" customHeight="1" x14ac:dyDescent="0.25">
      <c r="A1982" s="14">
        <v>13661</v>
      </c>
      <c r="B1982" s="7" t="s">
        <v>236</v>
      </c>
      <c r="C1982" s="7" t="s">
        <v>337</v>
      </c>
      <c r="D1982" s="7" t="s">
        <v>1340</v>
      </c>
      <c r="E1982" s="7" t="s">
        <v>239</v>
      </c>
      <c r="F1982" s="7" t="s">
        <v>211</v>
      </c>
      <c r="G1982" s="7" t="s">
        <v>1335</v>
      </c>
      <c r="H1982" s="15">
        <v>559</v>
      </c>
      <c r="I1982" s="15">
        <v>559</v>
      </c>
      <c r="J1982" s="7" t="str">
        <f>IFERROR(_xlfn.XLOOKUP(F1982,ccustos!A:A,ccustos!B:B),"Sem termo")</f>
        <v>DIGEO</v>
      </c>
    </row>
    <row r="1983" spans="1:10" ht="36.75" customHeight="1" x14ac:dyDescent="0.25">
      <c r="A1983" s="16">
        <v>13662</v>
      </c>
      <c r="B1983" s="17" t="s">
        <v>236</v>
      </c>
      <c r="C1983" s="17" t="s">
        <v>337</v>
      </c>
      <c r="D1983" s="17" t="s">
        <v>1340</v>
      </c>
      <c r="E1983" s="17" t="s">
        <v>239</v>
      </c>
      <c r="F1983" s="17" t="s">
        <v>211</v>
      </c>
      <c r="G1983" s="17" t="s">
        <v>1335</v>
      </c>
      <c r="H1983" s="18">
        <v>559</v>
      </c>
      <c r="I1983" s="18">
        <v>559</v>
      </c>
      <c r="J1983" s="7" t="str">
        <f>IFERROR(_xlfn.XLOOKUP(F1983,ccustos!A:A,ccustos!B:B),"Sem termo")</f>
        <v>DIGEO</v>
      </c>
    </row>
    <row r="1984" spans="1:10" ht="25.5" customHeight="1" x14ac:dyDescent="0.25">
      <c r="A1984" s="14">
        <v>13663</v>
      </c>
      <c r="B1984" s="7" t="s">
        <v>236</v>
      </c>
      <c r="C1984" s="7" t="s">
        <v>337</v>
      </c>
      <c r="D1984" s="7" t="s">
        <v>1340</v>
      </c>
      <c r="E1984" s="7" t="s">
        <v>239</v>
      </c>
      <c r="F1984" s="7" t="s">
        <v>211</v>
      </c>
      <c r="G1984" s="7" t="s">
        <v>1335</v>
      </c>
      <c r="H1984" s="15">
        <v>559</v>
      </c>
      <c r="I1984" s="15">
        <v>559</v>
      </c>
      <c r="J1984" s="7" t="str">
        <f>IFERROR(_xlfn.XLOOKUP(F1984,ccustos!A:A,ccustos!B:B),"Sem termo")</f>
        <v>DIGEO</v>
      </c>
    </row>
    <row r="1985" spans="1:10" ht="25.5" customHeight="1" x14ac:dyDescent="0.25">
      <c r="A1985" s="16">
        <v>13664</v>
      </c>
      <c r="B1985" s="17" t="s">
        <v>236</v>
      </c>
      <c r="C1985" s="17" t="s">
        <v>337</v>
      </c>
      <c r="D1985" s="17" t="s">
        <v>1340</v>
      </c>
      <c r="E1985" s="17" t="s">
        <v>239</v>
      </c>
      <c r="F1985" s="17" t="s">
        <v>211</v>
      </c>
      <c r="G1985" s="17" t="s">
        <v>1335</v>
      </c>
      <c r="H1985" s="18">
        <v>559</v>
      </c>
      <c r="I1985" s="18">
        <v>559</v>
      </c>
      <c r="J1985" s="7" t="str">
        <f>IFERROR(_xlfn.XLOOKUP(F1985,ccustos!A:A,ccustos!B:B),"Sem termo")</f>
        <v>DIGEO</v>
      </c>
    </row>
    <row r="1986" spans="1:10" ht="25.5" customHeight="1" x14ac:dyDescent="0.25">
      <c r="A1986" s="14">
        <v>13665</v>
      </c>
      <c r="B1986" s="7" t="s">
        <v>236</v>
      </c>
      <c r="C1986" s="7" t="s">
        <v>337</v>
      </c>
      <c r="D1986" s="7" t="s">
        <v>1340</v>
      </c>
      <c r="E1986" s="7" t="s">
        <v>239</v>
      </c>
      <c r="F1986" s="7" t="s">
        <v>0</v>
      </c>
      <c r="G1986" s="7" t="s">
        <v>1335</v>
      </c>
      <c r="H1986" s="15">
        <v>559</v>
      </c>
      <c r="I1986" s="15">
        <v>559</v>
      </c>
      <c r="J1986" s="7" t="str">
        <f>IFERROR(_xlfn.XLOOKUP(F1986,ccustos!A:A,ccustos!B:B),"Sem termo")</f>
        <v>SEPAT</v>
      </c>
    </row>
    <row r="1987" spans="1:10" ht="25.5" customHeight="1" x14ac:dyDescent="0.25">
      <c r="A1987" s="16">
        <v>13666</v>
      </c>
      <c r="B1987" s="17" t="s">
        <v>236</v>
      </c>
      <c r="C1987" s="17" t="s">
        <v>337</v>
      </c>
      <c r="D1987" s="17" t="s">
        <v>1340</v>
      </c>
      <c r="E1987" s="17" t="s">
        <v>239</v>
      </c>
      <c r="F1987" s="17" t="s">
        <v>37</v>
      </c>
      <c r="G1987" s="17" t="s">
        <v>1335</v>
      </c>
      <c r="H1987" s="18">
        <v>559</v>
      </c>
      <c r="I1987" s="18">
        <v>559</v>
      </c>
      <c r="J1987" s="7" t="str">
        <f>IFERROR(_xlfn.XLOOKUP(F1987,ccustos!A:A,ccustos!B:B),"Sem termo")</f>
        <v>PROJUR</v>
      </c>
    </row>
    <row r="1988" spans="1:10" ht="36.75" customHeight="1" x14ac:dyDescent="0.25">
      <c r="A1988" s="14">
        <v>13667</v>
      </c>
      <c r="B1988" s="7" t="s">
        <v>236</v>
      </c>
      <c r="C1988" s="7" t="s">
        <v>306</v>
      </c>
      <c r="D1988" s="7" t="s">
        <v>1341</v>
      </c>
      <c r="E1988" s="7" t="s">
        <v>239</v>
      </c>
      <c r="F1988" s="7" t="s">
        <v>211</v>
      </c>
      <c r="G1988" s="7" t="s">
        <v>1335</v>
      </c>
      <c r="H1988" s="15">
        <v>586.9</v>
      </c>
      <c r="I1988" s="15">
        <v>586.9</v>
      </c>
      <c r="J1988" s="7" t="str">
        <f>IFERROR(_xlfn.XLOOKUP(F1988,ccustos!A:A,ccustos!B:B),"Sem termo")</f>
        <v>DIGEO</v>
      </c>
    </row>
    <row r="1989" spans="1:10" ht="25.5" customHeight="1" x14ac:dyDescent="0.25">
      <c r="A1989" s="16">
        <v>13668</v>
      </c>
      <c r="B1989" s="17" t="s">
        <v>236</v>
      </c>
      <c r="C1989" s="17" t="s">
        <v>306</v>
      </c>
      <c r="D1989" s="17" t="s">
        <v>1341</v>
      </c>
      <c r="E1989" s="17" t="s">
        <v>239</v>
      </c>
      <c r="F1989" s="17" t="s">
        <v>211</v>
      </c>
      <c r="G1989" s="17" t="s">
        <v>1335</v>
      </c>
      <c r="H1989" s="18">
        <v>586.9</v>
      </c>
      <c r="I1989" s="18">
        <v>586.9</v>
      </c>
      <c r="J1989" s="7" t="str">
        <f>IFERROR(_xlfn.XLOOKUP(F1989,ccustos!A:A,ccustos!B:B),"Sem termo")</f>
        <v>DIGEO</v>
      </c>
    </row>
    <row r="1990" spans="1:10" ht="25.5" customHeight="1" x14ac:dyDescent="0.25">
      <c r="A1990" s="14">
        <v>13669</v>
      </c>
      <c r="B1990" s="7" t="s">
        <v>236</v>
      </c>
      <c r="C1990" s="7" t="s">
        <v>306</v>
      </c>
      <c r="D1990" s="7" t="s">
        <v>1341</v>
      </c>
      <c r="E1990" s="7" t="s">
        <v>239</v>
      </c>
      <c r="F1990" s="7" t="s">
        <v>211</v>
      </c>
      <c r="G1990" s="7" t="s">
        <v>1335</v>
      </c>
      <c r="H1990" s="15">
        <v>586.9</v>
      </c>
      <c r="I1990" s="15">
        <v>586.9</v>
      </c>
      <c r="J1990" s="7" t="str">
        <f>IFERROR(_xlfn.XLOOKUP(F1990,ccustos!A:A,ccustos!B:B),"Sem termo")</f>
        <v>DIGEO</v>
      </c>
    </row>
    <row r="1991" spans="1:10" ht="25.5" customHeight="1" x14ac:dyDescent="0.25">
      <c r="A1991" s="16">
        <v>13670</v>
      </c>
      <c r="B1991" s="17" t="s">
        <v>236</v>
      </c>
      <c r="C1991" s="17" t="s">
        <v>306</v>
      </c>
      <c r="D1991" s="17" t="s">
        <v>1341</v>
      </c>
      <c r="E1991" s="17" t="s">
        <v>239</v>
      </c>
      <c r="F1991" s="17" t="s">
        <v>211</v>
      </c>
      <c r="G1991" s="17" t="s">
        <v>1335</v>
      </c>
      <c r="H1991" s="18">
        <v>586.9</v>
      </c>
      <c r="I1991" s="18">
        <v>586.9</v>
      </c>
      <c r="J1991" s="7" t="str">
        <f>IFERROR(_xlfn.XLOOKUP(F1991,ccustos!A:A,ccustos!B:B),"Sem termo")</f>
        <v>DIGEO</v>
      </c>
    </row>
    <row r="1992" spans="1:10" ht="25.5" customHeight="1" x14ac:dyDescent="0.25">
      <c r="A1992" s="14">
        <v>13671</v>
      </c>
      <c r="B1992" s="7" t="s">
        <v>236</v>
      </c>
      <c r="C1992" s="7" t="s">
        <v>306</v>
      </c>
      <c r="D1992" s="7" t="s">
        <v>1341</v>
      </c>
      <c r="E1992" s="7" t="s">
        <v>239</v>
      </c>
      <c r="F1992" s="7" t="s">
        <v>211</v>
      </c>
      <c r="G1992" s="7" t="s">
        <v>1335</v>
      </c>
      <c r="H1992" s="15">
        <v>586.9</v>
      </c>
      <c r="I1992" s="15">
        <v>586.9</v>
      </c>
      <c r="J1992" s="7" t="str">
        <f>IFERROR(_xlfn.XLOOKUP(F1992,ccustos!A:A,ccustos!B:B),"Sem termo")</f>
        <v>DIGEO</v>
      </c>
    </row>
    <row r="1993" spans="1:10" ht="25.5" customHeight="1" x14ac:dyDescent="0.25">
      <c r="A1993" s="16">
        <v>13672</v>
      </c>
      <c r="B1993" s="17" t="s">
        <v>236</v>
      </c>
      <c r="C1993" s="17" t="s">
        <v>306</v>
      </c>
      <c r="D1993" s="17" t="s">
        <v>1342</v>
      </c>
      <c r="E1993" s="17" t="s">
        <v>239</v>
      </c>
      <c r="F1993" s="17" t="s">
        <v>211</v>
      </c>
      <c r="G1993" s="17" t="s">
        <v>1335</v>
      </c>
      <c r="H1993" s="18">
        <v>1510</v>
      </c>
      <c r="I1993" s="18">
        <v>1510</v>
      </c>
      <c r="J1993" s="7" t="str">
        <f>IFERROR(_xlfn.XLOOKUP(F1993,ccustos!A:A,ccustos!B:B),"Sem termo")</f>
        <v>DIGEO</v>
      </c>
    </row>
    <row r="1994" spans="1:10" ht="25.5" customHeight="1" x14ac:dyDescent="0.25">
      <c r="A1994" s="14">
        <v>13673</v>
      </c>
      <c r="B1994" s="7" t="s">
        <v>236</v>
      </c>
      <c r="C1994" s="7" t="s">
        <v>306</v>
      </c>
      <c r="D1994" s="7" t="s">
        <v>1342</v>
      </c>
      <c r="E1994" s="7" t="s">
        <v>239</v>
      </c>
      <c r="F1994" s="7" t="s">
        <v>211</v>
      </c>
      <c r="G1994" s="7" t="s">
        <v>1335</v>
      </c>
      <c r="H1994" s="15">
        <v>1510</v>
      </c>
      <c r="I1994" s="15">
        <v>1510</v>
      </c>
      <c r="J1994" s="7" t="str">
        <f>IFERROR(_xlfn.XLOOKUP(F1994,ccustos!A:A,ccustos!B:B),"Sem termo")</f>
        <v>DIGEO</v>
      </c>
    </row>
    <row r="1995" spans="1:10" ht="25.5" customHeight="1" x14ac:dyDescent="0.25">
      <c r="A1995" s="16">
        <v>13674</v>
      </c>
      <c r="B1995" s="17" t="s">
        <v>236</v>
      </c>
      <c r="C1995" s="17" t="s">
        <v>306</v>
      </c>
      <c r="D1995" s="17" t="s">
        <v>1342</v>
      </c>
      <c r="E1995" s="17" t="s">
        <v>239</v>
      </c>
      <c r="F1995" s="17" t="s">
        <v>211</v>
      </c>
      <c r="G1995" s="17" t="s">
        <v>1335</v>
      </c>
      <c r="H1995" s="18">
        <v>1510</v>
      </c>
      <c r="I1995" s="18">
        <v>1510</v>
      </c>
      <c r="J1995" s="7" t="str">
        <f>IFERROR(_xlfn.XLOOKUP(F1995,ccustos!A:A,ccustos!B:B),"Sem termo")</f>
        <v>DIGEO</v>
      </c>
    </row>
    <row r="1996" spans="1:10" ht="36.75" customHeight="1" x14ac:dyDescent="0.25">
      <c r="A1996" s="14">
        <v>13675</v>
      </c>
      <c r="B1996" s="7" t="s">
        <v>236</v>
      </c>
      <c r="C1996" s="7" t="s">
        <v>306</v>
      </c>
      <c r="D1996" s="7" t="s">
        <v>1342</v>
      </c>
      <c r="E1996" s="7" t="s">
        <v>239</v>
      </c>
      <c r="F1996" s="7" t="s">
        <v>211</v>
      </c>
      <c r="G1996" s="7" t="s">
        <v>1335</v>
      </c>
      <c r="H1996" s="15">
        <v>1510</v>
      </c>
      <c r="I1996" s="15">
        <v>1510</v>
      </c>
      <c r="J1996" s="7" t="str">
        <f>IFERROR(_xlfn.XLOOKUP(F1996,ccustos!A:A,ccustos!B:B),"Sem termo")</f>
        <v>DIGEO</v>
      </c>
    </row>
    <row r="1997" spans="1:10" ht="36.75" customHeight="1" x14ac:dyDescent="0.25">
      <c r="A1997" s="16">
        <v>13676</v>
      </c>
      <c r="B1997" s="17" t="s">
        <v>236</v>
      </c>
      <c r="C1997" s="17" t="s">
        <v>306</v>
      </c>
      <c r="D1997" s="17" t="s">
        <v>1342</v>
      </c>
      <c r="E1997" s="17" t="s">
        <v>239</v>
      </c>
      <c r="F1997" s="17" t="s">
        <v>211</v>
      </c>
      <c r="G1997" s="17" t="s">
        <v>1335</v>
      </c>
      <c r="H1997" s="18">
        <v>1510</v>
      </c>
      <c r="I1997" s="18">
        <v>1510</v>
      </c>
      <c r="J1997" s="7" t="str">
        <f>IFERROR(_xlfn.XLOOKUP(F1997,ccustos!A:A,ccustos!B:B),"Sem termo")</f>
        <v>DIGEO</v>
      </c>
    </row>
    <row r="1998" spans="1:10" ht="25.5" customHeight="1" x14ac:dyDescent="0.25">
      <c r="A1998" s="14">
        <v>13677</v>
      </c>
      <c r="B1998" s="7" t="s">
        <v>236</v>
      </c>
      <c r="C1998" s="7" t="s">
        <v>269</v>
      </c>
      <c r="D1998" s="7" t="s">
        <v>1343</v>
      </c>
      <c r="E1998" s="7" t="s">
        <v>239</v>
      </c>
      <c r="F1998" s="7" t="s">
        <v>37</v>
      </c>
      <c r="G1998" s="7" t="s">
        <v>1344</v>
      </c>
      <c r="H1998" s="15">
        <v>509.46</v>
      </c>
      <c r="I1998" s="15">
        <v>509.46</v>
      </c>
      <c r="J1998" s="7" t="str">
        <f>IFERROR(_xlfn.XLOOKUP(F1998,ccustos!A:A,ccustos!B:B),"Sem termo")</f>
        <v>PROJUR</v>
      </c>
    </row>
    <row r="1999" spans="1:10" ht="25.5" customHeight="1" x14ac:dyDescent="0.25">
      <c r="A1999" s="16">
        <v>13678</v>
      </c>
      <c r="B1999" s="17" t="s">
        <v>236</v>
      </c>
      <c r="C1999" s="17" t="s">
        <v>237</v>
      </c>
      <c r="D1999" s="17" t="s">
        <v>1345</v>
      </c>
      <c r="E1999" s="17" t="s">
        <v>239</v>
      </c>
      <c r="F1999" s="17" t="s">
        <v>0</v>
      </c>
      <c r="G1999" s="17" t="s">
        <v>1346</v>
      </c>
      <c r="H1999" s="18">
        <v>879.9</v>
      </c>
      <c r="I1999" s="18">
        <v>879.9</v>
      </c>
      <c r="J1999" s="7" t="str">
        <f>IFERROR(_xlfn.XLOOKUP(F1999,ccustos!A:A,ccustos!B:B),"Sem termo")</f>
        <v>SEPAT</v>
      </c>
    </row>
    <row r="2000" spans="1:10" ht="25.5" customHeight="1" x14ac:dyDescent="0.25">
      <c r="A2000" s="14">
        <v>13679</v>
      </c>
      <c r="B2000" s="7" t="s">
        <v>236</v>
      </c>
      <c r="C2000" s="7" t="s">
        <v>237</v>
      </c>
      <c r="D2000" s="7" t="s">
        <v>1345</v>
      </c>
      <c r="E2000" s="7" t="s">
        <v>239</v>
      </c>
      <c r="F2000" s="7" t="s">
        <v>63</v>
      </c>
      <c r="G2000" s="7" t="s">
        <v>1346</v>
      </c>
      <c r="H2000" s="15">
        <v>879.9</v>
      </c>
      <c r="I2000" s="15">
        <v>879.9</v>
      </c>
      <c r="J2000" s="7" t="str">
        <f>IFERROR(_xlfn.XLOOKUP(F2000,ccustos!A:A,ccustos!B:B),"Sem termo")</f>
        <v>SEPAT</v>
      </c>
    </row>
    <row r="2001" spans="1:10" ht="25.5" customHeight="1" x14ac:dyDescent="0.25">
      <c r="A2001" s="16">
        <v>13680</v>
      </c>
      <c r="B2001" s="17" t="s">
        <v>236</v>
      </c>
      <c r="C2001" s="17" t="s">
        <v>237</v>
      </c>
      <c r="D2001" s="17" t="s">
        <v>1345</v>
      </c>
      <c r="E2001" s="17" t="s">
        <v>239</v>
      </c>
      <c r="F2001" s="17" t="s">
        <v>0</v>
      </c>
      <c r="G2001" s="17" t="s">
        <v>1346</v>
      </c>
      <c r="H2001" s="18">
        <v>879.9</v>
      </c>
      <c r="I2001" s="18">
        <v>879.9</v>
      </c>
      <c r="J2001" s="7" t="str">
        <f>IFERROR(_xlfn.XLOOKUP(F2001,ccustos!A:A,ccustos!B:B),"Sem termo")</f>
        <v>SEPAT</v>
      </c>
    </row>
    <row r="2002" spans="1:10" ht="25.5" customHeight="1" x14ac:dyDescent="0.25">
      <c r="A2002" s="14">
        <v>13681</v>
      </c>
      <c r="B2002" s="7" t="s">
        <v>236</v>
      </c>
      <c r="C2002" s="7" t="s">
        <v>237</v>
      </c>
      <c r="D2002" s="7" t="s">
        <v>1345</v>
      </c>
      <c r="E2002" s="7" t="s">
        <v>239</v>
      </c>
      <c r="F2002" s="7" t="s">
        <v>0</v>
      </c>
      <c r="G2002" s="7" t="s">
        <v>1346</v>
      </c>
      <c r="H2002" s="15">
        <v>879.9</v>
      </c>
      <c r="I2002" s="15">
        <v>879.9</v>
      </c>
      <c r="J2002" s="7" t="str">
        <f>IFERROR(_xlfn.XLOOKUP(F2002,ccustos!A:A,ccustos!B:B),"Sem termo")</f>
        <v>SEPAT</v>
      </c>
    </row>
    <row r="2003" spans="1:10" ht="36.75" customHeight="1" x14ac:dyDescent="0.25">
      <c r="A2003" s="16">
        <v>13682</v>
      </c>
      <c r="B2003" s="17" t="s">
        <v>236</v>
      </c>
      <c r="C2003" s="17" t="s">
        <v>237</v>
      </c>
      <c r="D2003" s="17" t="s">
        <v>1345</v>
      </c>
      <c r="E2003" s="17" t="s">
        <v>239</v>
      </c>
      <c r="F2003" s="17" t="s">
        <v>63</v>
      </c>
      <c r="G2003" s="17" t="s">
        <v>1346</v>
      </c>
      <c r="H2003" s="18">
        <v>879.9</v>
      </c>
      <c r="I2003" s="18">
        <v>879.9</v>
      </c>
      <c r="J2003" s="7" t="str">
        <f>IFERROR(_xlfn.XLOOKUP(F2003,ccustos!A:A,ccustos!B:B),"Sem termo")</f>
        <v>SEPAT</v>
      </c>
    </row>
    <row r="2004" spans="1:10" ht="36.75" customHeight="1" x14ac:dyDescent="0.25">
      <c r="A2004" s="14">
        <v>13683</v>
      </c>
      <c r="B2004" s="7" t="s">
        <v>236</v>
      </c>
      <c r="C2004" s="7" t="s">
        <v>237</v>
      </c>
      <c r="D2004" s="7" t="s">
        <v>1345</v>
      </c>
      <c r="E2004" s="7" t="s">
        <v>239</v>
      </c>
      <c r="F2004" s="7" t="s">
        <v>0</v>
      </c>
      <c r="G2004" s="7" t="s">
        <v>1346</v>
      </c>
      <c r="H2004" s="15">
        <v>879.9</v>
      </c>
      <c r="I2004" s="15">
        <v>879.9</v>
      </c>
      <c r="J2004" s="7" t="str">
        <f>IFERROR(_xlfn.XLOOKUP(F2004,ccustos!A:A,ccustos!B:B),"Sem termo")</f>
        <v>SEPAT</v>
      </c>
    </row>
    <row r="2005" spans="1:10" ht="25.5" customHeight="1" x14ac:dyDescent="0.25">
      <c r="A2005" s="16">
        <v>13684</v>
      </c>
      <c r="B2005" s="17" t="s">
        <v>236</v>
      </c>
      <c r="C2005" s="17" t="s">
        <v>237</v>
      </c>
      <c r="D2005" s="17" t="s">
        <v>1345</v>
      </c>
      <c r="E2005" s="17" t="s">
        <v>239</v>
      </c>
      <c r="F2005" s="17" t="s">
        <v>63</v>
      </c>
      <c r="G2005" s="17" t="s">
        <v>1346</v>
      </c>
      <c r="H2005" s="18">
        <v>879.9</v>
      </c>
      <c r="I2005" s="18">
        <v>879.9</v>
      </c>
      <c r="J2005" s="7" t="str">
        <f>IFERROR(_xlfn.XLOOKUP(F2005,ccustos!A:A,ccustos!B:B),"Sem termo")</f>
        <v>SEPAT</v>
      </c>
    </row>
    <row r="2006" spans="1:10" ht="25.5" customHeight="1" x14ac:dyDescent="0.25">
      <c r="A2006" s="14">
        <v>13685</v>
      </c>
      <c r="B2006" s="7" t="s">
        <v>236</v>
      </c>
      <c r="C2006" s="7" t="s">
        <v>237</v>
      </c>
      <c r="D2006" s="7" t="s">
        <v>1345</v>
      </c>
      <c r="E2006" s="7" t="s">
        <v>239</v>
      </c>
      <c r="F2006" s="7" t="s">
        <v>63</v>
      </c>
      <c r="G2006" s="7" t="s">
        <v>1346</v>
      </c>
      <c r="H2006" s="15">
        <v>879.9</v>
      </c>
      <c r="I2006" s="15">
        <v>879.9</v>
      </c>
      <c r="J2006" s="7" t="str">
        <f>IFERROR(_xlfn.XLOOKUP(F2006,ccustos!A:A,ccustos!B:B),"Sem termo")</f>
        <v>SEPAT</v>
      </c>
    </row>
    <row r="2007" spans="1:10" ht="25.5" customHeight="1" x14ac:dyDescent="0.25">
      <c r="A2007" s="16">
        <v>13686</v>
      </c>
      <c r="B2007" s="17" t="s">
        <v>236</v>
      </c>
      <c r="C2007" s="17" t="s">
        <v>237</v>
      </c>
      <c r="D2007" s="17" t="s">
        <v>1345</v>
      </c>
      <c r="E2007" s="17" t="s">
        <v>239</v>
      </c>
      <c r="F2007" s="17" t="s">
        <v>63</v>
      </c>
      <c r="G2007" s="17" t="s">
        <v>1346</v>
      </c>
      <c r="H2007" s="18">
        <v>879.9</v>
      </c>
      <c r="I2007" s="18">
        <v>879.9</v>
      </c>
      <c r="J2007" s="7" t="str">
        <f>IFERROR(_xlfn.XLOOKUP(F2007,ccustos!A:A,ccustos!B:B),"Sem termo")</f>
        <v>SEPAT</v>
      </c>
    </row>
    <row r="2008" spans="1:10" ht="25.5" customHeight="1" x14ac:dyDescent="0.25">
      <c r="A2008" s="14">
        <v>13687</v>
      </c>
      <c r="B2008" s="7" t="s">
        <v>236</v>
      </c>
      <c r="C2008" s="7" t="s">
        <v>237</v>
      </c>
      <c r="D2008" s="7" t="s">
        <v>1345</v>
      </c>
      <c r="E2008" s="7" t="s">
        <v>239</v>
      </c>
      <c r="F2008" s="7" t="s">
        <v>63</v>
      </c>
      <c r="G2008" s="7" t="s">
        <v>1346</v>
      </c>
      <c r="H2008" s="15">
        <v>879.9</v>
      </c>
      <c r="I2008" s="15">
        <v>879.9</v>
      </c>
      <c r="J2008" s="7" t="str">
        <f>IFERROR(_xlfn.XLOOKUP(F2008,ccustos!A:A,ccustos!B:B),"Sem termo")</f>
        <v>SEPAT</v>
      </c>
    </row>
    <row r="2009" spans="1:10" ht="25.5" customHeight="1" x14ac:dyDescent="0.25">
      <c r="A2009" s="16">
        <v>13688</v>
      </c>
      <c r="B2009" s="17" t="s">
        <v>236</v>
      </c>
      <c r="C2009" s="17" t="s">
        <v>237</v>
      </c>
      <c r="D2009" s="17" t="s">
        <v>1347</v>
      </c>
      <c r="E2009" s="17" t="s">
        <v>239</v>
      </c>
      <c r="F2009" s="17" t="s">
        <v>0</v>
      </c>
      <c r="G2009" s="17" t="s">
        <v>1346</v>
      </c>
      <c r="H2009" s="18">
        <v>624.6</v>
      </c>
      <c r="I2009" s="18">
        <v>624.6</v>
      </c>
      <c r="J2009" s="7" t="str">
        <f>IFERROR(_xlfn.XLOOKUP(F2009,ccustos!A:A,ccustos!B:B),"Sem termo")</f>
        <v>SEPAT</v>
      </c>
    </row>
    <row r="2010" spans="1:10" ht="25.5" customHeight="1" x14ac:dyDescent="0.25">
      <c r="A2010" s="14">
        <v>13689</v>
      </c>
      <c r="B2010" s="7" t="s">
        <v>236</v>
      </c>
      <c r="C2010" s="7" t="s">
        <v>237</v>
      </c>
      <c r="D2010" s="7" t="s">
        <v>1347</v>
      </c>
      <c r="E2010" s="7" t="s">
        <v>239</v>
      </c>
      <c r="F2010" s="7" t="s">
        <v>0</v>
      </c>
      <c r="G2010" s="7" t="s">
        <v>1346</v>
      </c>
      <c r="H2010" s="15">
        <v>624.6</v>
      </c>
      <c r="I2010" s="15">
        <v>624.6</v>
      </c>
      <c r="J2010" s="7" t="str">
        <f>IFERROR(_xlfn.XLOOKUP(F2010,ccustos!A:A,ccustos!B:B),"Sem termo")</f>
        <v>SEPAT</v>
      </c>
    </row>
    <row r="2011" spans="1:10" ht="25.5" customHeight="1" x14ac:dyDescent="0.25">
      <c r="A2011" s="16">
        <v>13690</v>
      </c>
      <c r="B2011" s="17" t="s">
        <v>236</v>
      </c>
      <c r="C2011" s="17" t="s">
        <v>237</v>
      </c>
      <c r="D2011" s="17" t="s">
        <v>1347</v>
      </c>
      <c r="E2011" s="17" t="s">
        <v>239</v>
      </c>
      <c r="F2011" s="17" t="s">
        <v>0</v>
      </c>
      <c r="G2011" s="17" t="s">
        <v>1346</v>
      </c>
      <c r="H2011" s="18">
        <v>624.6</v>
      </c>
      <c r="I2011" s="18">
        <v>624.6</v>
      </c>
      <c r="J2011" s="7" t="str">
        <f>IFERROR(_xlfn.XLOOKUP(F2011,ccustos!A:A,ccustos!B:B),"Sem termo")</f>
        <v>SEPAT</v>
      </c>
    </row>
    <row r="2012" spans="1:10" ht="25.5" customHeight="1" x14ac:dyDescent="0.25">
      <c r="A2012" s="14">
        <v>13691</v>
      </c>
      <c r="B2012" s="7" t="s">
        <v>236</v>
      </c>
      <c r="C2012" s="7" t="s">
        <v>237</v>
      </c>
      <c r="D2012" s="7" t="s">
        <v>1347</v>
      </c>
      <c r="E2012" s="7" t="s">
        <v>239</v>
      </c>
      <c r="F2012" s="7" t="s">
        <v>0</v>
      </c>
      <c r="G2012" s="7" t="s">
        <v>1346</v>
      </c>
      <c r="H2012" s="15">
        <v>624.6</v>
      </c>
      <c r="I2012" s="15">
        <v>624.6</v>
      </c>
      <c r="J2012" s="7" t="str">
        <f>IFERROR(_xlfn.XLOOKUP(F2012,ccustos!A:A,ccustos!B:B),"Sem termo")</f>
        <v>SEPAT</v>
      </c>
    </row>
    <row r="2013" spans="1:10" ht="25.5" customHeight="1" x14ac:dyDescent="0.25">
      <c r="A2013" s="16">
        <v>13692</v>
      </c>
      <c r="B2013" s="17" t="s">
        <v>236</v>
      </c>
      <c r="C2013" s="17" t="s">
        <v>237</v>
      </c>
      <c r="D2013" s="17" t="s">
        <v>1347</v>
      </c>
      <c r="E2013" s="17" t="s">
        <v>239</v>
      </c>
      <c r="F2013" s="17" t="s">
        <v>0</v>
      </c>
      <c r="G2013" s="17" t="s">
        <v>1346</v>
      </c>
      <c r="H2013" s="18">
        <v>624.6</v>
      </c>
      <c r="I2013" s="18">
        <v>624.6</v>
      </c>
      <c r="J2013" s="7" t="str">
        <f>IFERROR(_xlfn.XLOOKUP(F2013,ccustos!A:A,ccustos!B:B),"Sem termo")</f>
        <v>SEPAT</v>
      </c>
    </row>
    <row r="2014" spans="1:10" ht="25.5" customHeight="1" x14ac:dyDescent="0.25">
      <c r="A2014" s="14">
        <v>13693</v>
      </c>
      <c r="B2014" s="7" t="s">
        <v>236</v>
      </c>
      <c r="C2014" s="7" t="s">
        <v>237</v>
      </c>
      <c r="D2014" s="7" t="s">
        <v>1347</v>
      </c>
      <c r="E2014" s="7" t="s">
        <v>239</v>
      </c>
      <c r="F2014" s="7" t="s">
        <v>0</v>
      </c>
      <c r="G2014" s="7" t="s">
        <v>1346</v>
      </c>
      <c r="H2014" s="15">
        <v>624.6</v>
      </c>
      <c r="I2014" s="15">
        <v>624.6</v>
      </c>
      <c r="J2014" s="7" t="str">
        <f>IFERROR(_xlfn.XLOOKUP(F2014,ccustos!A:A,ccustos!B:B),"Sem termo")</f>
        <v>SEPAT</v>
      </c>
    </row>
    <row r="2015" spans="1:10" ht="25.5" customHeight="1" x14ac:dyDescent="0.25">
      <c r="A2015" s="16">
        <v>13694</v>
      </c>
      <c r="B2015" s="17" t="s">
        <v>236</v>
      </c>
      <c r="C2015" s="17" t="s">
        <v>237</v>
      </c>
      <c r="D2015" s="17" t="s">
        <v>1347</v>
      </c>
      <c r="E2015" s="17" t="s">
        <v>239</v>
      </c>
      <c r="F2015" s="17" t="s">
        <v>0</v>
      </c>
      <c r="G2015" s="17" t="s">
        <v>1346</v>
      </c>
      <c r="H2015" s="18">
        <v>624.6</v>
      </c>
      <c r="I2015" s="18">
        <v>624.6</v>
      </c>
      <c r="J2015" s="7" t="str">
        <f>IFERROR(_xlfn.XLOOKUP(F2015,ccustos!A:A,ccustos!B:B),"Sem termo")</f>
        <v>SEPAT</v>
      </c>
    </row>
    <row r="2016" spans="1:10" ht="25.5" customHeight="1" x14ac:dyDescent="0.25">
      <c r="A2016" s="14">
        <v>13695</v>
      </c>
      <c r="B2016" s="7" t="s">
        <v>236</v>
      </c>
      <c r="C2016" s="7" t="s">
        <v>237</v>
      </c>
      <c r="D2016" s="7" t="s">
        <v>1347</v>
      </c>
      <c r="E2016" s="7" t="s">
        <v>239</v>
      </c>
      <c r="F2016" s="7" t="s">
        <v>0</v>
      </c>
      <c r="G2016" s="7" t="s">
        <v>1346</v>
      </c>
      <c r="H2016" s="15">
        <v>624.6</v>
      </c>
      <c r="I2016" s="15">
        <v>624.6</v>
      </c>
      <c r="J2016" s="7" t="str">
        <f>IFERROR(_xlfn.XLOOKUP(F2016,ccustos!A:A,ccustos!B:B),"Sem termo")</f>
        <v>SEPAT</v>
      </c>
    </row>
    <row r="2017" spans="1:10" ht="25.5" customHeight="1" x14ac:dyDescent="0.25">
      <c r="A2017" s="16">
        <v>13696</v>
      </c>
      <c r="B2017" s="17" t="s">
        <v>236</v>
      </c>
      <c r="C2017" s="17" t="s">
        <v>237</v>
      </c>
      <c r="D2017" s="17" t="s">
        <v>1347</v>
      </c>
      <c r="E2017" s="17" t="s">
        <v>239</v>
      </c>
      <c r="F2017" s="17" t="s">
        <v>0</v>
      </c>
      <c r="G2017" s="17" t="s">
        <v>1346</v>
      </c>
      <c r="H2017" s="18">
        <v>624.6</v>
      </c>
      <c r="I2017" s="18">
        <v>624.6</v>
      </c>
      <c r="J2017" s="7" t="str">
        <f>IFERROR(_xlfn.XLOOKUP(F2017,ccustos!A:A,ccustos!B:B),"Sem termo")</f>
        <v>SEPAT</v>
      </c>
    </row>
    <row r="2018" spans="1:10" ht="36.75" customHeight="1" x14ac:dyDescent="0.25">
      <c r="A2018" s="14">
        <v>13697</v>
      </c>
      <c r="B2018" s="7" t="s">
        <v>236</v>
      </c>
      <c r="C2018" s="7" t="s">
        <v>237</v>
      </c>
      <c r="D2018" s="7" t="s">
        <v>1347</v>
      </c>
      <c r="E2018" s="7" t="s">
        <v>239</v>
      </c>
      <c r="F2018" s="7" t="s">
        <v>0</v>
      </c>
      <c r="G2018" s="7" t="s">
        <v>1346</v>
      </c>
      <c r="H2018" s="15">
        <v>624.6</v>
      </c>
      <c r="I2018" s="15">
        <v>624.6</v>
      </c>
      <c r="J2018" s="7" t="str">
        <f>IFERROR(_xlfn.XLOOKUP(F2018,ccustos!A:A,ccustos!B:B),"Sem termo")</f>
        <v>SEPAT</v>
      </c>
    </row>
    <row r="2019" spans="1:10" ht="36.75" customHeight="1" x14ac:dyDescent="0.25">
      <c r="A2019" s="16">
        <v>13699</v>
      </c>
      <c r="B2019" s="17" t="s">
        <v>236</v>
      </c>
      <c r="C2019" s="17" t="s">
        <v>881</v>
      </c>
      <c r="D2019" s="17" t="s">
        <v>1348</v>
      </c>
      <c r="E2019" s="17" t="s">
        <v>335</v>
      </c>
      <c r="F2019" s="17" t="s">
        <v>78</v>
      </c>
      <c r="G2019" s="17" t="s">
        <v>1349</v>
      </c>
      <c r="H2019" s="18">
        <v>46500</v>
      </c>
      <c r="I2019" s="18">
        <v>46500</v>
      </c>
      <c r="J2019" s="7" t="str">
        <f>IFERROR(_xlfn.XLOOKUP(F2019,ccustos!A:A,ccustos!B:B),"Sem termo")</f>
        <v>CGTI</v>
      </c>
    </row>
    <row r="2020" spans="1:10" ht="25.5" customHeight="1" x14ac:dyDescent="0.25">
      <c r="A2020" s="14">
        <v>13700</v>
      </c>
      <c r="B2020" s="7" t="s">
        <v>236</v>
      </c>
      <c r="C2020" s="7" t="s">
        <v>881</v>
      </c>
      <c r="D2020" s="7" t="s">
        <v>1348</v>
      </c>
      <c r="E2020" s="7" t="s">
        <v>335</v>
      </c>
      <c r="F2020" s="7" t="s">
        <v>78</v>
      </c>
      <c r="G2020" s="7" t="s">
        <v>1349</v>
      </c>
      <c r="H2020" s="15">
        <v>46500</v>
      </c>
      <c r="I2020" s="15">
        <v>46500</v>
      </c>
      <c r="J2020" s="7" t="str">
        <f>IFERROR(_xlfn.XLOOKUP(F2020,ccustos!A:A,ccustos!B:B),"Sem termo")</f>
        <v>CGTI</v>
      </c>
    </row>
    <row r="2021" spans="1:10" ht="25.5" customHeight="1" x14ac:dyDescent="0.25">
      <c r="A2021" s="16">
        <v>13701</v>
      </c>
      <c r="B2021" s="17" t="s">
        <v>236</v>
      </c>
      <c r="C2021" s="17" t="s">
        <v>881</v>
      </c>
      <c r="D2021" s="17" t="s">
        <v>1348</v>
      </c>
      <c r="E2021" s="17" t="s">
        <v>335</v>
      </c>
      <c r="F2021" s="17" t="s">
        <v>78</v>
      </c>
      <c r="G2021" s="17" t="s">
        <v>1349</v>
      </c>
      <c r="H2021" s="18">
        <v>46500</v>
      </c>
      <c r="I2021" s="18">
        <v>46500</v>
      </c>
      <c r="J2021" s="7" t="str">
        <f>IFERROR(_xlfn.XLOOKUP(F2021,ccustos!A:A,ccustos!B:B),"Sem termo")</f>
        <v>CGTI</v>
      </c>
    </row>
    <row r="2022" spans="1:10" ht="25.5" customHeight="1" x14ac:dyDescent="0.25">
      <c r="A2022" s="14">
        <v>13706</v>
      </c>
      <c r="B2022" s="7" t="s">
        <v>236</v>
      </c>
      <c r="C2022" s="7" t="s">
        <v>831</v>
      </c>
      <c r="D2022" s="7" t="s">
        <v>1350</v>
      </c>
      <c r="E2022" s="7" t="s">
        <v>335</v>
      </c>
      <c r="F2022" s="7" t="s">
        <v>35</v>
      </c>
      <c r="G2022" s="7" t="s">
        <v>1351</v>
      </c>
      <c r="H2022" s="15">
        <v>3444.44</v>
      </c>
      <c r="I2022" s="15">
        <v>3444.44</v>
      </c>
      <c r="J2022" s="7" t="str">
        <f>IFERROR(_xlfn.XLOOKUP(F2022,ccustos!A:A,ccustos!B:B),"Sem termo")</f>
        <v>DEINFRA</v>
      </c>
    </row>
    <row r="2023" spans="1:10" ht="25.5" customHeight="1" x14ac:dyDescent="0.25">
      <c r="A2023" s="16">
        <v>13709</v>
      </c>
      <c r="B2023" s="17" t="s">
        <v>236</v>
      </c>
      <c r="C2023" s="17" t="s">
        <v>831</v>
      </c>
      <c r="D2023" s="17" t="s">
        <v>1352</v>
      </c>
      <c r="E2023" s="17" t="s">
        <v>335</v>
      </c>
      <c r="F2023" s="17" t="s">
        <v>47</v>
      </c>
      <c r="G2023" s="17" t="s">
        <v>1351</v>
      </c>
      <c r="H2023" s="18">
        <v>3444.44</v>
      </c>
      <c r="I2023" s="18">
        <v>3444.44</v>
      </c>
      <c r="J2023" s="7" t="str">
        <f>IFERROR(_xlfn.XLOOKUP(F2023,ccustos!A:A,ccustos!B:B),"Sem termo")</f>
        <v>CDPROF</v>
      </c>
    </row>
    <row r="2024" spans="1:10" ht="25.5" customHeight="1" x14ac:dyDescent="0.25">
      <c r="A2024" s="14">
        <v>13710</v>
      </c>
      <c r="B2024" s="7" t="s">
        <v>236</v>
      </c>
      <c r="C2024" s="7" t="s">
        <v>831</v>
      </c>
      <c r="D2024" s="7" t="s">
        <v>1353</v>
      </c>
      <c r="E2024" s="7" t="s">
        <v>335</v>
      </c>
      <c r="F2024" s="7" t="s">
        <v>20</v>
      </c>
      <c r="G2024" s="7" t="s">
        <v>1351</v>
      </c>
      <c r="H2024" s="15">
        <v>3444.44</v>
      </c>
      <c r="I2024" s="15">
        <v>3444.44</v>
      </c>
      <c r="J2024" s="7" t="str">
        <f>IFERROR(_xlfn.XLOOKUP(F2024,ccustos!A:A,ccustos!B:B),"Sem termo")</f>
        <v>CGTI</v>
      </c>
    </row>
    <row r="2025" spans="1:10" ht="25.5" customHeight="1" x14ac:dyDescent="0.25">
      <c r="A2025" s="16">
        <v>13712</v>
      </c>
      <c r="B2025" s="17" t="s">
        <v>236</v>
      </c>
      <c r="C2025" s="17" t="s">
        <v>831</v>
      </c>
      <c r="D2025" s="17" t="s">
        <v>1354</v>
      </c>
      <c r="E2025" s="17" t="s">
        <v>335</v>
      </c>
      <c r="F2025" s="17" t="s">
        <v>20</v>
      </c>
      <c r="G2025" s="17" t="s">
        <v>1351</v>
      </c>
      <c r="H2025" s="18">
        <v>3444.44</v>
      </c>
      <c r="I2025" s="18">
        <v>3444.44</v>
      </c>
      <c r="J2025" s="7" t="str">
        <f>IFERROR(_xlfn.XLOOKUP(F2025,ccustos!A:A,ccustos!B:B),"Sem termo")</f>
        <v>CGTI</v>
      </c>
    </row>
    <row r="2026" spans="1:10" ht="25.5" customHeight="1" x14ac:dyDescent="0.25">
      <c r="A2026" s="14">
        <v>13713</v>
      </c>
      <c r="B2026" s="7" t="s">
        <v>236</v>
      </c>
      <c r="C2026" s="7" t="s">
        <v>831</v>
      </c>
      <c r="D2026" s="7" t="s">
        <v>1355</v>
      </c>
      <c r="E2026" s="7" t="s">
        <v>335</v>
      </c>
      <c r="F2026" s="7" t="s">
        <v>8</v>
      </c>
      <c r="G2026" s="7" t="s">
        <v>1351</v>
      </c>
      <c r="H2026" s="15">
        <v>3444.44</v>
      </c>
      <c r="I2026" s="15">
        <v>3444.44</v>
      </c>
      <c r="J2026" s="7" t="str">
        <f>IFERROR(_xlfn.XLOOKUP(F2026,ccustos!A:A,ccustos!B:B),"Sem termo")</f>
        <v>DEINFRA</v>
      </c>
    </row>
    <row r="2027" spans="1:10" ht="25.5" customHeight="1" x14ac:dyDescent="0.25">
      <c r="A2027" s="16">
        <v>13716</v>
      </c>
      <c r="B2027" s="17" t="s">
        <v>236</v>
      </c>
      <c r="C2027" s="17" t="s">
        <v>831</v>
      </c>
      <c r="D2027" s="17" t="s">
        <v>1356</v>
      </c>
      <c r="E2027" s="17" t="s">
        <v>335</v>
      </c>
      <c r="F2027" s="17" t="s">
        <v>62</v>
      </c>
      <c r="G2027" s="17" t="s">
        <v>1351</v>
      </c>
      <c r="H2027" s="18">
        <v>3444.44</v>
      </c>
      <c r="I2027" s="18">
        <v>3444.44</v>
      </c>
      <c r="J2027" s="7" t="str">
        <f>IFERROR(_xlfn.XLOOKUP(F2027,ccustos!A:A,ccustos!B:B),"Sem termo")</f>
        <v>SETRAN</v>
      </c>
    </row>
    <row r="2028" spans="1:10" ht="25.5" customHeight="1" x14ac:dyDescent="0.25">
      <c r="A2028" s="14">
        <v>13720</v>
      </c>
      <c r="B2028" s="7" t="s">
        <v>236</v>
      </c>
      <c r="C2028" s="7" t="s">
        <v>831</v>
      </c>
      <c r="D2028" s="7" t="s">
        <v>1357</v>
      </c>
      <c r="E2028" s="7" t="s">
        <v>335</v>
      </c>
      <c r="F2028" s="7" t="s">
        <v>6</v>
      </c>
      <c r="G2028" s="7" t="s">
        <v>1351</v>
      </c>
      <c r="H2028" s="15">
        <v>3444.44</v>
      </c>
      <c r="I2028" s="15">
        <v>3444.44</v>
      </c>
      <c r="J2028" s="7" t="str">
        <f>IFERROR(_xlfn.XLOOKUP(F2028,ccustos!A:A,ccustos!B:B),"Sem termo")</f>
        <v>SEPAT</v>
      </c>
    </row>
    <row r="2029" spans="1:10" ht="25.5" customHeight="1" x14ac:dyDescent="0.25">
      <c r="A2029" s="16">
        <v>13721</v>
      </c>
      <c r="B2029" s="17" t="s">
        <v>236</v>
      </c>
      <c r="C2029" s="17" t="s">
        <v>831</v>
      </c>
      <c r="D2029" s="17" t="s">
        <v>1358</v>
      </c>
      <c r="E2029" s="17" t="s">
        <v>335</v>
      </c>
      <c r="F2029" s="17" t="s">
        <v>20</v>
      </c>
      <c r="G2029" s="17" t="s">
        <v>1351</v>
      </c>
      <c r="H2029" s="18">
        <v>3444.44</v>
      </c>
      <c r="I2029" s="18">
        <v>3444.44</v>
      </c>
      <c r="J2029" s="7" t="str">
        <f>IFERROR(_xlfn.XLOOKUP(F2029,ccustos!A:A,ccustos!B:B),"Sem termo")</f>
        <v>CGTI</v>
      </c>
    </row>
    <row r="2030" spans="1:10" ht="25.5" customHeight="1" x14ac:dyDescent="0.25">
      <c r="A2030" s="14">
        <v>13723</v>
      </c>
      <c r="B2030" s="7" t="s">
        <v>236</v>
      </c>
      <c r="C2030" s="7" t="s">
        <v>831</v>
      </c>
      <c r="D2030" s="7" t="s">
        <v>1359</v>
      </c>
      <c r="E2030" s="7" t="s">
        <v>335</v>
      </c>
      <c r="F2030" s="7" t="s">
        <v>27</v>
      </c>
      <c r="G2030" s="7" t="s">
        <v>1351</v>
      </c>
      <c r="H2030" s="15">
        <v>3444.44</v>
      </c>
      <c r="I2030" s="15">
        <v>3444.44</v>
      </c>
      <c r="J2030" s="7" t="str">
        <f>IFERROR(_xlfn.XLOOKUP(F2030,ccustos!A:A,ccustos!B:B),"Sem termo")</f>
        <v>CCI</v>
      </c>
    </row>
    <row r="2031" spans="1:10" ht="25.5" customHeight="1" x14ac:dyDescent="0.25">
      <c r="A2031" s="16">
        <v>13724</v>
      </c>
      <c r="B2031" s="17" t="s">
        <v>236</v>
      </c>
      <c r="C2031" s="17" t="s">
        <v>831</v>
      </c>
      <c r="D2031" s="17" t="s">
        <v>1360</v>
      </c>
      <c r="E2031" s="17" t="s">
        <v>335</v>
      </c>
      <c r="F2031" s="17" t="s">
        <v>47</v>
      </c>
      <c r="G2031" s="17" t="s">
        <v>1351</v>
      </c>
      <c r="H2031" s="18">
        <v>3444.44</v>
      </c>
      <c r="I2031" s="18">
        <v>3444.44</v>
      </c>
      <c r="J2031" s="7" t="str">
        <f>IFERROR(_xlfn.XLOOKUP(F2031,ccustos!A:A,ccustos!B:B),"Sem termo")</f>
        <v>CDPROF</v>
      </c>
    </row>
    <row r="2032" spans="1:10" ht="25.5" customHeight="1" x14ac:dyDescent="0.25">
      <c r="A2032" s="14">
        <v>13727</v>
      </c>
      <c r="B2032" s="7" t="s">
        <v>236</v>
      </c>
      <c r="C2032" s="7" t="s">
        <v>831</v>
      </c>
      <c r="D2032" s="7" t="s">
        <v>1361</v>
      </c>
      <c r="E2032" s="7" t="s">
        <v>335</v>
      </c>
      <c r="F2032" s="7" t="s">
        <v>20</v>
      </c>
      <c r="G2032" s="7" t="s">
        <v>1351</v>
      </c>
      <c r="H2032" s="15">
        <v>3444.44</v>
      </c>
      <c r="I2032" s="15">
        <v>3444.44</v>
      </c>
      <c r="J2032" s="7" t="str">
        <f>IFERROR(_xlfn.XLOOKUP(F2032,ccustos!A:A,ccustos!B:B),"Sem termo")</f>
        <v>CGTI</v>
      </c>
    </row>
    <row r="2033" spans="1:10" ht="25.5" customHeight="1" x14ac:dyDescent="0.25">
      <c r="A2033" s="16">
        <v>13728</v>
      </c>
      <c r="B2033" s="17" t="s">
        <v>236</v>
      </c>
      <c r="C2033" s="17" t="s">
        <v>831</v>
      </c>
      <c r="D2033" s="17" t="s">
        <v>1362</v>
      </c>
      <c r="E2033" s="17" t="s">
        <v>335</v>
      </c>
      <c r="F2033" s="17" t="s">
        <v>70</v>
      </c>
      <c r="G2033" s="17" t="s">
        <v>1351</v>
      </c>
      <c r="H2033" s="18">
        <v>3444.44</v>
      </c>
      <c r="I2033" s="18">
        <v>3444.44</v>
      </c>
      <c r="J2033" s="7" t="str">
        <f>IFERROR(_xlfn.XLOOKUP(F2033,ccustos!A:A,ccustos!B:B),"Sem termo")</f>
        <v>SEBIB</v>
      </c>
    </row>
    <row r="2034" spans="1:10" ht="25.5" customHeight="1" x14ac:dyDescent="0.25">
      <c r="A2034" s="14">
        <v>13732</v>
      </c>
      <c r="B2034" s="7" t="s">
        <v>236</v>
      </c>
      <c r="C2034" s="7" t="s">
        <v>831</v>
      </c>
      <c r="D2034" s="7" t="s">
        <v>1363</v>
      </c>
      <c r="E2034" s="7" t="s">
        <v>335</v>
      </c>
      <c r="F2034" s="7" t="s">
        <v>37</v>
      </c>
      <c r="G2034" s="7" t="s">
        <v>1351</v>
      </c>
      <c r="H2034" s="15">
        <v>3444.44</v>
      </c>
      <c r="I2034" s="15">
        <v>3444.44</v>
      </c>
      <c r="J2034" s="7" t="str">
        <f>IFERROR(_xlfn.XLOOKUP(F2034,ccustos!A:A,ccustos!B:B),"Sem termo")</f>
        <v>PROJUR</v>
      </c>
    </row>
    <row r="2035" spans="1:10" ht="25.5" customHeight="1" x14ac:dyDescent="0.25">
      <c r="A2035" s="16">
        <v>13735</v>
      </c>
      <c r="B2035" s="17" t="s">
        <v>236</v>
      </c>
      <c r="C2035" s="17" t="s">
        <v>831</v>
      </c>
      <c r="D2035" s="17" t="s">
        <v>1364</v>
      </c>
      <c r="E2035" s="17" t="s">
        <v>335</v>
      </c>
      <c r="F2035" s="17" t="s">
        <v>6</v>
      </c>
      <c r="G2035" s="17" t="s">
        <v>1351</v>
      </c>
      <c r="H2035" s="18">
        <v>3444.44</v>
      </c>
      <c r="I2035" s="18">
        <v>3444.44</v>
      </c>
      <c r="J2035" s="7" t="str">
        <f>IFERROR(_xlfn.XLOOKUP(F2035,ccustos!A:A,ccustos!B:B),"Sem termo")</f>
        <v>SEPAT</v>
      </c>
    </row>
    <row r="2036" spans="1:10" ht="25.5" customHeight="1" x14ac:dyDescent="0.25">
      <c r="A2036" s="14">
        <v>13737</v>
      </c>
      <c r="B2036" s="7" t="s">
        <v>236</v>
      </c>
      <c r="C2036" s="7" t="s">
        <v>831</v>
      </c>
      <c r="D2036" s="7" t="s">
        <v>1365</v>
      </c>
      <c r="E2036" s="7" t="s">
        <v>335</v>
      </c>
      <c r="F2036" s="7" t="s">
        <v>9</v>
      </c>
      <c r="G2036" s="7" t="s">
        <v>1351</v>
      </c>
      <c r="H2036" s="15">
        <v>3444.44</v>
      </c>
      <c r="I2036" s="15">
        <v>3444.44</v>
      </c>
      <c r="J2036" s="7" t="str">
        <f>IFERROR(_xlfn.XLOOKUP(F2036,ccustos!A:A,ccustos!B:B),"Sem termo")</f>
        <v>DEINFRA</v>
      </c>
    </row>
    <row r="2037" spans="1:10" ht="36.75" customHeight="1" x14ac:dyDescent="0.25">
      <c r="A2037" s="16">
        <v>13739</v>
      </c>
      <c r="B2037" s="17" t="s">
        <v>236</v>
      </c>
      <c r="C2037" s="17" t="s">
        <v>831</v>
      </c>
      <c r="D2037" s="17" t="s">
        <v>1366</v>
      </c>
      <c r="E2037" s="17" t="s">
        <v>335</v>
      </c>
      <c r="F2037" s="17" t="s">
        <v>19</v>
      </c>
      <c r="G2037" s="17" t="s">
        <v>1351</v>
      </c>
      <c r="H2037" s="18">
        <v>3444.44</v>
      </c>
      <c r="I2037" s="18">
        <v>3444.44</v>
      </c>
      <c r="J2037" s="7" t="str">
        <f>IFERROR(_xlfn.XLOOKUP(F2037,ccustos!A:A,ccustos!B:B),"Sem termo")</f>
        <v>SEGED</v>
      </c>
    </row>
    <row r="2038" spans="1:10" ht="25.5" customHeight="1" x14ac:dyDescent="0.25">
      <c r="A2038" s="14">
        <v>13740</v>
      </c>
      <c r="B2038" s="7" t="s">
        <v>236</v>
      </c>
      <c r="C2038" s="7" t="s">
        <v>831</v>
      </c>
      <c r="D2038" s="7" t="s">
        <v>1367</v>
      </c>
      <c r="E2038" s="7" t="s">
        <v>335</v>
      </c>
      <c r="F2038" s="7" t="s">
        <v>6</v>
      </c>
      <c r="G2038" s="7" t="s">
        <v>1351</v>
      </c>
      <c r="H2038" s="15">
        <v>3444.44</v>
      </c>
      <c r="I2038" s="15">
        <v>3444.44</v>
      </c>
      <c r="J2038" s="7" t="str">
        <f>IFERROR(_xlfn.XLOOKUP(F2038,ccustos!A:A,ccustos!B:B),"Sem termo")</f>
        <v>SEPAT</v>
      </c>
    </row>
    <row r="2039" spans="1:10" ht="25.5" customHeight="1" x14ac:dyDescent="0.25">
      <c r="A2039" s="16">
        <v>13741</v>
      </c>
      <c r="B2039" s="17" t="s">
        <v>236</v>
      </c>
      <c r="C2039" s="17" t="s">
        <v>831</v>
      </c>
      <c r="D2039" s="17" t="s">
        <v>1368</v>
      </c>
      <c r="E2039" s="17" t="s">
        <v>335</v>
      </c>
      <c r="F2039" s="17" t="s">
        <v>213</v>
      </c>
      <c r="G2039" s="17" t="s">
        <v>1351</v>
      </c>
      <c r="H2039" s="18">
        <v>3444.44</v>
      </c>
      <c r="I2039" s="18">
        <v>3444.44</v>
      </c>
      <c r="J2039" s="7" t="str">
        <f>IFERROR(_xlfn.XLOOKUP(F2039,ccustos!A:A,ccustos!B:B),"Sem termo")</f>
        <v>DIEPG</v>
      </c>
    </row>
    <row r="2040" spans="1:10" ht="25.5" customHeight="1" x14ac:dyDescent="0.25">
      <c r="A2040" s="14">
        <v>13752</v>
      </c>
      <c r="B2040" s="7" t="s">
        <v>236</v>
      </c>
      <c r="C2040" s="7" t="s">
        <v>1369</v>
      </c>
      <c r="D2040" s="7" t="s">
        <v>1370</v>
      </c>
      <c r="E2040" s="7" t="s">
        <v>335</v>
      </c>
      <c r="F2040" s="7" t="s">
        <v>14</v>
      </c>
      <c r="G2040" s="7" t="s">
        <v>1371</v>
      </c>
      <c r="H2040" s="15">
        <v>3040</v>
      </c>
      <c r="I2040" s="15">
        <v>3040</v>
      </c>
      <c r="J2040" s="7" t="str">
        <f>IFERROR(_xlfn.XLOOKUP(F2040,ccustos!A:A,ccustos!B:B),"Sem termo")</f>
        <v>SEPAT</v>
      </c>
    </row>
    <row r="2041" spans="1:10" ht="25.5" customHeight="1" x14ac:dyDescent="0.25">
      <c r="A2041" s="16">
        <v>13753</v>
      </c>
      <c r="B2041" s="17" t="s">
        <v>236</v>
      </c>
      <c r="C2041" s="17" t="s">
        <v>1369</v>
      </c>
      <c r="D2041" s="17" t="s">
        <v>1370</v>
      </c>
      <c r="E2041" s="17" t="s">
        <v>335</v>
      </c>
      <c r="F2041" s="17" t="s">
        <v>83</v>
      </c>
      <c r="G2041" s="17" t="s">
        <v>1371</v>
      </c>
      <c r="H2041" s="18">
        <v>3040</v>
      </c>
      <c r="I2041" s="18">
        <v>3040</v>
      </c>
      <c r="J2041" s="7" t="str">
        <f>IFERROR(_xlfn.XLOOKUP(F2041,ccustos!A:A,ccustos!B:B),"Sem termo")</f>
        <v>GABIN</v>
      </c>
    </row>
    <row r="2042" spans="1:10" ht="25.5" customHeight="1" x14ac:dyDescent="0.25">
      <c r="A2042" s="14">
        <v>13754</v>
      </c>
      <c r="B2042" s="7" t="s">
        <v>236</v>
      </c>
      <c r="C2042" s="7" t="s">
        <v>1369</v>
      </c>
      <c r="D2042" s="7" t="s">
        <v>1370</v>
      </c>
      <c r="E2042" s="7" t="s">
        <v>335</v>
      </c>
      <c r="F2042" s="7" t="s">
        <v>14</v>
      </c>
      <c r="G2042" s="7" t="s">
        <v>1371</v>
      </c>
      <c r="H2042" s="15">
        <v>3040</v>
      </c>
      <c r="I2042" s="15">
        <v>3040</v>
      </c>
      <c r="J2042" s="7" t="str">
        <f>IFERROR(_xlfn.XLOOKUP(F2042,ccustos!A:A,ccustos!B:B),"Sem termo")</f>
        <v>SEPAT</v>
      </c>
    </row>
    <row r="2043" spans="1:10" ht="25.5" customHeight="1" x14ac:dyDescent="0.25">
      <c r="A2043" s="16">
        <v>13755</v>
      </c>
      <c r="B2043" s="17" t="s">
        <v>236</v>
      </c>
      <c r="C2043" s="17" t="s">
        <v>1369</v>
      </c>
      <c r="D2043" s="17" t="s">
        <v>1370</v>
      </c>
      <c r="E2043" s="17" t="s">
        <v>335</v>
      </c>
      <c r="F2043" s="17" t="s">
        <v>17</v>
      </c>
      <c r="G2043" s="17" t="s">
        <v>1371</v>
      </c>
      <c r="H2043" s="18">
        <v>3040</v>
      </c>
      <c r="I2043" s="18">
        <v>3040</v>
      </c>
      <c r="J2043" s="7" t="str">
        <f>IFERROR(_xlfn.XLOOKUP(F2043,ccustos!A:A,ccustos!B:B),"Sem termo")</f>
        <v>SEPAT</v>
      </c>
    </row>
    <row r="2044" spans="1:10" ht="25.5" customHeight="1" x14ac:dyDescent="0.25">
      <c r="A2044" s="14">
        <v>13756</v>
      </c>
      <c r="B2044" s="7" t="s">
        <v>236</v>
      </c>
      <c r="C2044" s="7" t="s">
        <v>1369</v>
      </c>
      <c r="D2044" s="7" t="s">
        <v>1370</v>
      </c>
      <c r="E2044" s="7" t="s">
        <v>335</v>
      </c>
      <c r="F2044" s="7" t="s">
        <v>22</v>
      </c>
      <c r="G2044" s="7" t="s">
        <v>1371</v>
      </c>
      <c r="H2044" s="15">
        <v>3040</v>
      </c>
      <c r="I2044" s="15">
        <v>3040</v>
      </c>
      <c r="J2044" s="7" t="str">
        <f>IFERROR(_xlfn.XLOOKUP(F2044,ccustos!A:A,ccustos!B:B),"Sem termo")</f>
        <v>COTEC</v>
      </c>
    </row>
    <row r="2045" spans="1:10" ht="25.5" customHeight="1" x14ac:dyDescent="0.25">
      <c r="A2045" s="16">
        <v>13757</v>
      </c>
      <c r="B2045" s="17" t="s">
        <v>236</v>
      </c>
      <c r="C2045" s="17" t="s">
        <v>1369</v>
      </c>
      <c r="D2045" s="17" t="s">
        <v>1370</v>
      </c>
      <c r="E2045" s="17" t="s">
        <v>335</v>
      </c>
      <c r="F2045" s="17" t="s">
        <v>27</v>
      </c>
      <c r="G2045" s="17" t="s">
        <v>1371</v>
      </c>
      <c r="H2045" s="18">
        <v>3040</v>
      </c>
      <c r="I2045" s="18">
        <v>3040</v>
      </c>
      <c r="J2045" s="7" t="str">
        <f>IFERROR(_xlfn.XLOOKUP(F2045,ccustos!A:A,ccustos!B:B),"Sem termo")</f>
        <v>CCI</v>
      </c>
    </row>
    <row r="2046" spans="1:10" ht="25.5" customHeight="1" x14ac:dyDescent="0.25">
      <c r="A2046" s="14">
        <v>13758</v>
      </c>
      <c r="B2046" s="7" t="s">
        <v>236</v>
      </c>
      <c r="C2046" s="7" t="s">
        <v>1369</v>
      </c>
      <c r="D2046" s="7" t="s">
        <v>1370</v>
      </c>
      <c r="E2046" s="7" t="s">
        <v>335</v>
      </c>
      <c r="F2046" s="7" t="s">
        <v>20</v>
      </c>
      <c r="G2046" s="7" t="s">
        <v>1371</v>
      </c>
      <c r="H2046" s="15">
        <v>3040</v>
      </c>
      <c r="I2046" s="15">
        <v>3040</v>
      </c>
      <c r="J2046" s="7" t="str">
        <f>IFERROR(_xlfn.XLOOKUP(F2046,ccustos!A:A,ccustos!B:B),"Sem termo")</f>
        <v>CGTI</v>
      </c>
    </row>
    <row r="2047" spans="1:10" ht="36.75" customHeight="1" x14ac:dyDescent="0.25">
      <c r="A2047" s="16">
        <v>13759</v>
      </c>
      <c r="B2047" s="17" t="s">
        <v>236</v>
      </c>
      <c r="C2047" s="17" t="s">
        <v>1369</v>
      </c>
      <c r="D2047" s="17" t="s">
        <v>1370</v>
      </c>
      <c r="E2047" s="17" t="s">
        <v>335</v>
      </c>
      <c r="F2047" s="17" t="s">
        <v>28</v>
      </c>
      <c r="G2047" s="17" t="s">
        <v>1371</v>
      </c>
      <c r="H2047" s="18">
        <v>3040</v>
      </c>
      <c r="I2047" s="18">
        <v>3040</v>
      </c>
      <c r="J2047" s="7" t="str">
        <f>IFERROR(_xlfn.XLOOKUP(F2047,ccustos!A:A,ccustos!B:B),"Sem termo")</f>
        <v>COPI</v>
      </c>
    </row>
    <row r="2048" spans="1:10" ht="36.75" customHeight="1" x14ac:dyDescent="0.25">
      <c r="A2048" s="14">
        <v>13760</v>
      </c>
      <c r="B2048" s="7" t="s">
        <v>236</v>
      </c>
      <c r="C2048" s="7" t="s">
        <v>1369</v>
      </c>
      <c r="D2048" s="7" t="s">
        <v>1370</v>
      </c>
      <c r="E2048" s="7" t="s">
        <v>335</v>
      </c>
      <c r="F2048" s="7" t="s">
        <v>185</v>
      </c>
      <c r="G2048" s="7" t="s">
        <v>1371</v>
      </c>
      <c r="H2048" s="15">
        <v>3040</v>
      </c>
      <c r="I2048" s="15">
        <v>3040</v>
      </c>
      <c r="J2048" s="7" t="str">
        <f>IFERROR(_xlfn.XLOOKUP(F2048,ccustos!A:A,ccustos!B:B),"Sem termo")</f>
        <v>CGGE</v>
      </c>
    </row>
    <row r="2049" spans="1:10" ht="36.75" customHeight="1" x14ac:dyDescent="0.25">
      <c r="A2049" s="16">
        <v>13761</v>
      </c>
      <c r="B2049" s="17" t="s">
        <v>236</v>
      </c>
      <c r="C2049" s="17" t="s">
        <v>1369</v>
      </c>
      <c r="D2049" s="17" t="s">
        <v>1370</v>
      </c>
      <c r="E2049" s="17" t="s">
        <v>335</v>
      </c>
      <c r="F2049" s="17" t="s">
        <v>30</v>
      </c>
      <c r="G2049" s="17" t="s">
        <v>1371</v>
      </c>
      <c r="H2049" s="18">
        <v>3040</v>
      </c>
      <c r="I2049" s="18">
        <v>3040</v>
      </c>
      <c r="J2049" s="7" t="str">
        <f>IFERROR(_xlfn.XLOOKUP(F2049,ccustos!A:A,ccustos!B:B),"Sem termo")</f>
        <v>COFIS</v>
      </c>
    </row>
    <row r="2050" spans="1:10" ht="25.5" customHeight="1" x14ac:dyDescent="0.25">
      <c r="A2050" s="14">
        <v>13762</v>
      </c>
      <c r="B2050" s="7" t="s">
        <v>236</v>
      </c>
      <c r="C2050" s="7" t="s">
        <v>1369</v>
      </c>
      <c r="D2050" s="7" t="s">
        <v>1370</v>
      </c>
      <c r="E2050" s="7" t="s">
        <v>335</v>
      </c>
      <c r="F2050" s="7" t="s">
        <v>29</v>
      </c>
      <c r="G2050" s="7" t="s">
        <v>1371</v>
      </c>
      <c r="H2050" s="15">
        <v>3040</v>
      </c>
      <c r="I2050" s="15">
        <v>3040</v>
      </c>
      <c r="J2050" s="7" t="str">
        <f>IFERROR(_xlfn.XLOOKUP(F2050,ccustos!A:A,ccustos!B:B),"Sem termo")</f>
        <v>COAD</v>
      </c>
    </row>
    <row r="2051" spans="1:10" ht="25.5" customHeight="1" x14ac:dyDescent="0.25">
      <c r="A2051" s="16">
        <v>13763</v>
      </c>
      <c r="B2051" s="17" t="s">
        <v>236</v>
      </c>
      <c r="C2051" s="17" t="s">
        <v>1369</v>
      </c>
      <c r="D2051" s="17" t="s">
        <v>1370</v>
      </c>
      <c r="E2051" s="17" t="s">
        <v>335</v>
      </c>
      <c r="F2051" s="17" t="s">
        <v>29</v>
      </c>
      <c r="G2051" s="17" t="s">
        <v>1371</v>
      </c>
      <c r="H2051" s="18">
        <v>3040</v>
      </c>
      <c r="I2051" s="18">
        <v>3040</v>
      </c>
      <c r="J2051" s="7" t="str">
        <f>IFERROR(_xlfn.XLOOKUP(F2051,ccustos!A:A,ccustos!B:B),"Sem termo")</f>
        <v>COAD</v>
      </c>
    </row>
    <row r="2052" spans="1:10" ht="25.5" customHeight="1" x14ac:dyDescent="0.25">
      <c r="A2052" s="14">
        <v>13764</v>
      </c>
      <c r="B2052" s="7" t="s">
        <v>236</v>
      </c>
      <c r="C2052" s="7" t="s">
        <v>1369</v>
      </c>
      <c r="D2052" s="7" t="s">
        <v>1370</v>
      </c>
      <c r="E2052" s="7" t="s">
        <v>335</v>
      </c>
      <c r="F2052" s="7" t="s">
        <v>20</v>
      </c>
      <c r="G2052" s="7" t="s">
        <v>1371</v>
      </c>
      <c r="H2052" s="15">
        <v>3040</v>
      </c>
      <c r="I2052" s="15">
        <v>3040</v>
      </c>
      <c r="J2052" s="7" t="str">
        <f>IFERROR(_xlfn.XLOOKUP(F2052,ccustos!A:A,ccustos!B:B),"Sem termo")</f>
        <v>CGTI</v>
      </c>
    </row>
    <row r="2053" spans="1:10" ht="25.5" customHeight="1" x14ac:dyDescent="0.25">
      <c r="A2053" s="16">
        <v>13765</v>
      </c>
      <c r="B2053" s="17" t="s">
        <v>236</v>
      </c>
      <c r="C2053" s="17" t="s">
        <v>1369</v>
      </c>
      <c r="D2053" s="17" t="s">
        <v>1370</v>
      </c>
      <c r="E2053" s="17" t="s">
        <v>335</v>
      </c>
      <c r="F2053" s="17" t="s">
        <v>83</v>
      </c>
      <c r="G2053" s="17" t="s">
        <v>1371</v>
      </c>
      <c r="H2053" s="18">
        <v>3040</v>
      </c>
      <c r="I2053" s="18">
        <v>3040</v>
      </c>
      <c r="J2053" s="7" t="str">
        <f>IFERROR(_xlfn.XLOOKUP(F2053,ccustos!A:A,ccustos!B:B),"Sem termo")</f>
        <v>GABIN</v>
      </c>
    </row>
    <row r="2054" spans="1:10" ht="25.5" customHeight="1" x14ac:dyDescent="0.25">
      <c r="A2054" s="14">
        <v>13766</v>
      </c>
      <c r="B2054" s="7" t="s">
        <v>236</v>
      </c>
      <c r="C2054" s="7" t="s">
        <v>1369</v>
      </c>
      <c r="D2054" s="7" t="s">
        <v>1370</v>
      </c>
      <c r="E2054" s="7" t="s">
        <v>335</v>
      </c>
      <c r="F2054" s="7" t="s">
        <v>70</v>
      </c>
      <c r="G2054" s="7" t="s">
        <v>1371</v>
      </c>
      <c r="H2054" s="15">
        <v>3040</v>
      </c>
      <c r="I2054" s="15">
        <v>3040</v>
      </c>
      <c r="J2054" s="7" t="str">
        <f>IFERROR(_xlfn.XLOOKUP(F2054,ccustos!A:A,ccustos!B:B),"Sem termo")</f>
        <v>SEBIB</v>
      </c>
    </row>
    <row r="2055" spans="1:10" ht="25.5" customHeight="1" x14ac:dyDescent="0.25">
      <c r="A2055" s="16">
        <v>13767</v>
      </c>
      <c r="B2055" s="17" t="s">
        <v>236</v>
      </c>
      <c r="C2055" s="17" t="s">
        <v>1369</v>
      </c>
      <c r="D2055" s="17" t="s">
        <v>1370</v>
      </c>
      <c r="E2055" s="17" t="s">
        <v>335</v>
      </c>
      <c r="F2055" s="17" t="s">
        <v>14</v>
      </c>
      <c r="G2055" s="17" t="s">
        <v>1371</v>
      </c>
      <c r="H2055" s="18">
        <v>3040</v>
      </c>
      <c r="I2055" s="18">
        <v>3040</v>
      </c>
      <c r="J2055" s="7" t="str">
        <f>IFERROR(_xlfn.XLOOKUP(F2055,ccustos!A:A,ccustos!B:B),"Sem termo")</f>
        <v>SEPAT</v>
      </c>
    </row>
    <row r="2056" spans="1:10" ht="25.5" customHeight="1" x14ac:dyDescent="0.25">
      <c r="A2056" s="14">
        <v>13768</v>
      </c>
      <c r="B2056" s="7" t="s">
        <v>236</v>
      </c>
      <c r="C2056" s="7" t="s">
        <v>1369</v>
      </c>
      <c r="D2056" s="7" t="s">
        <v>1370</v>
      </c>
      <c r="E2056" s="7" t="s">
        <v>335</v>
      </c>
      <c r="F2056" s="7" t="s">
        <v>57</v>
      </c>
      <c r="G2056" s="7" t="s">
        <v>1371</v>
      </c>
      <c r="H2056" s="15">
        <v>3040</v>
      </c>
      <c r="I2056" s="15">
        <v>3040</v>
      </c>
      <c r="J2056" s="7" t="str">
        <f>IFERROR(_xlfn.XLOOKUP(F2056,ccustos!A:A,ccustos!B:B),"Sem termo")</f>
        <v>SEPAT</v>
      </c>
    </row>
    <row r="2057" spans="1:10" ht="25.5" customHeight="1" x14ac:dyDescent="0.25">
      <c r="A2057" s="16">
        <v>13769</v>
      </c>
      <c r="B2057" s="17" t="s">
        <v>236</v>
      </c>
      <c r="C2057" s="17" t="s">
        <v>1369</v>
      </c>
      <c r="D2057" s="17" t="s">
        <v>1370</v>
      </c>
      <c r="E2057" s="17" t="s">
        <v>335</v>
      </c>
      <c r="F2057" s="17" t="s">
        <v>20</v>
      </c>
      <c r="G2057" s="17" t="s">
        <v>1371</v>
      </c>
      <c r="H2057" s="18">
        <v>3040</v>
      </c>
      <c r="I2057" s="18">
        <v>3040</v>
      </c>
      <c r="J2057" s="7" t="str">
        <f>IFERROR(_xlfn.XLOOKUP(F2057,ccustos!A:A,ccustos!B:B),"Sem termo")</f>
        <v>CGTI</v>
      </c>
    </row>
    <row r="2058" spans="1:10" ht="36.75" customHeight="1" x14ac:dyDescent="0.25">
      <c r="A2058" s="14">
        <v>13770</v>
      </c>
      <c r="B2058" s="7" t="s">
        <v>236</v>
      </c>
      <c r="C2058" s="7" t="s">
        <v>1369</v>
      </c>
      <c r="D2058" s="7" t="s">
        <v>1370</v>
      </c>
      <c r="E2058" s="7" t="s">
        <v>335</v>
      </c>
      <c r="F2058" s="7" t="s">
        <v>45</v>
      </c>
      <c r="G2058" s="7" t="s">
        <v>1371</v>
      </c>
      <c r="H2058" s="15">
        <v>3040</v>
      </c>
      <c r="I2058" s="15">
        <v>3040</v>
      </c>
      <c r="J2058" s="7" t="str">
        <f>IFERROR(_xlfn.XLOOKUP(F2058,ccustos!A:A,ccustos!B:B),"Sem termo")</f>
        <v>SEPAT</v>
      </c>
    </row>
    <row r="2059" spans="1:10" ht="36.75" customHeight="1" x14ac:dyDescent="0.25">
      <c r="A2059" s="16">
        <v>13771</v>
      </c>
      <c r="B2059" s="17" t="s">
        <v>236</v>
      </c>
      <c r="C2059" s="17" t="s">
        <v>1369</v>
      </c>
      <c r="D2059" s="17" t="s">
        <v>1370</v>
      </c>
      <c r="E2059" s="17" t="s">
        <v>335</v>
      </c>
      <c r="F2059" s="17" t="s">
        <v>18</v>
      </c>
      <c r="G2059" s="17" t="s">
        <v>1371</v>
      </c>
      <c r="H2059" s="18">
        <v>3040</v>
      </c>
      <c r="I2059" s="18">
        <v>3040</v>
      </c>
      <c r="J2059" s="7" t="str">
        <f>IFERROR(_xlfn.XLOOKUP(F2059,ccustos!A:A,ccustos!B:B),"Sem termo")</f>
        <v>DEINFRA</v>
      </c>
    </row>
    <row r="2060" spans="1:10" ht="36.75" customHeight="1" x14ac:dyDescent="0.25">
      <c r="A2060" s="14">
        <v>13772</v>
      </c>
      <c r="B2060" s="7" t="s">
        <v>236</v>
      </c>
      <c r="C2060" s="7" t="s">
        <v>1369</v>
      </c>
      <c r="D2060" s="7" t="s">
        <v>1370</v>
      </c>
      <c r="E2060" s="7" t="s">
        <v>335</v>
      </c>
      <c r="F2060" s="7" t="s">
        <v>63</v>
      </c>
      <c r="G2060" s="7" t="s">
        <v>1371</v>
      </c>
      <c r="H2060" s="15">
        <v>3040</v>
      </c>
      <c r="I2060" s="15">
        <v>3040</v>
      </c>
      <c r="J2060" s="7" t="str">
        <f>IFERROR(_xlfn.XLOOKUP(F2060,ccustos!A:A,ccustos!B:B),"Sem termo")</f>
        <v>SEPAT</v>
      </c>
    </row>
    <row r="2061" spans="1:10" ht="36.75" customHeight="1" x14ac:dyDescent="0.25">
      <c r="A2061" s="16">
        <v>13773</v>
      </c>
      <c r="B2061" s="17" t="s">
        <v>236</v>
      </c>
      <c r="C2061" s="17" t="s">
        <v>1369</v>
      </c>
      <c r="D2061" s="17" t="s">
        <v>1370</v>
      </c>
      <c r="E2061" s="17" t="s">
        <v>335</v>
      </c>
      <c r="F2061" s="17" t="s">
        <v>63</v>
      </c>
      <c r="G2061" s="17" t="s">
        <v>1371</v>
      </c>
      <c r="H2061" s="18">
        <v>3040</v>
      </c>
      <c r="I2061" s="18">
        <v>3040</v>
      </c>
      <c r="J2061" s="7" t="str">
        <f>IFERROR(_xlfn.XLOOKUP(F2061,ccustos!A:A,ccustos!B:B),"Sem termo")</f>
        <v>SEPAT</v>
      </c>
    </row>
    <row r="2062" spans="1:10" ht="36.75" customHeight="1" x14ac:dyDescent="0.25">
      <c r="A2062" s="14">
        <v>13774</v>
      </c>
      <c r="B2062" s="7" t="s">
        <v>236</v>
      </c>
      <c r="C2062" s="7" t="s">
        <v>1369</v>
      </c>
      <c r="D2062" s="7" t="s">
        <v>1370</v>
      </c>
      <c r="E2062" s="7" t="s">
        <v>335</v>
      </c>
      <c r="F2062" s="7" t="s">
        <v>63</v>
      </c>
      <c r="G2062" s="7" t="s">
        <v>1371</v>
      </c>
      <c r="H2062" s="15">
        <v>3040</v>
      </c>
      <c r="I2062" s="15">
        <v>3040</v>
      </c>
      <c r="J2062" s="7" t="str">
        <f>IFERROR(_xlfn.XLOOKUP(F2062,ccustos!A:A,ccustos!B:B),"Sem termo")</f>
        <v>SEPAT</v>
      </c>
    </row>
    <row r="2063" spans="1:10" ht="25.5" customHeight="1" x14ac:dyDescent="0.25">
      <c r="A2063" s="16">
        <v>13775</v>
      </c>
      <c r="B2063" s="17" t="s">
        <v>236</v>
      </c>
      <c r="C2063" s="17" t="s">
        <v>1369</v>
      </c>
      <c r="D2063" s="17" t="s">
        <v>1370</v>
      </c>
      <c r="E2063" s="17" t="s">
        <v>335</v>
      </c>
      <c r="F2063" s="17" t="s">
        <v>63</v>
      </c>
      <c r="G2063" s="17" t="s">
        <v>1371</v>
      </c>
      <c r="H2063" s="18">
        <v>3040</v>
      </c>
      <c r="I2063" s="18">
        <v>3040</v>
      </c>
      <c r="J2063" s="7" t="str">
        <f>IFERROR(_xlfn.XLOOKUP(F2063,ccustos!A:A,ccustos!B:B),"Sem termo")</f>
        <v>SEPAT</v>
      </c>
    </row>
    <row r="2064" spans="1:10" ht="25.5" customHeight="1" x14ac:dyDescent="0.25">
      <c r="A2064" s="14">
        <v>13776</v>
      </c>
      <c r="B2064" s="7" t="s">
        <v>236</v>
      </c>
      <c r="C2064" s="7" t="s">
        <v>1369</v>
      </c>
      <c r="D2064" s="7" t="s">
        <v>1370</v>
      </c>
      <c r="E2064" s="7" t="s">
        <v>335</v>
      </c>
      <c r="F2064" s="7" t="s">
        <v>63</v>
      </c>
      <c r="G2064" s="7" t="s">
        <v>1371</v>
      </c>
      <c r="H2064" s="15">
        <v>3040</v>
      </c>
      <c r="I2064" s="15">
        <v>3040</v>
      </c>
      <c r="J2064" s="7" t="str">
        <f>IFERROR(_xlfn.XLOOKUP(F2064,ccustos!A:A,ccustos!B:B),"Sem termo")</f>
        <v>SEPAT</v>
      </c>
    </row>
    <row r="2065" spans="1:10" ht="25.5" customHeight="1" x14ac:dyDescent="0.25">
      <c r="A2065" s="16">
        <v>13777</v>
      </c>
      <c r="B2065" s="17" t="s">
        <v>236</v>
      </c>
      <c r="C2065" s="17" t="s">
        <v>1369</v>
      </c>
      <c r="D2065" s="17" t="s">
        <v>1370</v>
      </c>
      <c r="E2065" s="17" t="s">
        <v>335</v>
      </c>
      <c r="F2065" s="17" t="s">
        <v>63</v>
      </c>
      <c r="G2065" s="17" t="s">
        <v>1371</v>
      </c>
      <c r="H2065" s="18">
        <v>3040</v>
      </c>
      <c r="I2065" s="18">
        <v>3040</v>
      </c>
      <c r="J2065" s="7" t="str">
        <f>IFERROR(_xlfn.XLOOKUP(F2065,ccustos!A:A,ccustos!B:B),"Sem termo")</f>
        <v>SEPAT</v>
      </c>
    </row>
    <row r="2066" spans="1:10" ht="25.5" customHeight="1" x14ac:dyDescent="0.25">
      <c r="A2066" s="14">
        <v>13778</v>
      </c>
      <c r="B2066" s="7" t="s">
        <v>236</v>
      </c>
      <c r="C2066" s="7" t="s">
        <v>1369</v>
      </c>
      <c r="D2066" s="7" t="s">
        <v>1370</v>
      </c>
      <c r="E2066" s="7" t="s">
        <v>335</v>
      </c>
      <c r="F2066" s="7" t="s">
        <v>47</v>
      </c>
      <c r="G2066" s="7" t="s">
        <v>1371</v>
      </c>
      <c r="H2066" s="15">
        <v>3040</v>
      </c>
      <c r="I2066" s="15">
        <v>3040</v>
      </c>
      <c r="J2066" s="7" t="str">
        <f>IFERROR(_xlfn.XLOOKUP(F2066,ccustos!A:A,ccustos!B:B),"Sem termo")</f>
        <v>CDPROF</v>
      </c>
    </row>
    <row r="2067" spans="1:10" ht="25.5" customHeight="1" x14ac:dyDescent="0.25">
      <c r="A2067" s="16">
        <v>13779</v>
      </c>
      <c r="B2067" s="17" t="s">
        <v>236</v>
      </c>
      <c r="C2067" s="17" t="s">
        <v>1369</v>
      </c>
      <c r="D2067" s="17" t="s">
        <v>1370</v>
      </c>
      <c r="E2067" s="17" t="s">
        <v>335</v>
      </c>
      <c r="F2067" s="17" t="s">
        <v>69</v>
      </c>
      <c r="G2067" s="17" t="s">
        <v>1371</v>
      </c>
      <c r="H2067" s="18">
        <v>3040</v>
      </c>
      <c r="I2067" s="18">
        <v>3040</v>
      </c>
      <c r="J2067" s="7" t="str">
        <f>IFERROR(_xlfn.XLOOKUP(F2067,ccustos!A:A,ccustos!B:B),"Sem termo")</f>
        <v>SEPAT</v>
      </c>
    </row>
    <row r="2068" spans="1:10" ht="25.5" customHeight="1" x14ac:dyDescent="0.25">
      <c r="A2068" s="14">
        <v>13780</v>
      </c>
      <c r="B2068" s="7" t="s">
        <v>236</v>
      </c>
      <c r="C2068" s="7" t="s">
        <v>1369</v>
      </c>
      <c r="D2068" s="7" t="s">
        <v>1370</v>
      </c>
      <c r="E2068" s="7" t="s">
        <v>335</v>
      </c>
      <c r="F2068" s="7" t="s">
        <v>20</v>
      </c>
      <c r="G2068" s="7" t="s">
        <v>1371</v>
      </c>
      <c r="H2068" s="15">
        <v>3040</v>
      </c>
      <c r="I2068" s="15">
        <v>3040</v>
      </c>
      <c r="J2068" s="7" t="str">
        <f>IFERROR(_xlfn.XLOOKUP(F2068,ccustos!A:A,ccustos!B:B),"Sem termo")</f>
        <v>CGTI</v>
      </c>
    </row>
    <row r="2069" spans="1:10" ht="25.5" customHeight="1" x14ac:dyDescent="0.25">
      <c r="A2069" s="16">
        <v>13781</v>
      </c>
      <c r="B2069" s="17" t="s">
        <v>236</v>
      </c>
      <c r="C2069" s="17" t="s">
        <v>1369</v>
      </c>
      <c r="D2069" s="17" t="s">
        <v>1370</v>
      </c>
      <c r="E2069" s="17" t="s">
        <v>335</v>
      </c>
      <c r="F2069" s="17" t="s">
        <v>15</v>
      </c>
      <c r="G2069" s="17" t="s">
        <v>1371</v>
      </c>
      <c r="H2069" s="18">
        <v>3040</v>
      </c>
      <c r="I2069" s="18">
        <v>3040</v>
      </c>
      <c r="J2069" s="7" t="str">
        <f>IFERROR(_xlfn.XLOOKUP(F2069,ccustos!A:A,ccustos!B:B),"Sem termo")</f>
        <v>SEPAT</v>
      </c>
    </row>
    <row r="2070" spans="1:10" ht="25.5" customHeight="1" x14ac:dyDescent="0.25">
      <c r="A2070" s="14">
        <v>13782</v>
      </c>
      <c r="B2070" s="7" t="s">
        <v>236</v>
      </c>
      <c r="C2070" s="7" t="s">
        <v>1369</v>
      </c>
      <c r="D2070" s="7" t="s">
        <v>1370</v>
      </c>
      <c r="E2070" s="7" t="s">
        <v>335</v>
      </c>
      <c r="F2070" s="7" t="s">
        <v>20</v>
      </c>
      <c r="G2070" s="7" t="s">
        <v>1371</v>
      </c>
      <c r="H2070" s="15">
        <v>3040</v>
      </c>
      <c r="I2070" s="15">
        <v>3040</v>
      </c>
      <c r="J2070" s="7" t="str">
        <f>IFERROR(_xlfn.XLOOKUP(F2070,ccustos!A:A,ccustos!B:B),"Sem termo")</f>
        <v>CGTI</v>
      </c>
    </row>
    <row r="2071" spans="1:10" ht="25.5" customHeight="1" x14ac:dyDescent="0.25">
      <c r="A2071" s="16">
        <v>13783</v>
      </c>
      <c r="B2071" s="17" t="s">
        <v>236</v>
      </c>
      <c r="C2071" s="17" t="s">
        <v>1369</v>
      </c>
      <c r="D2071" s="17" t="s">
        <v>1370</v>
      </c>
      <c r="E2071" s="17" t="s">
        <v>335</v>
      </c>
      <c r="F2071" s="17" t="s">
        <v>71</v>
      </c>
      <c r="G2071" s="17" t="s">
        <v>1371</v>
      </c>
      <c r="H2071" s="18">
        <v>3040</v>
      </c>
      <c r="I2071" s="18">
        <v>3040</v>
      </c>
      <c r="J2071" s="7" t="str">
        <f>IFERROR(_xlfn.XLOOKUP(F2071,ccustos!A:A,ccustos!B:B),"Sem termo")</f>
        <v>SEPAT</v>
      </c>
    </row>
    <row r="2072" spans="1:10" ht="25.5" customHeight="1" x14ac:dyDescent="0.25">
      <c r="A2072" s="14">
        <v>13784</v>
      </c>
      <c r="B2072" s="7" t="s">
        <v>236</v>
      </c>
      <c r="C2072" s="7" t="s">
        <v>1369</v>
      </c>
      <c r="D2072" s="7" t="s">
        <v>1370</v>
      </c>
      <c r="E2072" s="7" t="s">
        <v>335</v>
      </c>
      <c r="F2072" s="7" t="s">
        <v>20</v>
      </c>
      <c r="G2072" s="7" t="s">
        <v>1371</v>
      </c>
      <c r="H2072" s="15">
        <v>3040</v>
      </c>
      <c r="I2072" s="15">
        <v>3040</v>
      </c>
      <c r="J2072" s="7" t="str">
        <f>IFERROR(_xlfn.XLOOKUP(F2072,ccustos!A:A,ccustos!B:B),"Sem termo")</f>
        <v>CGTI</v>
      </c>
    </row>
    <row r="2073" spans="1:10" ht="25.5" customHeight="1" x14ac:dyDescent="0.25">
      <c r="A2073" s="16">
        <v>13785</v>
      </c>
      <c r="B2073" s="17" t="s">
        <v>236</v>
      </c>
      <c r="C2073" s="17" t="s">
        <v>1369</v>
      </c>
      <c r="D2073" s="17" t="s">
        <v>1370</v>
      </c>
      <c r="E2073" s="17" t="s">
        <v>335</v>
      </c>
      <c r="F2073" s="17" t="s">
        <v>20</v>
      </c>
      <c r="G2073" s="17" t="s">
        <v>1371</v>
      </c>
      <c r="H2073" s="18">
        <v>3040</v>
      </c>
      <c r="I2073" s="18">
        <v>3040</v>
      </c>
      <c r="J2073" s="7" t="str">
        <f>IFERROR(_xlfn.XLOOKUP(F2073,ccustos!A:A,ccustos!B:B),"Sem termo")</f>
        <v>CGTI</v>
      </c>
    </row>
    <row r="2074" spans="1:10" ht="25.5" customHeight="1" x14ac:dyDescent="0.25">
      <c r="A2074" s="14">
        <v>13786</v>
      </c>
      <c r="B2074" s="7" t="s">
        <v>236</v>
      </c>
      <c r="C2074" s="7" t="s">
        <v>1369</v>
      </c>
      <c r="D2074" s="7" t="s">
        <v>1370</v>
      </c>
      <c r="E2074" s="7" t="s">
        <v>335</v>
      </c>
      <c r="F2074" s="7" t="s">
        <v>1372</v>
      </c>
      <c r="G2074" s="7" t="s">
        <v>1371</v>
      </c>
      <c r="H2074" s="15">
        <v>3040</v>
      </c>
      <c r="I2074" s="15">
        <v>3040</v>
      </c>
      <c r="J2074" s="7" t="str">
        <f>IFERROR(_xlfn.XLOOKUP(F2074,ccustos!A:A,ccustos!B:B),"Sem termo")</f>
        <v>Sem termo</v>
      </c>
    </row>
    <row r="2075" spans="1:10" ht="25.5" customHeight="1" x14ac:dyDescent="0.25">
      <c r="A2075" s="16">
        <v>13787</v>
      </c>
      <c r="B2075" s="17" t="s">
        <v>236</v>
      </c>
      <c r="C2075" s="17" t="s">
        <v>1369</v>
      </c>
      <c r="D2075" s="17" t="s">
        <v>1370</v>
      </c>
      <c r="E2075" s="17" t="s">
        <v>335</v>
      </c>
      <c r="F2075" s="17" t="s">
        <v>72</v>
      </c>
      <c r="G2075" s="17" t="s">
        <v>1371</v>
      </c>
      <c r="H2075" s="18">
        <v>3040</v>
      </c>
      <c r="I2075" s="18">
        <v>3040</v>
      </c>
      <c r="J2075" s="7" t="str">
        <f>IFERROR(_xlfn.XLOOKUP(F2075,ccustos!A:A,ccustos!B:B),"Sem termo")</f>
        <v>SEPAT</v>
      </c>
    </row>
    <row r="2076" spans="1:10" ht="25.5" customHeight="1" x14ac:dyDescent="0.25">
      <c r="A2076" s="14">
        <v>13788</v>
      </c>
      <c r="B2076" s="7" t="s">
        <v>236</v>
      </c>
      <c r="C2076" s="7" t="s">
        <v>1369</v>
      </c>
      <c r="D2076" s="7" t="s">
        <v>1370</v>
      </c>
      <c r="E2076" s="7" t="s">
        <v>335</v>
      </c>
      <c r="F2076" s="7" t="s">
        <v>72</v>
      </c>
      <c r="G2076" s="7" t="s">
        <v>1371</v>
      </c>
      <c r="H2076" s="15">
        <v>3040</v>
      </c>
      <c r="I2076" s="15">
        <v>3040</v>
      </c>
      <c r="J2076" s="7" t="str">
        <f>IFERROR(_xlfn.XLOOKUP(F2076,ccustos!A:A,ccustos!B:B),"Sem termo")</f>
        <v>SEPAT</v>
      </c>
    </row>
    <row r="2077" spans="1:10" ht="36.75" customHeight="1" x14ac:dyDescent="0.25">
      <c r="A2077" s="16">
        <v>13789</v>
      </c>
      <c r="B2077" s="17" t="s">
        <v>236</v>
      </c>
      <c r="C2077" s="17" t="s">
        <v>1369</v>
      </c>
      <c r="D2077" s="17" t="s">
        <v>1370</v>
      </c>
      <c r="E2077" s="17" t="s">
        <v>335</v>
      </c>
      <c r="F2077" s="17" t="s">
        <v>4</v>
      </c>
      <c r="G2077" s="17" t="s">
        <v>1371</v>
      </c>
      <c r="H2077" s="18">
        <v>3040</v>
      </c>
      <c r="I2077" s="18">
        <v>3040</v>
      </c>
      <c r="J2077" s="7" t="str">
        <f>IFERROR(_xlfn.XLOOKUP(F2077,ccustos!A:A,ccustos!B:B),"Sem termo")</f>
        <v>SEPAT</v>
      </c>
    </row>
    <row r="2078" spans="1:10" ht="36.75" customHeight="1" x14ac:dyDescent="0.25">
      <c r="A2078" s="14">
        <v>13790</v>
      </c>
      <c r="B2078" s="7" t="s">
        <v>236</v>
      </c>
      <c r="C2078" s="7" t="s">
        <v>1369</v>
      </c>
      <c r="D2078" s="7" t="s">
        <v>1370</v>
      </c>
      <c r="E2078" s="7" t="s">
        <v>335</v>
      </c>
      <c r="F2078" s="7" t="s">
        <v>4</v>
      </c>
      <c r="G2078" s="7" t="s">
        <v>1371</v>
      </c>
      <c r="H2078" s="15">
        <v>3040</v>
      </c>
      <c r="I2078" s="15">
        <v>3040</v>
      </c>
      <c r="J2078" s="7" t="str">
        <f>IFERROR(_xlfn.XLOOKUP(F2078,ccustos!A:A,ccustos!B:B),"Sem termo")</f>
        <v>SEPAT</v>
      </c>
    </row>
    <row r="2079" spans="1:10" ht="36.75" customHeight="1" x14ac:dyDescent="0.25">
      <c r="A2079" s="16">
        <v>13792</v>
      </c>
      <c r="B2079" s="17" t="s">
        <v>236</v>
      </c>
      <c r="C2079" s="17" t="s">
        <v>1015</v>
      </c>
      <c r="D2079" s="17" t="s">
        <v>1373</v>
      </c>
      <c r="E2079" s="17" t="s">
        <v>250</v>
      </c>
      <c r="F2079" s="17" t="s">
        <v>1</v>
      </c>
      <c r="G2079" s="17" t="s">
        <v>1371</v>
      </c>
      <c r="H2079" s="18">
        <v>2150</v>
      </c>
      <c r="I2079" s="18">
        <v>2150</v>
      </c>
      <c r="J2079" s="7" t="str">
        <f>IFERROR(_xlfn.XLOOKUP(F2079,ccustos!A:A,ccustos!B:B),"Sem termo")</f>
        <v>SEPAT</v>
      </c>
    </row>
    <row r="2080" spans="1:10" ht="36.75" customHeight="1" x14ac:dyDescent="0.25">
      <c r="A2080" s="14">
        <v>13793</v>
      </c>
      <c r="B2080" s="7" t="s">
        <v>236</v>
      </c>
      <c r="C2080" s="7" t="s">
        <v>248</v>
      </c>
      <c r="D2080" s="7" t="s">
        <v>1374</v>
      </c>
      <c r="E2080" s="7" t="s">
        <v>250</v>
      </c>
      <c r="F2080" s="7" t="s">
        <v>63</v>
      </c>
      <c r="G2080" s="7" t="s">
        <v>1375</v>
      </c>
      <c r="H2080" s="15">
        <v>3800</v>
      </c>
      <c r="I2080" s="15">
        <v>3800</v>
      </c>
      <c r="J2080" s="7" t="str">
        <f>IFERROR(_xlfn.XLOOKUP(F2080,ccustos!A:A,ccustos!B:B),"Sem termo")</f>
        <v>SEPAT</v>
      </c>
    </row>
    <row r="2081" spans="1:10" ht="36.75" customHeight="1" x14ac:dyDescent="0.25">
      <c r="A2081" s="16">
        <v>13795</v>
      </c>
      <c r="B2081" s="17" t="s">
        <v>236</v>
      </c>
      <c r="C2081" s="17" t="s">
        <v>989</v>
      </c>
      <c r="D2081" s="17" t="s">
        <v>1376</v>
      </c>
      <c r="E2081" s="17" t="s">
        <v>335</v>
      </c>
      <c r="F2081" s="17" t="s">
        <v>75</v>
      </c>
      <c r="G2081" s="17" t="s">
        <v>1377</v>
      </c>
      <c r="H2081" s="18">
        <v>38200</v>
      </c>
      <c r="I2081" s="18">
        <v>38200</v>
      </c>
      <c r="J2081" s="7" t="str">
        <f>IFERROR(_xlfn.XLOOKUP(F2081,ccustos!A:A,ccustos!B:B),"Sem termo")</f>
        <v>DEINFRA</v>
      </c>
    </row>
    <row r="2082" spans="1:10" ht="36.75" customHeight="1" x14ac:dyDescent="0.25">
      <c r="A2082" s="14">
        <v>13796</v>
      </c>
      <c r="B2082" s="7" t="s">
        <v>236</v>
      </c>
      <c r="C2082" s="7" t="s">
        <v>989</v>
      </c>
      <c r="D2082" s="7" t="s">
        <v>1376</v>
      </c>
      <c r="E2082" s="7" t="s">
        <v>335</v>
      </c>
      <c r="F2082" s="7" t="s">
        <v>75</v>
      </c>
      <c r="G2082" s="7" t="s">
        <v>1377</v>
      </c>
      <c r="H2082" s="15">
        <v>38200</v>
      </c>
      <c r="I2082" s="15">
        <v>38200</v>
      </c>
      <c r="J2082" s="7" t="str">
        <f>IFERROR(_xlfn.XLOOKUP(F2082,ccustos!A:A,ccustos!B:B),"Sem termo")</f>
        <v>DEINFRA</v>
      </c>
    </row>
    <row r="2083" spans="1:10" ht="36.75" customHeight="1" x14ac:dyDescent="0.25">
      <c r="A2083" s="16">
        <v>13797</v>
      </c>
      <c r="B2083" s="17" t="s">
        <v>236</v>
      </c>
      <c r="C2083" s="17" t="s">
        <v>1378</v>
      </c>
      <c r="D2083" s="17" t="s">
        <v>1379</v>
      </c>
      <c r="E2083" s="17" t="s">
        <v>239</v>
      </c>
      <c r="F2083" s="17" t="s">
        <v>187</v>
      </c>
      <c r="G2083" s="17" t="s">
        <v>1380</v>
      </c>
      <c r="H2083" s="18">
        <v>592</v>
      </c>
      <c r="I2083" s="18">
        <v>592</v>
      </c>
      <c r="J2083" s="7" t="str">
        <f>IFERROR(_xlfn.XLOOKUP(F2083,ccustos!A:A,ccustos!B:B),"Sem termo")</f>
        <v>CGGE</v>
      </c>
    </row>
    <row r="2084" spans="1:10" ht="36.75" customHeight="1" x14ac:dyDescent="0.25">
      <c r="A2084" s="14">
        <v>13798</v>
      </c>
      <c r="B2084" s="7" t="s">
        <v>236</v>
      </c>
      <c r="C2084" s="7" t="s">
        <v>1378</v>
      </c>
      <c r="D2084" s="7" t="s">
        <v>1381</v>
      </c>
      <c r="E2084" s="7" t="s">
        <v>239</v>
      </c>
      <c r="F2084" s="7" t="s">
        <v>18</v>
      </c>
      <c r="G2084" s="7" t="s">
        <v>1380</v>
      </c>
      <c r="H2084" s="15">
        <v>592</v>
      </c>
      <c r="I2084" s="15">
        <v>592</v>
      </c>
      <c r="J2084" s="7" t="str">
        <f>IFERROR(_xlfn.XLOOKUP(F2084,ccustos!A:A,ccustos!B:B),"Sem termo")</f>
        <v>DEINFRA</v>
      </c>
    </row>
    <row r="2085" spans="1:10" ht="36.75" customHeight="1" x14ac:dyDescent="0.25">
      <c r="A2085" s="16">
        <v>13799</v>
      </c>
      <c r="B2085" s="17" t="s">
        <v>236</v>
      </c>
      <c r="C2085" s="17" t="s">
        <v>1378</v>
      </c>
      <c r="D2085" s="17" t="s">
        <v>1381</v>
      </c>
      <c r="E2085" s="17" t="s">
        <v>239</v>
      </c>
      <c r="F2085" s="17" t="s">
        <v>54</v>
      </c>
      <c r="G2085" s="17" t="s">
        <v>1380</v>
      </c>
      <c r="H2085" s="18">
        <v>592</v>
      </c>
      <c r="I2085" s="18">
        <v>592</v>
      </c>
      <c r="J2085" s="7" t="str">
        <f>IFERROR(_xlfn.XLOOKUP(F2085,ccustos!A:A,ccustos!B:B),"Sem termo")</f>
        <v>DEFIN</v>
      </c>
    </row>
    <row r="2086" spans="1:10" ht="36.75" customHeight="1" x14ac:dyDescent="0.25">
      <c r="A2086" s="14">
        <v>13802</v>
      </c>
      <c r="B2086" s="7" t="s">
        <v>236</v>
      </c>
      <c r="C2086" s="7" t="s">
        <v>237</v>
      </c>
      <c r="D2086" s="7" t="s">
        <v>238</v>
      </c>
      <c r="E2086" s="7" t="s">
        <v>239</v>
      </c>
      <c r="F2086" s="7" t="s">
        <v>15</v>
      </c>
      <c r="G2086" s="7" t="s">
        <v>1382</v>
      </c>
      <c r="H2086" s="15">
        <v>64.540000000000006</v>
      </c>
      <c r="I2086" s="15">
        <v>64.540000000000006</v>
      </c>
      <c r="J2086" s="7" t="str">
        <f>IFERROR(_xlfn.XLOOKUP(F2086,ccustos!A:A,ccustos!B:B),"Sem termo")</f>
        <v>SEPAT</v>
      </c>
    </row>
    <row r="2087" spans="1:10" ht="36.75" customHeight="1" x14ac:dyDescent="0.25">
      <c r="A2087" s="16">
        <v>13803</v>
      </c>
      <c r="B2087" s="17" t="s">
        <v>236</v>
      </c>
      <c r="C2087" s="17" t="s">
        <v>237</v>
      </c>
      <c r="D2087" s="17" t="s">
        <v>238</v>
      </c>
      <c r="E2087" s="17" t="s">
        <v>239</v>
      </c>
      <c r="F2087" s="17" t="s">
        <v>15</v>
      </c>
      <c r="G2087" s="17" t="s">
        <v>1382</v>
      </c>
      <c r="H2087" s="18">
        <v>64.540000000000006</v>
      </c>
      <c r="I2087" s="18">
        <v>64.540000000000006</v>
      </c>
      <c r="J2087" s="7" t="str">
        <f>IFERROR(_xlfn.XLOOKUP(F2087,ccustos!A:A,ccustos!B:B),"Sem termo")</f>
        <v>SEPAT</v>
      </c>
    </row>
    <row r="2088" spans="1:10" ht="36.75" customHeight="1" x14ac:dyDescent="0.25">
      <c r="A2088" s="14">
        <v>13804</v>
      </c>
      <c r="B2088" s="7" t="s">
        <v>236</v>
      </c>
      <c r="C2088" s="7" t="s">
        <v>399</v>
      </c>
      <c r="D2088" s="7" t="s">
        <v>1383</v>
      </c>
      <c r="E2088" s="7" t="s">
        <v>239</v>
      </c>
      <c r="F2088" s="7" t="s">
        <v>6</v>
      </c>
      <c r="G2088" s="7" t="s">
        <v>1382</v>
      </c>
      <c r="H2088" s="15">
        <v>10.85</v>
      </c>
      <c r="I2088" s="15">
        <v>10.85</v>
      </c>
      <c r="J2088" s="7" t="str">
        <f>IFERROR(_xlfn.XLOOKUP(F2088,ccustos!A:A,ccustos!B:B),"Sem termo")</f>
        <v>SEPAT</v>
      </c>
    </row>
    <row r="2089" spans="1:10" ht="36.75" customHeight="1" x14ac:dyDescent="0.25">
      <c r="A2089" s="16">
        <v>13805</v>
      </c>
      <c r="B2089" s="17" t="s">
        <v>236</v>
      </c>
      <c r="C2089" s="17" t="s">
        <v>241</v>
      </c>
      <c r="D2089" s="17" t="s">
        <v>1384</v>
      </c>
      <c r="E2089" s="17" t="s">
        <v>239</v>
      </c>
      <c r="F2089" s="17" t="s">
        <v>6</v>
      </c>
      <c r="G2089" s="17" t="s">
        <v>1382</v>
      </c>
      <c r="H2089" s="18">
        <v>141.34</v>
      </c>
      <c r="I2089" s="18">
        <v>141.34</v>
      </c>
      <c r="J2089" s="7" t="str">
        <f>IFERROR(_xlfn.XLOOKUP(F2089,ccustos!A:A,ccustos!B:B),"Sem termo")</f>
        <v>SEPAT</v>
      </c>
    </row>
    <row r="2090" spans="1:10" ht="36.75" customHeight="1" x14ac:dyDescent="0.25">
      <c r="A2090" s="14">
        <v>13806</v>
      </c>
      <c r="B2090" s="7" t="s">
        <v>236</v>
      </c>
      <c r="C2090" s="7" t="s">
        <v>241</v>
      </c>
      <c r="D2090" s="7" t="s">
        <v>1385</v>
      </c>
      <c r="E2090" s="7" t="s">
        <v>239</v>
      </c>
      <c r="F2090" s="7" t="s">
        <v>16</v>
      </c>
      <c r="G2090" s="7" t="s">
        <v>1382</v>
      </c>
      <c r="H2090" s="15">
        <v>141.34</v>
      </c>
      <c r="I2090" s="15">
        <v>141.34</v>
      </c>
      <c r="J2090" s="7" t="str">
        <f>IFERROR(_xlfn.XLOOKUP(F2090,ccustos!A:A,ccustos!B:B),"Sem termo")</f>
        <v>SEPAT</v>
      </c>
    </row>
    <row r="2091" spans="1:10" ht="36.75" customHeight="1" x14ac:dyDescent="0.25">
      <c r="A2091" s="16">
        <v>13811</v>
      </c>
      <c r="B2091" s="17" t="s">
        <v>236</v>
      </c>
      <c r="C2091" s="17" t="s">
        <v>775</v>
      </c>
      <c r="D2091" s="17" t="s">
        <v>1386</v>
      </c>
      <c r="E2091" s="17" t="s">
        <v>250</v>
      </c>
      <c r="F2091" s="17" t="s">
        <v>256</v>
      </c>
      <c r="G2091" s="17" t="s">
        <v>1387</v>
      </c>
      <c r="H2091" s="18">
        <v>6300</v>
      </c>
      <c r="I2091" s="18">
        <v>6300</v>
      </c>
      <c r="J2091" s="7" t="str">
        <f>IFERROR(_xlfn.XLOOKUP(F2091,ccustos!A:A,ccustos!B:B),"Sem termo")</f>
        <v>Sem termo</v>
      </c>
    </row>
    <row r="2092" spans="1:10" ht="36.75" customHeight="1" x14ac:dyDescent="0.25">
      <c r="A2092" s="14">
        <v>13812</v>
      </c>
      <c r="B2092" s="7" t="s">
        <v>236</v>
      </c>
      <c r="C2092" s="7" t="s">
        <v>241</v>
      </c>
      <c r="D2092" s="7" t="s">
        <v>1388</v>
      </c>
      <c r="E2092" s="7" t="s">
        <v>239</v>
      </c>
      <c r="F2092" s="7" t="s">
        <v>34</v>
      </c>
      <c r="G2092" s="7" t="s">
        <v>1389</v>
      </c>
      <c r="H2092" s="15">
        <v>1012</v>
      </c>
      <c r="I2092" s="15">
        <v>1012</v>
      </c>
      <c r="J2092" s="7" t="str">
        <f>IFERROR(_xlfn.XLOOKUP(F2092,ccustos!A:A,ccustos!B:B),"Sem termo")</f>
        <v>COFIS</v>
      </c>
    </row>
    <row r="2093" spans="1:10" ht="36.75" customHeight="1" x14ac:dyDescent="0.25">
      <c r="A2093" s="16">
        <v>13813</v>
      </c>
      <c r="B2093" s="17" t="s">
        <v>236</v>
      </c>
      <c r="C2093" s="17" t="s">
        <v>237</v>
      </c>
      <c r="D2093" s="17" t="s">
        <v>1390</v>
      </c>
      <c r="E2093" s="17" t="s">
        <v>239</v>
      </c>
      <c r="F2093" s="17" t="s">
        <v>66</v>
      </c>
      <c r="G2093" s="17" t="s">
        <v>1391</v>
      </c>
      <c r="H2093" s="18">
        <v>1833.32</v>
      </c>
      <c r="I2093" s="18">
        <v>1833.32</v>
      </c>
      <c r="J2093" s="7" t="str">
        <f>IFERROR(_xlfn.XLOOKUP(F2093,ccustos!A:A,ccustos!B:B),"Sem termo")</f>
        <v>COAD</v>
      </c>
    </row>
    <row r="2094" spans="1:10" ht="36.75" customHeight="1" x14ac:dyDescent="0.25">
      <c r="A2094" s="14">
        <v>13814</v>
      </c>
      <c r="B2094" s="7" t="s">
        <v>236</v>
      </c>
      <c r="C2094" s="7" t="s">
        <v>237</v>
      </c>
      <c r="D2094" s="7" t="s">
        <v>1390</v>
      </c>
      <c r="E2094" s="7" t="s">
        <v>239</v>
      </c>
      <c r="F2094" s="7" t="s">
        <v>43</v>
      </c>
      <c r="G2094" s="7" t="s">
        <v>1391</v>
      </c>
      <c r="H2094" s="15">
        <v>1833.32</v>
      </c>
      <c r="I2094" s="15">
        <v>1833.32</v>
      </c>
      <c r="J2094" s="7" t="str">
        <f>IFERROR(_xlfn.XLOOKUP(F2094,ccustos!A:A,ccustos!B:B),"Sem termo")</f>
        <v>SEPAT</v>
      </c>
    </row>
    <row r="2095" spans="1:10" ht="36.75" customHeight="1" x14ac:dyDescent="0.25">
      <c r="A2095" s="16">
        <v>13815</v>
      </c>
      <c r="B2095" s="17" t="s">
        <v>236</v>
      </c>
      <c r="C2095" s="17" t="s">
        <v>237</v>
      </c>
      <c r="D2095" s="17" t="s">
        <v>1390</v>
      </c>
      <c r="E2095" s="17" t="s">
        <v>239</v>
      </c>
      <c r="F2095" s="17" t="s">
        <v>43</v>
      </c>
      <c r="G2095" s="17" t="s">
        <v>1391</v>
      </c>
      <c r="H2095" s="18">
        <v>1833.32</v>
      </c>
      <c r="I2095" s="18">
        <v>1833.32</v>
      </c>
      <c r="J2095" s="7" t="str">
        <f>IFERROR(_xlfn.XLOOKUP(F2095,ccustos!A:A,ccustos!B:B),"Sem termo")</f>
        <v>SEPAT</v>
      </c>
    </row>
    <row r="2096" spans="1:10" ht="36.75" customHeight="1" x14ac:dyDescent="0.25">
      <c r="A2096" s="14">
        <v>13816</v>
      </c>
      <c r="B2096" s="7" t="s">
        <v>236</v>
      </c>
      <c r="C2096" s="7" t="s">
        <v>237</v>
      </c>
      <c r="D2096" s="7" t="s">
        <v>1390</v>
      </c>
      <c r="E2096" s="7" t="s">
        <v>239</v>
      </c>
      <c r="F2096" s="7" t="s">
        <v>43</v>
      </c>
      <c r="G2096" s="7" t="s">
        <v>1391</v>
      </c>
      <c r="H2096" s="15">
        <v>1833.32</v>
      </c>
      <c r="I2096" s="15">
        <v>1833.32</v>
      </c>
      <c r="J2096" s="7" t="str">
        <f>IFERROR(_xlfn.XLOOKUP(F2096,ccustos!A:A,ccustos!B:B),"Sem termo")</f>
        <v>SEPAT</v>
      </c>
    </row>
    <row r="2097" spans="1:10" ht="36.75" customHeight="1" x14ac:dyDescent="0.25">
      <c r="A2097" s="16">
        <v>13817</v>
      </c>
      <c r="B2097" s="17" t="s">
        <v>236</v>
      </c>
      <c r="C2097" s="17" t="s">
        <v>237</v>
      </c>
      <c r="D2097" s="17" t="s">
        <v>1390</v>
      </c>
      <c r="E2097" s="17" t="s">
        <v>239</v>
      </c>
      <c r="F2097" s="17" t="s">
        <v>43</v>
      </c>
      <c r="G2097" s="17" t="s">
        <v>1391</v>
      </c>
      <c r="H2097" s="18">
        <v>1833.32</v>
      </c>
      <c r="I2097" s="18">
        <v>1833.32</v>
      </c>
      <c r="J2097" s="7" t="str">
        <f>IFERROR(_xlfn.XLOOKUP(F2097,ccustos!A:A,ccustos!B:B),"Sem termo")</f>
        <v>SEPAT</v>
      </c>
    </row>
    <row r="2098" spans="1:10" ht="36.75" customHeight="1" x14ac:dyDescent="0.25">
      <c r="A2098" s="14">
        <v>13818</v>
      </c>
      <c r="B2098" s="7" t="s">
        <v>236</v>
      </c>
      <c r="C2098" s="7" t="s">
        <v>237</v>
      </c>
      <c r="D2098" s="7" t="s">
        <v>1390</v>
      </c>
      <c r="E2098" s="7" t="s">
        <v>239</v>
      </c>
      <c r="F2098" s="7" t="s">
        <v>43</v>
      </c>
      <c r="G2098" s="7" t="s">
        <v>1391</v>
      </c>
      <c r="H2098" s="15">
        <v>1833.32</v>
      </c>
      <c r="I2098" s="15">
        <v>1833.32</v>
      </c>
      <c r="J2098" s="7" t="str">
        <f>IFERROR(_xlfn.XLOOKUP(F2098,ccustos!A:A,ccustos!B:B),"Sem termo")</f>
        <v>SEPAT</v>
      </c>
    </row>
    <row r="2099" spans="1:10" ht="36.75" customHeight="1" x14ac:dyDescent="0.25">
      <c r="A2099" s="16">
        <v>13820</v>
      </c>
      <c r="B2099" s="17" t="s">
        <v>236</v>
      </c>
      <c r="C2099" s="17" t="s">
        <v>844</v>
      </c>
      <c r="D2099" s="17" t="s">
        <v>1392</v>
      </c>
      <c r="E2099" s="17" t="s">
        <v>250</v>
      </c>
      <c r="F2099" s="17" t="s">
        <v>256</v>
      </c>
      <c r="G2099" s="17" t="s">
        <v>1393</v>
      </c>
      <c r="H2099" s="18">
        <v>22300</v>
      </c>
      <c r="I2099" s="18">
        <v>22300</v>
      </c>
      <c r="J2099" s="7" t="str">
        <f>IFERROR(_xlfn.XLOOKUP(F2099,ccustos!A:A,ccustos!B:B),"Sem termo")</f>
        <v>Sem termo</v>
      </c>
    </row>
    <row r="2100" spans="1:10" ht="36.75" customHeight="1" x14ac:dyDescent="0.25">
      <c r="A2100" s="14">
        <v>13821</v>
      </c>
      <c r="B2100" s="7" t="s">
        <v>236</v>
      </c>
      <c r="C2100" s="7" t="s">
        <v>1128</v>
      </c>
      <c r="D2100" s="7" t="s">
        <v>1394</v>
      </c>
      <c r="E2100" s="7" t="s">
        <v>239</v>
      </c>
      <c r="F2100" s="7" t="s">
        <v>256</v>
      </c>
      <c r="G2100" s="7" t="s">
        <v>1393</v>
      </c>
      <c r="H2100" s="15">
        <v>3989</v>
      </c>
      <c r="I2100" s="15">
        <v>3989</v>
      </c>
      <c r="J2100" s="7" t="str">
        <f>IFERROR(_xlfn.XLOOKUP(F2100,ccustos!A:A,ccustos!B:B),"Sem termo")</f>
        <v>Sem termo</v>
      </c>
    </row>
    <row r="2101" spans="1:10" ht="36.75" customHeight="1" x14ac:dyDescent="0.25">
      <c r="A2101" s="16">
        <v>13822</v>
      </c>
      <c r="B2101" s="17" t="s">
        <v>236</v>
      </c>
      <c r="C2101" s="17" t="s">
        <v>1395</v>
      </c>
      <c r="D2101" s="17" t="s">
        <v>1395</v>
      </c>
      <c r="E2101" s="17" t="s">
        <v>250</v>
      </c>
      <c r="F2101" s="17" t="s">
        <v>205</v>
      </c>
      <c r="G2101" s="17" t="s">
        <v>1393</v>
      </c>
      <c r="H2101" s="18">
        <v>7159.5</v>
      </c>
      <c r="I2101" s="18">
        <v>7159.5</v>
      </c>
      <c r="J2101" s="7" t="str">
        <f>IFERROR(_xlfn.XLOOKUP(F2101,ccustos!A:A,ccustos!B:B),"Sem termo")</f>
        <v>CCOM</v>
      </c>
    </row>
    <row r="2102" spans="1:10" ht="36.75" customHeight="1" x14ac:dyDescent="0.25">
      <c r="A2102" s="14">
        <v>13823</v>
      </c>
      <c r="B2102" s="7" t="s">
        <v>236</v>
      </c>
      <c r="C2102" s="7" t="s">
        <v>380</v>
      </c>
      <c r="D2102" s="7" t="s">
        <v>1396</v>
      </c>
      <c r="E2102" s="7" t="s">
        <v>250</v>
      </c>
      <c r="F2102" s="7" t="s">
        <v>256</v>
      </c>
      <c r="G2102" s="7" t="s">
        <v>1393</v>
      </c>
      <c r="H2102" s="15">
        <v>1250</v>
      </c>
      <c r="I2102" s="15">
        <v>1250</v>
      </c>
      <c r="J2102" s="7" t="str">
        <f>IFERROR(_xlfn.XLOOKUP(F2102,ccustos!A:A,ccustos!B:B),"Sem termo")</f>
        <v>Sem termo</v>
      </c>
    </row>
    <row r="2103" spans="1:10" ht="36.75" customHeight="1" x14ac:dyDescent="0.25">
      <c r="A2103" s="16">
        <v>13824</v>
      </c>
      <c r="B2103" s="17" t="s">
        <v>236</v>
      </c>
      <c r="C2103" s="17" t="s">
        <v>380</v>
      </c>
      <c r="D2103" s="17" t="s">
        <v>1396</v>
      </c>
      <c r="E2103" s="17" t="s">
        <v>250</v>
      </c>
      <c r="F2103" s="17" t="s">
        <v>256</v>
      </c>
      <c r="G2103" s="17" t="s">
        <v>1393</v>
      </c>
      <c r="H2103" s="18">
        <v>1250</v>
      </c>
      <c r="I2103" s="18">
        <v>1250</v>
      </c>
      <c r="J2103" s="7" t="str">
        <f>IFERROR(_xlfn.XLOOKUP(F2103,ccustos!A:A,ccustos!B:B),"Sem termo")</f>
        <v>Sem termo</v>
      </c>
    </row>
    <row r="2104" spans="1:10" ht="36.75" customHeight="1" x14ac:dyDescent="0.25">
      <c r="A2104" s="14">
        <v>13825</v>
      </c>
      <c r="B2104" s="7" t="s">
        <v>236</v>
      </c>
      <c r="C2104" s="7" t="s">
        <v>380</v>
      </c>
      <c r="D2104" s="7" t="s">
        <v>1396</v>
      </c>
      <c r="E2104" s="7" t="s">
        <v>250</v>
      </c>
      <c r="F2104" s="7" t="s">
        <v>256</v>
      </c>
      <c r="G2104" s="7" t="s">
        <v>1393</v>
      </c>
      <c r="H2104" s="15">
        <v>1250</v>
      </c>
      <c r="I2104" s="15">
        <v>1250</v>
      </c>
      <c r="J2104" s="7" t="str">
        <f>IFERROR(_xlfn.XLOOKUP(F2104,ccustos!A:A,ccustos!B:B),"Sem termo")</f>
        <v>Sem termo</v>
      </c>
    </row>
    <row r="2105" spans="1:10" ht="36.75" customHeight="1" x14ac:dyDescent="0.25">
      <c r="A2105" s="16">
        <v>13826</v>
      </c>
      <c r="B2105" s="17" t="s">
        <v>236</v>
      </c>
      <c r="C2105" s="17" t="s">
        <v>380</v>
      </c>
      <c r="D2105" s="17" t="s">
        <v>1396</v>
      </c>
      <c r="E2105" s="17" t="s">
        <v>250</v>
      </c>
      <c r="F2105" s="17" t="s">
        <v>256</v>
      </c>
      <c r="G2105" s="17" t="s">
        <v>1393</v>
      </c>
      <c r="H2105" s="18">
        <v>1250</v>
      </c>
      <c r="I2105" s="18">
        <v>1250</v>
      </c>
      <c r="J2105" s="7" t="str">
        <f>IFERROR(_xlfn.XLOOKUP(F2105,ccustos!A:A,ccustos!B:B),"Sem termo")</f>
        <v>Sem termo</v>
      </c>
    </row>
    <row r="2106" spans="1:10" ht="36.75" customHeight="1" x14ac:dyDescent="0.25">
      <c r="A2106" s="14">
        <v>13827</v>
      </c>
      <c r="B2106" s="7" t="s">
        <v>236</v>
      </c>
      <c r="C2106" s="7" t="s">
        <v>1397</v>
      </c>
      <c r="D2106" s="7" t="s">
        <v>1398</v>
      </c>
      <c r="E2106" s="7" t="s">
        <v>335</v>
      </c>
      <c r="F2106" s="7" t="s">
        <v>256</v>
      </c>
      <c r="G2106" s="7" t="s">
        <v>1399</v>
      </c>
      <c r="H2106" s="15">
        <v>2264.9899999999998</v>
      </c>
      <c r="I2106" s="15">
        <v>2264.9899999999998</v>
      </c>
      <c r="J2106" s="7" t="str">
        <f>IFERROR(_xlfn.XLOOKUP(F2106,ccustos!A:A,ccustos!B:B),"Sem termo")</f>
        <v>Sem termo</v>
      </c>
    </row>
    <row r="2107" spans="1:10" ht="36.75" customHeight="1" x14ac:dyDescent="0.25">
      <c r="A2107" s="16">
        <v>13828</v>
      </c>
      <c r="B2107" s="17" t="s">
        <v>236</v>
      </c>
      <c r="C2107" s="17" t="s">
        <v>1400</v>
      </c>
      <c r="D2107" s="17" t="s">
        <v>1401</v>
      </c>
      <c r="E2107" s="17" t="s">
        <v>318</v>
      </c>
      <c r="F2107" s="17" t="s">
        <v>35</v>
      </c>
      <c r="G2107" s="17" t="s">
        <v>1399</v>
      </c>
      <c r="H2107" s="18">
        <v>1790</v>
      </c>
      <c r="I2107" s="18">
        <v>1790</v>
      </c>
      <c r="J2107" s="7" t="str">
        <f>IFERROR(_xlfn.XLOOKUP(F2107,ccustos!A:A,ccustos!B:B),"Sem termo")</f>
        <v>DEINFRA</v>
      </c>
    </row>
    <row r="2108" spans="1:10" ht="36.75" customHeight="1" x14ac:dyDescent="0.25">
      <c r="A2108" s="14">
        <v>13829</v>
      </c>
      <c r="B2108" s="7" t="s">
        <v>236</v>
      </c>
      <c r="C2108" s="7" t="s">
        <v>1402</v>
      </c>
      <c r="D2108" s="7" t="s">
        <v>1403</v>
      </c>
      <c r="E2108" s="7" t="s">
        <v>318</v>
      </c>
      <c r="F2108" s="7" t="s">
        <v>35</v>
      </c>
      <c r="G2108" s="7" t="s">
        <v>1399</v>
      </c>
      <c r="H2108" s="15">
        <v>590</v>
      </c>
      <c r="I2108" s="15">
        <v>590</v>
      </c>
      <c r="J2108" s="7" t="str">
        <f>IFERROR(_xlfn.XLOOKUP(F2108,ccustos!A:A,ccustos!B:B),"Sem termo")</f>
        <v>DEINFRA</v>
      </c>
    </row>
    <row r="2109" spans="1:10" ht="36.75" customHeight="1" x14ac:dyDescent="0.25">
      <c r="A2109" s="16">
        <v>13830</v>
      </c>
      <c r="B2109" s="17" t="s">
        <v>236</v>
      </c>
      <c r="C2109" s="17" t="s">
        <v>927</v>
      </c>
      <c r="D2109" s="17" t="s">
        <v>1404</v>
      </c>
      <c r="E2109" s="17" t="s">
        <v>250</v>
      </c>
      <c r="F2109" s="17" t="s">
        <v>256</v>
      </c>
      <c r="G2109" s="17" t="s">
        <v>1405</v>
      </c>
      <c r="H2109" s="18">
        <v>3976.66</v>
      </c>
      <c r="I2109" s="18">
        <v>3976.66</v>
      </c>
      <c r="J2109" s="7" t="str">
        <f>IFERROR(_xlfn.XLOOKUP(F2109,ccustos!A:A,ccustos!B:B),"Sem termo")</f>
        <v>Sem termo</v>
      </c>
    </row>
    <row r="2110" spans="1:10" ht="36.75" customHeight="1" x14ac:dyDescent="0.25">
      <c r="A2110" s="14">
        <v>13831</v>
      </c>
      <c r="B2110" s="7" t="s">
        <v>236</v>
      </c>
      <c r="C2110" s="7" t="s">
        <v>927</v>
      </c>
      <c r="D2110" s="7" t="s">
        <v>1404</v>
      </c>
      <c r="E2110" s="7" t="s">
        <v>250</v>
      </c>
      <c r="F2110" s="7" t="s">
        <v>256</v>
      </c>
      <c r="G2110" s="7" t="s">
        <v>1405</v>
      </c>
      <c r="H2110" s="15">
        <v>3976.66</v>
      </c>
      <c r="I2110" s="15">
        <v>3976.66</v>
      </c>
      <c r="J2110" s="7" t="str">
        <f>IFERROR(_xlfn.XLOOKUP(F2110,ccustos!A:A,ccustos!B:B),"Sem termo")</f>
        <v>Sem termo</v>
      </c>
    </row>
    <row r="2111" spans="1:10" ht="36.75" customHeight="1" x14ac:dyDescent="0.25">
      <c r="A2111" s="16">
        <v>13832</v>
      </c>
      <c r="B2111" s="17" t="s">
        <v>236</v>
      </c>
      <c r="C2111" s="17" t="s">
        <v>927</v>
      </c>
      <c r="D2111" s="17" t="s">
        <v>1404</v>
      </c>
      <c r="E2111" s="17" t="s">
        <v>250</v>
      </c>
      <c r="F2111" s="17" t="s">
        <v>256</v>
      </c>
      <c r="G2111" s="17" t="s">
        <v>1405</v>
      </c>
      <c r="H2111" s="18">
        <v>3976.66</v>
      </c>
      <c r="I2111" s="18">
        <v>3976.66</v>
      </c>
      <c r="J2111" s="7" t="str">
        <f>IFERROR(_xlfn.XLOOKUP(F2111,ccustos!A:A,ccustos!B:B),"Sem termo")</f>
        <v>Sem termo</v>
      </c>
    </row>
    <row r="2112" spans="1:10" ht="36.75" customHeight="1" x14ac:dyDescent="0.25">
      <c r="A2112" s="14">
        <v>13833</v>
      </c>
      <c r="B2112" s="7" t="s">
        <v>236</v>
      </c>
      <c r="C2112" s="7" t="s">
        <v>474</v>
      </c>
      <c r="D2112" s="7" t="s">
        <v>1406</v>
      </c>
      <c r="E2112" s="7" t="s">
        <v>250</v>
      </c>
      <c r="F2112" s="7" t="s">
        <v>0</v>
      </c>
      <c r="G2112" s="7" t="s">
        <v>1407</v>
      </c>
      <c r="H2112" s="15">
        <v>319</v>
      </c>
      <c r="I2112" s="15">
        <v>319</v>
      </c>
      <c r="J2112" s="7" t="str">
        <f>IFERROR(_xlfn.XLOOKUP(F2112,ccustos!A:A,ccustos!B:B),"Sem termo")</f>
        <v>SEPAT</v>
      </c>
    </row>
    <row r="2113" spans="1:10" ht="36.75" customHeight="1" x14ac:dyDescent="0.25">
      <c r="A2113" s="16">
        <v>13838</v>
      </c>
      <c r="B2113" s="17" t="s">
        <v>236</v>
      </c>
      <c r="C2113" s="17" t="s">
        <v>1408</v>
      </c>
      <c r="D2113" s="17" t="s">
        <v>1409</v>
      </c>
      <c r="E2113" s="17" t="s">
        <v>1410</v>
      </c>
      <c r="F2113" s="17" t="s">
        <v>1411</v>
      </c>
      <c r="G2113" s="17" t="s">
        <v>1412</v>
      </c>
      <c r="H2113" s="18">
        <v>76500</v>
      </c>
      <c r="I2113" s="18">
        <v>76500</v>
      </c>
      <c r="J2113" s="7" t="str">
        <f>IFERROR(_xlfn.XLOOKUP(F2113,ccustos!A:A,ccustos!B:B),"Sem termo")</f>
        <v>Sem termo</v>
      </c>
    </row>
    <row r="2114" spans="1:10" ht="36.75" customHeight="1" x14ac:dyDescent="0.25">
      <c r="A2114" s="14">
        <v>13841</v>
      </c>
      <c r="B2114" s="7" t="s">
        <v>236</v>
      </c>
      <c r="C2114" s="7" t="s">
        <v>471</v>
      </c>
      <c r="D2114" s="7" t="s">
        <v>1413</v>
      </c>
      <c r="E2114" s="7" t="s">
        <v>335</v>
      </c>
      <c r="F2114" s="7" t="s">
        <v>83</v>
      </c>
      <c r="G2114" s="7" t="s">
        <v>1414</v>
      </c>
      <c r="H2114" s="15">
        <v>300</v>
      </c>
      <c r="I2114" s="15">
        <v>300</v>
      </c>
      <c r="J2114" s="7" t="str">
        <f>IFERROR(_xlfn.XLOOKUP(F2114,ccustos!A:A,ccustos!B:B),"Sem termo")</f>
        <v>GABIN</v>
      </c>
    </row>
    <row r="2115" spans="1:10" ht="36.75" customHeight="1" x14ac:dyDescent="0.25">
      <c r="A2115" s="16">
        <v>13842</v>
      </c>
      <c r="B2115" s="17" t="s">
        <v>236</v>
      </c>
      <c r="C2115" s="17" t="s">
        <v>471</v>
      </c>
      <c r="D2115" s="17" t="s">
        <v>1413</v>
      </c>
      <c r="E2115" s="17" t="s">
        <v>335</v>
      </c>
      <c r="F2115" s="17" t="s">
        <v>70</v>
      </c>
      <c r="G2115" s="17" t="s">
        <v>1414</v>
      </c>
      <c r="H2115" s="18">
        <v>300</v>
      </c>
      <c r="I2115" s="18">
        <v>300</v>
      </c>
      <c r="J2115" s="7" t="str">
        <f>IFERROR(_xlfn.XLOOKUP(F2115,ccustos!A:A,ccustos!B:B),"Sem termo")</f>
        <v>SEBIB</v>
      </c>
    </row>
    <row r="2116" spans="1:10" ht="36.75" customHeight="1" x14ac:dyDescent="0.25">
      <c r="A2116" s="14">
        <v>13843</v>
      </c>
      <c r="B2116" s="7" t="s">
        <v>236</v>
      </c>
      <c r="C2116" s="7" t="s">
        <v>471</v>
      </c>
      <c r="D2116" s="7" t="s">
        <v>1413</v>
      </c>
      <c r="E2116" s="7" t="s">
        <v>335</v>
      </c>
      <c r="F2116" s="7" t="s">
        <v>1125</v>
      </c>
      <c r="G2116" s="7" t="s">
        <v>1414</v>
      </c>
      <c r="H2116" s="15">
        <v>300</v>
      </c>
      <c r="I2116" s="15">
        <v>300</v>
      </c>
      <c r="J2116" s="7" t="str">
        <f>IFERROR(_xlfn.XLOOKUP(F2116,ccustos!A:A,ccustos!B:B),"Sem termo")</f>
        <v>Sem termo</v>
      </c>
    </row>
    <row r="2117" spans="1:10" ht="36.75" customHeight="1" x14ac:dyDescent="0.25">
      <c r="A2117" s="16">
        <v>13844</v>
      </c>
      <c r="B2117" s="17" t="s">
        <v>236</v>
      </c>
      <c r="C2117" s="17" t="s">
        <v>471</v>
      </c>
      <c r="D2117" s="17" t="s">
        <v>1413</v>
      </c>
      <c r="E2117" s="17" t="s">
        <v>335</v>
      </c>
      <c r="F2117" s="17" t="s">
        <v>211</v>
      </c>
      <c r="G2117" s="17" t="s">
        <v>1414</v>
      </c>
      <c r="H2117" s="18">
        <v>300</v>
      </c>
      <c r="I2117" s="18">
        <v>300</v>
      </c>
      <c r="J2117" s="7" t="str">
        <f>IFERROR(_xlfn.XLOOKUP(F2117,ccustos!A:A,ccustos!B:B),"Sem termo")</f>
        <v>DIGEO</v>
      </c>
    </row>
    <row r="2118" spans="1:10" ht="36.75" customHeight="1" x14ac:dyDescent="0.25">
      <c r="A2118" s="14">
        <v>13845</v>
      </c>
      <c r="B2118" s="7" t="s">
        <v>236</v>
      </c>
      <c r="C2118" s="7" t="s">
        <v>471</v>
      </c>
      <c r="D2118" s="7" t="s">
        <v>1413</v>
      </c>
      <c r="E2118" s="7" t="s">
        <v>335</v>
      </c>
      <c r="F2118" s="7" t="s">
        <v>20</v>
      </c>
      <c r="G2118" s="7" t="s">
        <v>1414</v>
      </c>
      <c r="H2118" s="15">
        <v>300</v>
      </c>
      <c r="I2118" s="15">
        <v>300</v>
      </c>
      <c r="J2118" s="7" t="str">
        <f>IFERROR(_xlfn.XLOOKUP(F2118,ccustos!A:A,ccustos!B:B),"Sem termo")</f>
        <v>CGTI</v>
      </c>
    </row>
    <row r="2119" spans="1:10" ht="36.75" customHeight="1" x14ac:dyDescent="0.25">
      <c r="A2119" s="16">
        <v>13846</v>
      </c>
      <c r="B2119" s="17" t="s">
        <v>236</v>
      </c>
      <c r="C2119" s="17" t="s">
        <v>471</v>
      </c>
      <c r="D2119" s="17" t="s">
        <v>1413</v>
      </c>
      <c r="E2119" s="17" t="s">
        <v>335</v>
      </c>
      <c r="F2119" s="17" t="s">
        <v>20</v>
      </c>
      <c r="G2119" s="17" t="s">
        <v>1414</v>
      </c>
      <c r="H2119" s="18">
        <v>300</v>
      </c>
      <c r="I2119" s="18">
        <v>300</v>
      </c>
      <c r="J2119" s="7" t="str">
        <f>IFERROR(_xlfn.XLOOKUP(F2119,ccustos!A:A,ccustos!B:B),"Sem termo")</f>
        <v>CGTI</v>
      </c>
    </row>
    <row r="2120" spans="1:10" ht="36.75" customHeight="1" x14ac:dyDescent="0.25">
      <c r="A2120" s="14">
        <v>13847</v>
      </c>
      <c r="B2120" s="7" t="s">
        <v>236</v>
      </c>
      <c r="C2120" s="7" t="s">
        <v>471</v>
      </c>
      <c r="D2120" s="7" t="s">
        <v>1413</v>
      </c>
      <c r="E2120" s="7" t="s">
        <v>335</v>
      </c>
      <c r="F2120" s="7" t="s">
        <v>205</v>
      </c>
      <c r="G2120" s="7" t="s">
        <v>1414</v>
      </c>
      <c r="H2120" s="15">
        <v>300</v>
      </c>
      <c r="I2120" s="15">
        <v>300</v>
      </c>
      <c r="J2120" s="7" t="str">
        <f>IFERROR(_xlfn.XLOOKUP(F2120,ccustos!A:A,ccustos!B:B),"Sem termo")</f>
        <v>CCOM</v>
      </c>
    </row>
    <row r="2121" spans="1:10" ht="36.75" customHeight="1" x14ac:dyDescent="0.25">
      <c r="A2121" s="16">
        <v>13848</v>
      </c>
      <c r="B2121" s="17" t="s">
        <v>236</v>
      </c>
      <c r="C2121" s="17" t="s">
        <v>471</v>
      </c>
      <c r="D2121" s="17" t="s">
        <v>1413</v>
      </c>
      <c r="E2121" s="17" t="s">
        <v>335</v>
      </c>
      <c r="F2121" s="17" t="s">
        <v>83</v>
      </c>
      <c r="G2121" s="17" t="s">
        <v>1414</v>
      </c>
      <c r="H2121" s="18">
        <v>300</v>
      </c>
      <c r="I2121" s="18">
        <v>300</v>
      </c>
      <c r="J2121" s="7" t="str">
        <f>IFERROR(_xlfn.XLOOKUP(F2121,ccustos!A:A,ccustos!B:B),"Sem termo")</f>
        <v>GABIN</v>
      </c>
    </row>
    <row r="2122" spans="1:10" ht="36.75" customHeight="1" x14ac:dyDescent="0.25">
      <c r="A2122" s="14">
        <v>13849</v>
      </c>
      <c r="B2122" s="7" t="s">
        <v>236</v>
      </c>
      <c r="C2122" s="7" t="s">
        <v>471</v>
      </c>
      <c r="D2122" s="7" t="s">
        <v>1413</v>
      </c>
      <c r="E2122" s="7" t="s">
        <v>335</v>
      </c>
      <c r="F2122" s="7" t="s">
        <v>205</v>
      </c>
      <c r="G2122" s="7" t="s">
        <v>1414</v>
      </c>
      <c r="H2122" s="15">
        <v>300</v>
      </c>
      <c r="I2122" s="15">
        <v>300</v>
      </c>
      <c r="J2122" s="7" t="str">
        <f>IFERROR(_xlfn.XLOOKUP(F2122,ccustos!A:A,ccustos!B:B),"Sem termo")</f>
        <v>CCOM</v>
      </c>
    </row>
    <row r="2123" spans="1:10" ht="36.75" customHeight="1" x14ac:dyDescent="0.25">
      <c r="A2123" s="16">
        <v>13850</v>
      </c>
      <c r="B2123" s="17" t="s">
        <v>236</v>
      </c>
      <c r="C2123" s="17" t="s">
        <v>471</v>
      </c>
      <c r="D2123" s="17" t="s">
        <v>1413</v>
      </c>
      <c r="E2123" s="17" t="s">
        <v>335</v>
      </c>
      <c r="F2123" s="17" t="s">
        <v>20</v>
      </c>
      <c r="G2123" s="17" t="s">
        <v>1414</v>
      </c>
      <c r="H2123" s="18">
        <v>300</v>
      </c>
      <c r="I2123" s="18">
        <v>300</v>
      </c>
      <c r="J2123" s="7" t="str">
        <f>IFERROR(_xlfn.XLOOKUP(F2123,ccustos!A:A,ccustos!B:B),"Sem termo")</f>
        <v>CGTI</v>
      </c>
    </row>
    <row r="2124" spans="1:10" ht="36.75" customHeight="1" x14ac:dyDescent="0.25">
      <c r="A2124" s="14">
        <v>13851</v>
      </c>
      <c r="B2124" s="7" t="s">
        <v>236</v>
      </c>
      <c r="C2124" s="7" t="s">
        <v>1415</v>
      </c>
      <c r="D2124" s="7" t="s">
        <v>1416</v>
      </c>
      <c r="E2124" s="7" t="s">
        <v>250</v>
      </c>
      <c r="F2124" s="7" t="s">
        <v>46</v>
      </c>
      <c r="G2124" s="7" t="s">
        <v>1417</v>
      </c>
      <c r="H2124" s="15">
        <v>79</v>
      </c>
      <c r="I2124" s="15">
        <v>79</v>
      </c>
      <c r="J2124" s="7" t="str">
        <f>IFERROR(_xlfn.XLOOKUP(F2124,ccustos!A:A,ccustos!B:B),"Sem termo")</f>
        <v>CCI</v>
      </c>
    </row>
    <row r="2125" spans="1:10" ht="36.75" customHeight="1" x14ac:dyDescent="0.25">
      <c r="A2125" s="16">
        <v>13852</v>
      </c>
      <c r="B2125" s="17" t="s">
        <v>236</v>
      </c>
      <c r="C2125" s="17" t="s">
        <v>1415</v>
      </c>
      <c r="D2125" s="17" t="s">
        <v>1416</v>
      </c>
      <c r="E2125" s="17" t="s">
        <v>250</v>
      </c>
      <c r="F2125" s="17" t="s">
        <v>67</v>
      </c>
      <c r="G2125" s="17" t="s">
        <v>1417</v>
      </c>
      <c r="H2125" s="18">
        <v>79</v>
      </c>
      <c r="I2125" s="18">
        <v>79</v>
      </c>
      <c r="J2125" s="7" t="str">
        <f>IFERROR(_xlfn.XLOOKUP(F2125,ccustos!A:A,ccustos!B:B),"Sem termo")</f>
        <v>CDPROF</v>
      </c>
    </row>
    <row r="2126" spans="1:10" ht="36.75" customHeight="1" x14ac:dyDescent="0.25">
      <c r="A2126" s="14">
        <v>13853</v>
      </c>
      <c r="B2126" s="7" t="s">
        <v>236</v>
      </c>
      <c r="C2126" s="7" t="s">
        <v>1415</v>
      </c>
      <c r="D2126" s="7" t="s">
        <v>1416</v>
      </c>
      <c r="E2126" s="7" t="s">
        <v>250</v>
      </c>
      <c r="F2126" s="7" t="s">
        <v>40</v>
      </c>
      <c r="G2126" s="7" t="s">
        <v>1417</v>
      </c>
      <c r="H2126" s="15">
        <v>79</v>
      </c>
      <c r="I2126" s="15">
        <v>79</v>
      </c>
      <c r="J2126" s="7" t="str">
        <f>IFERROR(_xlfn.XLOOKUP(F2126,ccustos!A:A,ccustos!B:B),"Sem termo")</f>
        <v>COPI</v>
      </c>
    </row>
    <row r="2127" spans="1:10" ht="36.75" customHeight="1" x14ac:dyDescent="0.25">
      <c r="A2127" s="16">
        <v>13854</v>
      </c>
      <c r="B2127" s="17" t="s">
        <v>236</v>
      </c>
      <c r="C2127" s="17" t="s">
        <v>1415</v>
      </c>
      <c r="D2127" s="17" t="s">
        <v>1416</v>
      </c>
      <c r="E2127" s="17" t="s">
        <v>250</v>
      </c>
      <c r="F2127" s="17" t="s">
        <v>51</v>
      </c>
      <c r="G2127" s="17" t="s">
        <v>1417</v>
      </c>
      <c r="H2127" s="18">
        <v>79</v>
      </c>
      <c r="I2127" s="18">
        <v>79</v>
      </c>
      <c r="J2127" s="7" t="str">
        <f>IFERROR(_xlfn.XLOOKUP(F2127,ccustos!A:A,ccustos!B:B),"Sem termo")</f>
        <v>COREG</v>
      </c>
    </row>
    <row r="2128" spans="1:10" ht="36.75" customHeight="1" x14ac:dyDescent="0.25">
      <c r="A2128" s="14">
        <v>13855</v>
      </c>
      <c r="B2128" s="7" t="s">
        <v>236</v>
      </c>
      <c r="C2128" s="7" t="s">
        <v>1415</v>
      </c>
      <c r="D2128" s="7" t="s">
        <v>1416</v>
      </c>
      <c r="E2128" s="7" t="s">
        <v>250</v>
      </c>
      <c r="F2128" s="7" t="s">
        <v>20</v>
      </c>
      <c r="G2128" s="7" t="s">
        <v>1417</v>
      </c>
      <c r="H2128" s="15">
        <v>79</v>
      </c>
      <c r="I2128" s="15">
        <v>79</v>
      </c>
      <c r="J2128" s="7" t="str">
        <f>IFERROR(_xlfn.XLOOKUP(F2128,ccustos!A:A,ccustos!B:B),"Sem termo")</f>
        <v>CGTI</v>
      </c>
    </row>
    <row r="2129" spans="1:10" ht="36.75" customHeight="1" x14ac:dyDescent="0.25">
      <c r="A2129" s="16">
        <v>13856</v>
      </c>
      <c r="B2129" s="17" t="s">
        <v>236</v>
      </c>
      <c r="C2129" s="17" t="s">
        <v>1415</v>
      </c>
      <c r="D2129" s="17" t="s">
        <v>1416</v>
      </c>
      <c r="E2129" s="17" t="s">
        <v>250</v>
      </c>
      <c r="F2129" s="17" t="s">
        <v>62</v>
      </c>
      <c r="G2129" s="17" t="s">
        <v>1417</v>
      </c>
      <c r="H2129" s="18">
        <v>79</v>
      </c>
      <c r="I2129" s="18">
        <v>79</v>
      </c>
      <c r="J2129" s="7" t="str">
        <f>IFERROR(_xlfn.XLOOKUP(F2129,ccustos!A:A,ccustos!B:B),"Sem termo")</f>
        <v>SETRAN</v>
      </c>
    </row>
    <row r="2130" spans="1:10" ht="36.75" customHeight="1" x14ac:dyDescent="0.25">
      <c r="A2130" s="14">
        <v>13857</v>
      </c>
      <c r="B2130" s="7" t="s">
        <v>236</v>
      </c>
      <c r="C2130" s="7" t="s">
        <v>1415</v>
      </c>
      <c r="D2130" s="7" t="s">
        <v>1416</v>
      </c>
      <c r="E2130" s="7" t="s">
        <v>250</v>
      </c>
      <c r="F2130" s="7" t="s">
        <v>16</v>
      </c>
      <c r="G2130" s="7" t="s">
        <v>1417</v>
      </c>
      <c r="H2130" s="15">
        <v>79</v>
      </c>
      <c r="I2130" s="15">
        <v>79</v>
      </c>
      <c r="J2130" s="7" t="str">
        <f>IFERROR(_xlfn.XLOOKUP(F2130,ccustos!A:A,ccustos!B:B),"Sem termo")</f>
        <v>SEPAT</v>
      </c>
    </row>
    <row r="2131" spans="1:10" ht="36.75" customHeight="1" x14ac:dyDescent="0.25">
      <c r="A2131" s="16">
        <v>13858</v>
      </c>
      <c r="B2131" s="17" t="s">
        <v>236</v>
      </c>
      <c r="C2131" s="17" t="s">
        <v>1415</v>
      </c>
      <c r="D2131" s="17" t="s">
        <v>1416</v>
      </c>
      <c r="E2131" s="17" t="s">
        <v>250</v>
      </c>
      <c r="F2131" s="17" t="s">
        <v>8</v>
      </c>
      <c r="G2131" s="17" t="s">
        <v>1417</v>
      </c>
      <c r="H2131" s="18">
        <v>79</v>
      </c>
      <c r="I2131" s="18">
        <v>79</v>
      </c>
      <c r="J2131" s="7" t="str">
        <f>IFERROR(_xlfn.XLOOKUP(F2131,ccustos!A:A,ccustos!B:B),"Sem termo")</f>
        <v>DEINFRA</v>
      </c>
    </row>
    <row r="2132" spans="1:10" ht="36.75" customHeight="1" x14ac:dyDescent="0.25">
      <c r="A2132" s="14">
        <v>13859</v>
      </c>
      <c r="B2132" s="7" t="s">
        <v>236</v>
      </c>
      <c r="C2132" s="7" t="s">
        <v>1017</v>
      </c>
      <c r="D2132" s="7" t="s">
        <v>1418</v>
      </c>
      <c r="E2132" s="7" t="s">
        <v>250</v>
      </c>
      <c r="F2132" s="7" t="s">
        <v>8</v>
      </c>
      <c r="G2132" s="7" t="s">
        <v>1419</v>
      </c>
      <c r="H2132" s="15">
        <v>346.98</v>
      </c>
      <c r="I2132" s="15">
        <v>346.98</v>
      </c>
      <c r="J2132" s="7" t="str">
        <f>IFERROR(_xlfn.XLOOKUP(F2132,ccustos!A:A,ccustos!B:B),"Sem termo")</f>
        <v>DEINFRA</v>
      </c>
    </row>
    <row r="2133" spans="1:10" ht="36.75" customHeight="1" x14ac:dyDescent="0.25">
      <c r="A2133" s="16">
        <v>13860</v>
      </c>
      <c r="B2133" s="17" t="s">
        <v>236</v>
      </c>
      <c r="C2133" s="17" t="s">
        <v>1215</v>
      </c>
      <c r="D2133" s="17" t="s">
        <v>1420</v>
      </c>
      <c r="E2133" s="17" t="s">
        <v>335</v>
      </c>
      <c r="F2133" s="17" t="s">
        <v>78</v>
      </c>
      <c r="G2133" s="17" t="s">
        <v>1421</v>
      </c>
      <c r="H2133" s="18">
        <v>68000</v>
      </c>
      <c r="I2133" s="18">
        <v>68000</v>
      </c>
      <c r="J2133" s="7" t="str">
        <f>IFERROR(_xlfn.XLOOKUP(F2133,ccustos!A:A,ccustos!B:B),"Sem termo")</f>
        <v>CGTI</v>
      </c>
    </row>
    <row r="2134" spans="1:10" ht="36.75" customHeight="1" x14ac:dyDescent="0.25">
      <c r="A2134" s="14">
        <v>13861</v>
      </c>
      <c r="B2134" s="7" t="s">
        <v>236</v>
      </c>
      <c r="C2134" s="7" t="s">
        <v>881</v>
      </c>
      <c r="D2134" s="7" t="s">
        <v>1422</v>
      </c>
      <c r="E2134" s="7" t="s">
        <v>335</v>
      </c>
      <c r="F2134" s="7" t="s">
        <v>78</v>
      </c>
      <c r="G2134" s="7" t="s">
        <v>1421</v>
      </c>
      <c r="H2134" s="15">
        <v>24001</v>
      </c>
      <c r="I2134" s="15">
        <v>24001</v>
      </c>
      <c r="J2134" s="7" t="str">
        <f>IFERROR(_xlfn.XLOOKUP(F2134,ccustos!A:A,ccustos!B:B),"Sem termo")</f>
        <v>CGTI</v>
      </c>
    </row>
    <row r="2135" spans="1:10" ht="36.75" customHeight="1" x14ac:dyDescent="0.25">
      <c r="A2135" s="16">
        <v>13862</v>
      </c>
      <c r="B2135" s="17" t="s">
        <v>236</v>
      </c>
      <c r="C2135" s="17" t="s">
        <v>881</v>
      </c>
      <c r="D2135" s="17" t="s">
        <v>1422</v>
      </c>
      <c r="E2135" s="17" t="s">
        <v>335</v>
      </c>
      <c r="F2135" s="17" t="s">
        <v>78</v>
      </c>
      <c r="G2135" s="17" t="s">
        <v>1421</v>
      </c>
      <c r="H2135" s="18">
        <v>24001</v>
      </c>
      <c r="I2135" s="18">
        <v>24001</v>
      </c>
      <c r="J2135" s="7" t="str">
        <f>IFERROR(_xlfn.XLOOKUP(F2135,ccustos!A:A,ccustos!B:B),"Sem termo")</f>
        <v>CGTI</v>
      </c>
    </row>
    <row r="2136" spans="1:10" ht="25.5" customHeight="1" x14ac:dyDescent="0.25">
      <c r="A2136" s="14">
        <v>13863</v>
      </c>
      <c r="B2136" s="7" t="s">
        <v>236</v>
      </c>
      <c r="C2136" s="7" t="s">
        <v>881</v>
      </c>
      <c r="D2136" s="7" t="s">
        <v>1422</v>
      </c>
      <c r="E2136" s="7" t="s">
        <v>335</v>
      </c>
      <c r="F2136" s="7" t="s">
        <v>78</v>
      </c>
      <c r="G2136" s="7" t="s">
        <v>1421</v>
      </c>
      <c r="H2136" s="15">
        <v>24001</v>
      </c>
      <c r="I2136" s="15">
        <v>24001</v>
      </c>
      <c r="J2136" s="7" t="str">
        <f>IFERROR(_xlfn.XLOOKUP(F2136,ccustos!A:A,ccustos!B:B),"Sem termo")</f>
        <v>CGTI</v>
      </c>
    </row>
    <row r="2137" spans="1:10" ht="36.75" customHeight="1" x14ac:dyDescent="0.25">
      <c r="A2137" s="16">
        <v>13864</v>
      </c>
      <c r="B2137" s="17" t="s">
        <v>236</v>
      </c>
      <c r="C2137" s="17" t="s">
        <v>881</v>
      </c>
      <c r="D2137" s="17" t="s">
        <v>1422</v>
      </c>
      <c r="E2137" s="17" t="s">
        <v>335</v>
      </c>
      <c r="F2137" s="17" t="s">
        <v>78</v>
      </c>
      <c r="G2137" s="17" t="s">
        <v>1421</v>
      </c>
      <c r="H2137" s="18">
        <v>24001</v>
      </c>
      <c r="I2137" s="18">
        <v>24001</v>
      </c>
      <c r="J2137" s="7" t="str">
        <f>IFERROR(_xlfn.XLOOKUP(F2137,ccustos!A:A,ccustos!B:B),"Sem termo")</f>
        <v>CGTI</v>
      </c>
    </row>
    <row r="2138" spans="1:10" ht="25.5" customHeight="1" x14ac:dyDescent="0.25">
      <c r="A2138" s="14">
        <v>13865</v>
      </c>
      <c r="B2138" s="7" t="s">
        <v>236</v>
      </c>
      <c r="C2138" s="7" t="s">
        <v>881</v>
      </c>
      <c r="D2138" s="7" t="s">
        <v>1422</v>
      </c>
      <c r="E2138" s="7" t="s">
        <v>335</v>
      </c>
      <c r="F2138" s="7" t="s">
        <v>78</v>
      </c>
      <c r="G2138" s="7" t="s">
        <v>1421</v>
      </c>
      <c r="H2138" s="15">
        <v>24001</v>
      </c>
      <c r="I2138" s="15">
        <v>24001</v>
      </c>
      <c r="J2138" s="7" t="str">
        <f>IFERROR(_xlfn.XLOOKUP(F2138,ccustos!A:A,ccustos!B:B),"Sem termo")</f>
        <v>CGTI</v>
      </c>
    </row>
    <row r="2139" spans="1:10" ht="25.5" customHeight="1" x14ac:dyDescent="0.25">
      <c r="A2139" s="16">
        <v>13866</v>
      </c>
      <c r="B2139" s="17" t="s">
        <v>236</v>
      </c>
      <c r="C2139" s="17" t="s">
        <v>881</v>
      </c>
      <c r="D2139" s="17" t="s">
        <v>1422</v>
      </c>
      <c r="E2139" s="17" t="s">
        <v>335</v>
      </c>
      <c r="F2139" s="17" t="s">
        <v>78</v>
      </c>
      <c r="G2139" s="17" t="s">
        <v>1421</v>
      </c>
      <c r="H2139" s="18">
        <v>24001</v>
      </c>
      <c r="I2139" s="18">
        <v>24001</v>
      </c>
      <c r="J2139" s="7" t="str">
        <f>IFERROR(_xlfn.XLOOKUP(F2139,ccustos!A:A,ccustos!B:B),"Sem termo")</f>
        <v>CGTI</v>
      </c>
    </row>
    <row r="2140" spans="1:10" ht="36.75" customHeight="1" x14ac:dyDescent="0.25">
      <c r="A2140" s="14">
        <v>13867</v>
      </c>
      <c r="B2140" s="7" t="s">
        <v>236</v>
      </c>
      <c r="C2140" s="7" t="s">
        <v>881</v>
      </c>
      <c r="D2140" s="7" t="s">
        <v>1422</v>
      </c>
      <c r="E2140" s="7" t="s">
        <v>335</v>
      </c>
      <c r="F2140" s="7" t="s">
        <v>78</v>
      </c>
      <c r="G2140" s="7" t="s">
        <v>1421</v>
      </c>
      <c r="H2140" s="15">
        <v>24001</v>
      </c>
      <c r="I2140" s="15">
        <v>24001</v>
      </c>
      <c r="J2140" s="7" t="str">
        <f>IFERROR(_xlfn.XLOOKUP(F2140,ccustos!A:A,ccustos!B:B),"Sem termo")</f>
        <v>CGTI</v>
      </c>
    </row>
    <row r="2141" spans="1:10" ht="36.75" customHeight="1" x14ac:dyDescent="0.25">
      <c r="A2141" s="16">
        <v>13868</v>
      </c>
      <c r="B2141" s="17" t="s">
        <v>236</v>
      </c>
      <c r="C2141" s="17" t="s">
        <v>881</v>
      </c>
      <c r="D2141" s="17" t="s">
        <v>1422</v>
      </c>
      <c r="E2141" s="17" t="s">
        <v>335</v>
      </c>
      <c r="F2141" s="17" t="s">
        <v>78</v>
      </c>
      <c r="G2141" s="17" t="s">
        <v>1421</v>
      </c>
      <c r="H2141" s="18">
        <v>24001</v>
      </c>
      <c r="I2141" s="18">
        <v>24001</v>
      </c>
      <c r="J2141" s="7" t="str">
        <f>IFERROR(_xlfn.XLOOKUP(F2141,ccustos!A:A,ccustos!B:B),"Sem termo")</f>
        <v>CGTI</v>
      </c>
    </row>
    <row r="2142" spans="1:10" ht="36.75" customHeight="1" x14ac:dyDescent="0.25">
      <c r="A2142" s="14">
        <v>13869</v>
      </c>
      <c r="B2142" s="7" t="s">
        <v>236</v>
      </c>
      <c r="C2142" s="7" t="s">
        <v>1149</v>
      </c>
      <c r="D2142" s="7" t="s">
        <v>1423</v>
      </c>
      <c r="E2142" s="7" t="s">
        <v>250</v>
      </c>
      <c r="F2142" s="7" t="s">
        <v>1</v>
      </c>
      <c r="G2142" s="7" t="s">
        <v>1424</v>
      </c>
      <c r="H2142" s="15">
        <v>3700</v>
      </c>
      <c r="I2142" s="15">
        <v>3700</v>
      </c>
      <c r="J2142" s="7" t="str">
        <f>IFERROR(_xlfn.XLOOKUP(F2142,ccustos!A:A,ccustos!B:B),"Sem termo")</f>
        <v>SEPAT</v>
      </c>
    </row>
    <row r="2143" spans="1:10" ht="25.5" customHeight="1" x14ac:dyDescent="0.25">
      <c r="A2143" s="16">
        <v>13872</v>
      </c>
      <c r="B2143" s="17" t="s">
        <v>236</v>
      </c>
      <c r="C2143" s="17" t="s">
        <v>306</v>
      </c>
      <c r="D2143" s="17" t="s">
        <v>1425</v>
      </c>
      <c r="E2143" s="17" t="s">
        <v>239</v>
      </c>
      <c r="F2143" s="17" t="s">
        <v>211</v>
      </c>
      <c r="G2143" s="17" t="s">
        <v>1426</v>
      </c>
      <c r="H2143" s="18">
        <v>1245</v>
      </c>
      <c r="I2143" s="18">
        <v>1245</v>
      </c>
      <c r="J2143" s="7" t="str">
        <f>IFERROR(_xlfn.XLOOKUP(F2143,ccustos!A:A,ccustos!B:B),"Sem termo")</f>
        <v>DIGEO</v>
      </c>
    </row>
    <row r="2144" spans="1:10" ht="25.5" customHeight="1" x14ac:dyDescent="0.25">
      <c r="A2144" s="14">
        <v>13873</v>
      </c>
      <c r="B2144" s="7" t="s">
        <v>236</v>
      </c>
      <c r="C2144" s="7" t="s">
        <v>306</v>
      </c>
      <c r="D2144" s="7" t="s">
        <v>1425</v>
      </c>
      <c r="E2144" s="7" t="s">
        <v>239</v>
      </c>
      <c r="F2144" s="7" t="s">
        <v>211</v>
      </c>
      <c r="G2144" s="7" t="s">
        <v>1426</v>
      </c>
      <c r="H2144" s="15">
        <v>1245</v>
      </c>
      <c r="I2144" s="15">
        <v>1245</v>
      </c>
      <c r="J2144" s="7" t="str">
        <f>IFERROR(_xlfn.XLOOKUP(F2144,ccustos!A:A,ccustos!B:B),"Sem termo")</f>
        <v>DIGEO</v>
      </c>
    </row>
    <row r="2145" spans="1:10" ht="25.5" customHeight="1" x14ac:dyDescent="0.25">
      <c r="A2145" s="16">
        <v>13874</v>
      </c>
      <c r="B2145" s="17" t="s">
        <v>236</v>
      </c>
      <c r="C2145" s="17" t="s">
        <v>306</v>
      </c>
      <c r="D2145" s="17" t="s">
        <v>1427</v>
      </c>
      <c r="E2145" s="17" t="s">
        <v>239</v>
      </c>
      <c r="F2145" s="17" t="s">
        <v>1125</v>
      </c>
      <c r="G2145" s="17" t="s">
        <v>1426</v>
      </c>
      <c r="H2145" s="18">
        <v>730</v>
      </c>
      <c r="I2145" s="18">
        <v>730</v>
      </c>
      <c r="J2145" s="7" t="str">
        <f>IFERROR(_xlfn.XLOOKUP(F2145,ccustos!A:A,ccustos!B:B),"Sem termo")</f>
        <v>Sem termo</v>
      </c>
    </row>
    <row r="2146" spans="1:10" ht="25.5" customHeight="1" x14ac:dyDescent="0.25">
      <c r="A2146" s="14">
        <v>13875</v>
      </c>
      <c r="B2146" s="7" t="s">
        <v>236</v>
      </c>
      <c r="C2146" s="7" t="s">
        <v>306</v>
      </c>
      <c r="D2146" s="7" t="s">
        <v>1427</v>
      </c>
      <c r="E2146" s="7" t="s">
        <v>239</v>
      </c>
      <c r="F2146" s="7" t="s">
        <v>1125</v>
      </c>
      <c r="G2146" s="7" t="s">
        <v>1426</v>
      </c>
      <c r="H2146" s="15">
        <v>730</v>
      </c>
      <c r="I2146" s="15">
        <v>730</v>
      </c>
      <c r="J2146" s="7" t="str">
        <f>IFERROR(_xlfn.XLOOKUP(F2146,ccustos!A:A,ccustos!B:B),"Sem termo")</f>
        <v>Sem termo</v>
      </c>
    </row>
    <row r="2147" spans="1:10" ht="25.5" customHeight="1" x14ac:dyDescent="0.25">
      <c r="A2147" s="16">
        <v>13876</v>
      </c>
      <c r="B2147" s="17" t="s">
        <v>236</v>
      </c>
      <c r="C2147" s="17" t="s">
        <v>306</v>
      </c>
      <c r="D2147" s="17" t="s">
        <v>1427</v>
      </c>
      <c r="E2147" s="17" t="s">
        <v>239</v>
      </c>
      <c r="F2147" s="17" t="s">
        <v>256</v>
      </c>
      <c r="G2147" s="17" t="s">
        <v>1426</v>
      </c>
      <c r="H2147" s="18">
        <v>730</v>
      </c>
      <c r="I2147" s="18">
        <v>730</v>
      </c>
      <c r="J2147" s="7" t="str">
        <f>IFERROR(_xlfn.XLOOKUP(F2147,ccustos!A:A,ccustos!B:B),"Sem termo")</f>
        <v>Sem termo</v>
      </c>
    </row>
    <row r="2148" spans="1:10" ht="25.5" customHeight="1" x14ac:dyDescent="0.25">
      <c r="A2148" s="14">
        <v>13877</v>
      </c>
      <c r="B2148" s="7" t="s">
        <v>236</v>
      </c>
      <c r="C2148" s="7" t="s">
        <v>306</v>
      </c>
      <c r="D2148" s="7" t="s">
        <v>1427</v>
      </c>
      <c r="E2148" s="7" t="s">
        <v>239</v>
      </c>
      <c r="F2148" s="7" t="s">
        <v>1125</v>
      </c>
      <c r="G2148" s="7" t="s">
        <v>1426</v>
      </c>
      <c r="H2148" s="15">
        <v>730</v>
      </c>
      <c r="I2148" s="15">
        <v>730</v>
      </c>
      <c r="J2148" s="7" t="str">
        <f>IFERROR(_xlfn.XLOOKUP(F2148,ccustos!A:A,ccustos!B:B),"Sem termo")</f>
        <v>Sem termo</v>
      </c>
    </row>
    <row r="2149" spans="1:10" ht="25.5" customHeight="1" x14ac:dyDescent="0.25">
      <c r="A2149" s="16">
        <v>13878</v>
      </c>
      <c r="B2149" s="17" t="s">
        <v>236</v>
      </c>
      <c r="C2149" s="17" t="s">
        <v>306</v>
      </c>
      <c r="D2149" s="17" t="s">
        <v>1427</v>
      </c>
      <c r="E2149" s="17" t="s">
        <v>239</v>
      </c>
      <c r="F2149" s="17" t="s">
        <v>1125</v>
      </c>
      <c r="G2149" s="17" t="s">
        <v>1426</v>
      </c>
      <c r="H2149" s="18">
        <v>730</v>
      </c>
      <c r="I2149" s="18">
        <v>730</v>
      </c>
      <c r="J2149" s="7" t="str">
        <f>IFERROR(_xlfn.XLOOKUP(F2149,ccustos!A:A,ccustos!B:B),"Sem termo")</f>
        <v>Sem termo</v>
      </c>
    </row>
    <row r="2150" spans="1:10" ht="25.5" customHeight="1" x14ac:dyDescent="0.25">
      <c r="A2150" s="14">
        <v>13879</v>
      </c>
      <c r="B2150" s="7" t="s">
        <v>236</v>
      </c>
      <c r="C2150" s="7" t="s">
        <v>306</v>
      </c>
      <c r="D2150" s="7" t="s">
        <v>1427</v>
      </c>
      <c r="E2150" s="7" t="s">
        <v>239</v>
      </c>
      <c r="F2150" s="7" t="s">
        <v>1125</v>
      </c>
      <c r="G2150" s="7" t="s">
        <v>1426</v>
      </c>
      <c r="H2150" s="15">
        <v>730</v>
      </c>
      <c r="I2150" s="15">
        <v>730</v>
      </c>
      <c r="J2150" s="7" t="str">
        <f>IFERROR(_xlfn.XLOOKUP(F2150,ccustos!A:A,ccustos!B:B),"Sem termo")</f>
        <v>Sem termo</v>
      </c>
    </row>
    <row r="2151" spans="1:10" ht="25.5" customHeight="1" x14ac:dyDescent="0.25">
      <c r="A2151" s="16">
        <v>13880</v>
      </c>
      <c r="B2151" s="17" t="s">
        <v>236</v>
      </c>
      <c r="C2151" s="17" t="s">
        <v>306</v>
      </c>
      <c r="D2151" s="17" t="s">
        <v>1427</v>
      </c>
      <c r="E2151" s="17" t="s">
        <v>239</v>
      </c>
      <c r="F2151" s="17" t="s">
        <v>1125</v>
      </c>
      <c r="G2151" s="17" t="s">
        <v>1426</v>
      </c>
      <c r="H2151" s="18">
        <v>730</v>
      </c>
      <c r="I2151" s="18">
        <v>730</v>
      </c>
      <c r="J2151" s="7" t="str">
        <f>IFERROR(_xlfn.XLOOKUP(F2151,ccustos!A:A,ccustos!B:B),"Sem termo")</f>
        <v>Sem termo</v>
      </c>
    </row>
    <row r="2152" spans="1:10" ht="25.5" customHeight="1" x14ac:dyDescent="0.25">
      <c r="A2152" s="14">
        <v>13881</v>
      </c>
      <c r="B2152" s="7" t="s">
        <v>236</v>
      </c>
      <c r="C2152" s="7" t="s">
        <v>306</v>
      </c>
      <c r="D2152" s="7" t="s">
        <v>1427</v>
      </c>
      <c r="E2152" s="7" t="s">
        <v>239</v>
      </c>
      <c r="F2152" s="7" t="s">
        <v>1125</v>
      </c>
      <c r="G2152" s="7" t="s">
        <v>1426</v>
      </c>
      <c r="H2152" s="15">
        <v>730</v>
      </c>
      <c r="I2152" s="15">
        <v>730</v>
      </c>
      <c r="J2152" s="7" t="str">
        <f>IFERROR(_xlfn.XLOOKUP(F2152,ccustos!A:A,ccustos!B:B),"Sem termo")</f>
        <v>Sem termo</v>
      </c>
    </row>
    <row r="2153" spans="1:10" ht="36.75" customHeight="1" x14ac:dyDescent="0.25">
      <c r="A2153" s="16">
        <v>13882</v>
      </c>
      <c r="B2153" s="17" t="s">
        <v>236</v>
      </c>
      <c r="C2153" s="17" t="s">
        <v>306</v>
      </c>
      <c r="D2153" s="17" t="s">
        <v>1427</v>
      </c>
      <c r="E2153" s="17" t="s">
        <v>239</v>
      </c>
      <c r="F2153" s="17" t="s">
        <v>213</v>
      </c>
      <c r="G2153" s="17" t="s">
        <v>1426</v>
      </c>
      <c r="H2153" s="18">
        <v>730</v>
      </c>
      <c r="I2153" s="18">
        <v>730</v>
      </c>
      <c r="J2153" s="7" t="str">
        <f>IFERROR(_xlfn.XLOOKUP(F2153,ccustos!A:A,ccustos!B:B),"Sem termo")</f>
        <v>DIEPG</v>
      </c>
    </row>
    <row r="2154" spans="1:10" ht="25.5" customHeight="1" x14ac:dyDescent="0.25">
      <c r="A2154" s="14">
        <v>13883</v>
      </c>
      <c r="B2154" s="7" t="s">
        <v>236</v>
      </c>
      <c r="C2154" s="7" t="s">
        <v>306</v>
      </c>
      <c r="D2154" s="7" t="s">
        <v>1427</v>
      </c>
      <c r="E2154" s="7" t="s">
        <v>239</v>
      </c>
      <c r="F2154" s="7" t="s">
        <v>211</v>
      </c>
      <c r="G2154" s="7" t="s">
        <v>1426</v>
      </c>
      <c r="H2154" s="15">
        <v>730</v>
      </c>
      <c r="I2154" s="15">
        <v>730</v>
      </c>
      <c r="J2154" s="7" t="str">
        <f>IFERROR(_xlfn.XLOOKUP(F2154,ccustos!A:A,ccustos!B:B),"Sem termo")</f>
        <v>DIGEO</v>
      </c>
    </row>
    <row r="2155" spans="1:10" ht="36.75" customHeight="1" x14ac:dyDescent="0.25">
      <c r="A2155" s="16">
        <v>13884</v>
      </c>
      <c r="B2155" s="17" t="s">
        <v>236</v>
      </c>
      <c r="C2155" s="17" t="s">
        <v>306</v>
      </c>
      <c r="D2155" s="17" t="s">
        <v>1427</v>
      </c>
      <c r="E2155" s="17" t="s">
        <v>239</v>
      </c>
      <c r="F2155" s="17" t="s">
        <v>213</v>
      </c>
      <c r="G2155" s="17" t="s">
        <v>1426</v>
      </c>
      <c r="H2155" s="18">
        <v>730</v>
      </c>
      <c r="I2155" s="18">
        <v>730</v>
      </c>
      <c r="J2155" s="7" t="str">
        <f>IFERROR(_xlfn.XLOOKUP(F2155,ccustos!A:A,ccustos!B:B),"Sem termo")</f>
        <v>DIEPG</v>
      </c>
    </row>
    <row r="2156" spans="1:10" ht="25.5" customHeight="1" x14ac:dyDescent="0.25">
      <c r="A2156" s="14">
        <v>13885</v>
      </c>
      <c r="B2156" s="7" t="s">
        <v>236</v>
      </c>
      <c r="C2156" s="7" t="s">
        <v>306</v>
      </c>
      <c r="D2156" s="7" t="s">
        <v>1428</v>
      </c>
      <c r="E2156" s="7" t="s">
        <v>239</v>
      </c>
      <c r="F2156" s="7" t="s">
        <v>213</v>
      </c>
      <c r="G2156" s="7" t="s">
        <v>1426</v>
      </c>
      <c r="H2156" s="15">
        <v>916</v>
      </c>
      <c r="I2156" s="15">
        <v>916</v>
      </c>
      <c r="J2156" s="7" t="str">
        <f>IFERROR(_xlfn.XLOOKUP(F2156,ccustos!A:A,ccustos!B:B),"Sem termo")</f>
        <v>DIEPG</v>
      </c>
    </row>
    <row r="2157" spans="1:10" ht="36.75" customHeight="1" x14ac:dyDescent="0.25">
      <c r="A2157" s="16">
        <v>13886</v>
      </c>
      <c r="B2157" s="17" t="s">
        <v>236</v>
      </c>
      <c r="C2157" s="17" t="s">
        <v>306</v>
      </c>
      <c r="D2157" s="17" t="s">
        <v>1428</v>
      </c>
      <c r="E2157" s="17" t="s">
        <v>239</v>
      </c>
      <c r="F2157" s="17" t="s">
        <v>83</v>
      </c>
      <c r="G2157" s="17" t="s">
        <v>1426</v>
      </c>
      <c r="H2157" s="18">
        <v>916</v>
      </c>
      <c r="I2157" s="18">
        <v>916</v>
      </c>
      <c r="J2157" s="7" t="str">
        <f>IFERROR(_xlfn.XLOOKUP(F2157,ccustos!A:A,ccustos!B:B),"Sem termo")</f>
        <v>GABIN</v>
      </c>
    </row>
    <row r="2158" spans="1:10" ht="25.5" customHeight="1" x14ac:dyDescent="0.25">
      <c r="A2158" s="14">
        <v>13887</v>
      </c>
      <c r="B2158" s="7" t="s">
        <v>236</v>
      </c>
      <c r="C2158" s="7" t="s">
        <v>241</v>
      </c>
      <c r="D2158" s="7" t="s">
        <v>1429</v>
      </c>
      <c r="E2158" s="7" t="s">
        <v>239</v>
      </c>
      <c r="F2158" s="7" t="s">
        <v>1125</v>
      </c>
      <c r="G2158" s="7" t="s">
        <v>1426</v>
      </c>
      <c r="H2158" s="15">
        <v>7711</v>
      </c>
      <c r="I2158" s="15">
        <v>7711</v>
      </c>
      <c r="J2158" s="7" t="str">
        <f>IFERROR(_xlfn.XLOOKUP(F2158,ccustos!A:A,ccustos!B:B),"Sem termo")</f>
        <v>Sem termo</v>
      </c>
    </row>
    <row r="2159" spans="1:10" ht="36.75" customHeight="1" x14ac:dyDescent="0.25">
      <c r="A2159" s="16">
        <v>13888</v>
      </c>
      <c r="B2159" s="17" t="s">
        <v>236</v>
      </c>
      <c r="C2159" s="17" t="s">
        <v>337</v>
      </c>
      <c r="D2159" s="17" t="s">
        <v>1430</v>
      </c>
      <c r="E2159" s="17" t="s">
        <v>239</v>
      </c>
      <c r="F2159" s="17" t="s">
        <v>83</v>
      </c>
      <c r="G2159" s="17" t="s">
        <v>1426</v>
      </c>
      <c r="H2159" s="18">
        <v>851</v>
      </c>
      <c r="I2159" s="18">
        <v>851</v>
      </c>
      <c r="J2159" s="7" t="str">
        <f>IFERROR(_xlfn.XLOOKUP(F2159,ccustos!A:A,ccustos!B:B),"Sem termo")</f>
        <v>GABIN</v>
      </c>
    </row>
    <row r="2160" spans="1:10" ht="36.75" customHeight="1" x14ac:dyDescent="0.25">
      <c r="A2160" s="14">
        <v>13889</v>
      </c>
      <c r="B2160" s="7" t="s">
        <v>236</v>
      </c>
      <c r="C2160" s="7" t="s">
        <v>337</v>
      </c>
      <c r="D2160" s="7" t="s">
        <v>1430</v>
      </c>
      <c r="E2160" s="7" t="s">
        <v>239</v>
      </c>
      <c r="F2160" s="7" t="s">
        <v>83</v>
      </c>
      <c r="G2160" s="7" t="s">
        <v>1426</v>
      </c>
      <c r="H2160" s="15">
        <v>851</v>
      </c>
      <c r="I2160" s="15">
        <v>851</v>
      </c>
      <c r="J2160" s="7" t="str">
        <f>IFERROR(_xlfn.XLOOKUP(F2160,ccustos!A:A,ccustos!B:B),"Sem termo")</f>
        <v>GABIN</v>
      </c>
    </row>
    <row r="2161" spans="1:10" ht="25.5" customHeight="1" x14ac:dyDescent="0.25">
      <c r="A2161" s="16">
        <v>13890</v>
      </c>
      <c r="B2161" s="17" t="s">
        <v>236</v>
      </c>
      <c r="C2161" s="17" t="s">
        <v>241</v>
      </c>
      <c r="D2161" s="17" t="s">
        <v>1431</v>
      </c>
      <c r="E2161" s="17" t="s">
        <v>239</v>
      </c>
      <c r="F2161" s="17" t="s">
        <v>1125</v>
      </c>
      <c r="G2161" s="17" t="s">
        <v>1426</v>
      </c>
      <c r="H2161" s="18">
        <v>526</v>
      </c>
      <c r="I2161" s="18">
        <v>526</v>
      </c>
      <c r="J2161" s="7" t="str">
        <f>IFERROR(_xlfn.XLOOKUP(F2161,ccustos!A:A,ccustos!B:B),"Sem termo")</f>
        <v>Sem termo</v>
      </c>
    </row>
    <row r="2162" spans="1:10" ht="14.25" customHeight="1" x14ac:dyDescent="0.25">
      <c r="A2162" s="14">
        <v>13891</v>
      </c>
      <c r="B2162" s="7" t="s">
        <v>236</v>
      </c>
      <c r="C2162" s="7" t="s">
        <v>241</v>
      </c>
      <c r="D2162" s="7" t="s">
        <v>1431</v>
      </c>
      <c r="E2162" s="7" t="s">
        <v>239</v>
      </c>
      <c r="F2162" s="7" t="s">
        <v>1125</v>
      </c>
      <c r="G2162" s="7" t="s">
        <v>1426</v>
      </c>
      <c r="H2162" s="15">
        <v>526</v>
      </c>
      <c r="I2162" s="15">
        <v>526</v>
      </c>
      <c r="J2162" s="7" t="str">
        <f>IFERROR(_xlfn.XLOOKUP(F2162,ccustos!A:A,ccustos!B:B),"Sem termo")</f>
        <v>Sem termo</v>
      </c>
    </row>
    <row r="2163" spans="1:10" ht="25.5" customHeight="1" x14ac:dyDescent="0.25">
      <c r="A2163" s="16">
        <v>13892</v>
      </c>
      <c r="B2163" s="17" t="s">
        <v>236</v>
      </c>
      <c r="C2163" s="17" t="s">
        <v>241</v>
      </c>
      <c r="D2163" s="17" t="s">
        <v>1432</v>
      </c>
      <c r="E2163" s="17" t="s">
        <v>239</v>
      </c>
      <c r="F2163" s="17" t="s">
        <v>213</v>
      </c>
      <c r="G2163" s="17" t="s">
        <v>1426</v>
      </c>
      <c r="H2163" s="18">
        <v>966</v>
      </c>
      <c r="I2163" s="18">
        <v>966</v>
      </c>
      <c r="J2163" s="7" t="str">
        <f>IFERROR(_xlfn.XLOOKUP(F2163,ccustos!A:A,ccustos!B:B),"Sem termo")</f>
        <v>DIEPG</v>
      </c>
    </row>
    <row r="2164" spans="1:10" ht="36.75" customHeight="1" x14ac:dyDescent="0.25">
      <c r="A2164" s="14">
        <v>13893</v>
      </c>
      <c r="B2164" s="7" t="s">
        <v>236</v>
      </c>
      <c r="C2164" s="7" t="s">
        <v>241</v>
      </c>
      <c r="D2164" s="7" t="s">
        <v>1432</v>
      </c>
      <c r="E2164" s="7" t="s">
        <v>239</v>
      </c>
      <c r="F2164" s="7" t="s">
        <v>1372</v>
      </c>
      <c r="G2164" s="7" t="s">
        <v>1426</v>
      </c>
      <c r="H2164" s="15">
        <v>966</v>
      </c>
      <c r="I2164" s="15">
        <v>966</v>
      </c>
      <c r="J2164" s="7" t="str">
        <f>IFERROR(_xlfn.XLOOKUP(F2164,ccustos!A:A,ccustos!B:B),"Sem termo")</f>
        <v>Sem termo</v>
      </c>
    </row>
    <row r="2165" spans="1:10" ht="25.5" customHeight="1" x14ac:dyDescent="0.25">
      <c r="A2165" s="16">
        <v>13894</v>
      </c>
      <c r="B2165" s="17" t="s">
        <v>236</v>
      </c>
      <c r="C2165" s="17" t="s">
        <v>306</v>
      </c>
      <c r="D2165" s="17" t="s">
        <v>1433</v>
      </c>
      <c r="E2165" s="17" t="s">
        <v>239</v>
      </c>
      <c r="F2165" s="17" t="s">
        <v>709</v>
      </c>
      <c r="G2165" s="17" t="s">
        <v>1426</v>
      </c>
      <c r="H2165" s="18">
        <v>4221</v>
      </c>
      <c r="I2165" s="18">
        <v>4221</v>
      </c>
      <c r="J2165" s="7" t="str">
        <f>IFERROR(_xlfn.XLOOKUP(F2165,ccustos!A:A,ccustos!B:B),"Sem termo")</f>
        <v>Sem termo</v>
      </c>
    </row>
    <row r="2166" spans="1:10" ht="25.5" customHeight="1" x14ac:dyDescent="0.25">
      <c r="A2166" s="14">
        <v>13895</v>
      </c>
      <c r="B2166" s="7" t="s">
        <v>236</v>
      </c>
      <c r="C2166" s="7" t="s">
        <v>237</v>
      </c>
      <c r="D2166" s="7" t="s">
        <v>1434</v>
      </c>
      <c r="E2166" s="7" t="s">
        <v>239</v>
      </c>
      <c r="F2166" s="7" t="s">
        <v>1125</v>
      </c>
      <c r="G2166" s="7" t="s">
        <v>1426</v>
      </c>
      <c r="H2166" s="15">
        <v>1257</v>
      </c>
      <c r="I2166" s="15">
        <v>1257</v>
      </c>
      <c r="J2166" s="7" t="str">
        <f>IFERROR(_xlfn.XLOOKUP(F2166,ccustos!A:A,ccustos!B:B),"Sem termo")</f>
        <v>Sem termo</v>
      </c>
    </row>
    <row r="2167" spans="1:10" ht="14.25" customHeight="1" x14ac:dyDescent="0.25">
      <c r="A2167" s="16">
        <v>13896</v>
      </c>
      <c r="B2167" s="17" t="s">
        <v>236</v>
      </c>
      <c r="C2167" s="17" t="s">
        <v>237</v>
      </c>
      <c r="D2167" s="17" t="s">
        <v>1434</v>
      </c>
      <c r="E2167" s="17" t="s">
        <v>239</v>
      </c>
      <c r="F2167" s="17" t="s">
        <v>1125</v>
      </c>
      <c r="G2167" s="17" t="s">
        <v>1426</v>
      </c>
      <c r="H2167" s="18">
        <v>1257</v>
      </c>
      <c r="I2167" s="18">
        <v>1257</v>
      </c>
      <c r="J2167" s="7" t="str">
        <f>IFERROR(_xlfn.XLOOKUP(F2167,ccustos!A:A,ccustos!B:B),"Sem termo")</f>
        <v>Sem termo</v>
      </c>
    </row>
    <row r="2168" spans="1:10" ht="36.75" customHeight="1" x14ac:dyDescent="0.25">
      <c r="A2168" s="14">
        <v>13897</v>
      </c>
      <c r="B2168" s="7" t="s">
        <v>236</v>
      </c>
      <c r="C2168" s="7" t="s">
        <v>237</v>
      </c>
      <c r="D2168" s="7" t="s">
        <v>1434</v>
      </c>
      <c r="E2168" s="7" t="s">
        <v>239</v>
      </c>
      <c r="F2168" s="7" t="s">
        <v>1125</v>
      </c>
      <c r="G2168" s="7" t="s">
        <v>1426</v>
      </c>
      <c r="H2168" s="15">
        <v>1257</v>
      </c>
      <c r="I2168" s="15">
        <v>1257</v>
      </c>
      <c r="J2168" s="7" t="str">
        <f>IFERROR(_xlfn.XLOOKUP(F2168,ccustos!A:A,ccustos!B:B),"Sem termo")</f>
        <v>Sem termo</v>
      </c>
    </row>
    <row r="2169" spans="1:10" ht="36.75" customHeight="1" x14ac:dyDescent="0.25">
      <c r="A2169" s="16">
        <v>13898</v>
      </c>
      <c r="B2169" s="17" t="s">
        <v>236</v>
      </c>
      <c r="C2169" s="17" t="s">
        <v>237</v>
      </c>
      <c r="D2169" s="17" t="s">
        <v>1434</v>
      </c>
      <c r="E2169" s="17" t="s">
        <v>239</v>
      </c>
      <c r="F2169" s="17" t="s">
        <v>1125</v>
      </c>
      <c r="G2169" s="17" t="s">
        <v>1426</v>
      </c>
      <c r="H2169" s="18">
        <v>1257</v>
      </c>
      <c r="I2169" s="18">
        <v>1257</v>
      </c>
      <c r="J2169" s="7" t="str">
        <f>IFERROR(_xlfn.XLOOKUP(F2169,ccustos!A:A,ccustos!B:B),"Sem termo")</f>
        <v>Sem termo</v>
      </c>
    </row>
    <row r="2170" spans="1:10" ht="36.75" customHeight="1" x14ac:dyDescent="0.25">
      <c r="A2170" s="14">
        <v>13899</v>
      </c>
      <c r="B2170" s="7" t="s">
        <v>236</v>
      </c>
      <c r="C2170" s="7" t="s">
        <v>237</v>
      </c>
      <c r="D2170" s="7" t="s">
        <v>1434</v>
      </c>
      <c r="E2170" s="7" t="s">
        <v>239</v>
      </c>
      <c r="F2170" s="7" t="s">
        <v>1125</v>
      </c>
      <c r="G2170" s="7" t="s">
        <v>1426</v>
      </c>
      <c r="H2170" s="15">
        <v>1257</v>
      </c>
      <c r="I2170" s="15">
        <v>1257</v>
      </c>
      <c r="J2170" s="7" t="str">
        <f>IFERROR(_xlfn.XLOOKUP(F2170,ccustos!A:A,ccustos!B:B),"Sem termo")</f>
        <v>Sem termo</v>
      </c>
    </row>
    <row r="2171" spans="1:10" ht="36.75" customHeight="1" x14ac:dyDescent="0.25">
      <c r="A2171" s="16">
        <v>13900</v>
      </c>
      <c r="B2171" s="17" t="s">
        <v>236</v>
      </c>
      <c r="C2171" s="17" t="s">
        <v>237</v>
      </c>
      <c r="D2171" s="17" t="s">
        <v>1434</v>
      </c>
      <c r="E2171" s="17" t="s">
        <v>239</v>
      </c>
      <c r="F2171" s="17" t="s">
        <v>1125</v>
      </c>
      <c r="G2171" s="17" t="s">
        <v>1426</v>
      </c>
      <c r="H2171" s="18">
        <v>1257</v>
      </c>
      <c r="I2171" s="18">
        <v>1257</v>
      </c>
      <c r="J2171" s="7" t="str">
        <f>IFERROR(_xlfn.XLOOKUP(F2171,ccustos!A:A,ccustos!B:B),"Sem termo")</f>
        <v>Sem termo</v>
      </c>
    </row>
    <row r="2172" spans="1:10" ht="25.5" customHeight="1" x14ac:dyDescent="0.25">
      <c r="A2172" s="14">
        <v>13901</v>
      </c>
      <c r="B2172" s="7" t="s">
        <v>236</v>
      </c>
      <c r="C2172" s="7" t="s">
        <v>237</v>
      </c>
      <c r="D2172" s="7" t="s">
        <v>1434</v>
      </c>
      <c r="E2172" s="7" t="s">
        <v>239</v>
      </c>
      <c r="F2172" s="7" t="s">
        <v>1125</v>
      </c>
      <c r="G2172" s="7" t="s">
        <v>1426</v>
      </c>
      <c r="H2172" s="15">
        <v>1257</v>
      </c>
      <c r="I2172" s="15">
        <v>1257</v>
      </c>
      <c r="J2172" s="7" t="str">
        <f>IFERROR(_xlfn.XLOOKUP(F2172,ccustos!A:A,ccustos!B:B),"Sem termo")</f>
        <v>Sem termo</v>
      </c>
    </row>
    <row r="2173" spans="1:10" ht="25.5" customHeight="1" x14ac:dyDescent="0.25">
      <c r="A2173" s="16">
        <v>13902</v>
      </c>
      <c r="B2173" s="17" t="s">
        <v>236</v>
      </c>
      <c r="C2173" s="17" t="s">
        <v>237</v>
      </c>
      <c r="D2173" s="17" t="s">
        <v>1434</v>
      </c>
      <c r="E2173" s="17" t="s">
        <v>239</v>
      </c>
      <c r="F2173" s="17" t="s">
        <v>1125</v>
      </c>
      <c r="G2173" s="17" t="s">
        <v>1426</v>
      </c>
      <c r="H2173" s="18">
        <v>1257</v>
      </c>
      <c r="I2173" s="18">
        <v>1257</v>
      </c>
      <c r="J2173" s="7" t="str">
        <f>IFERROR(_xlfn.XLOOKUP(F2173,ccustos!A:A,ccustos!B:B),"Sem termo")</f>
        <v>Sem termo</v>
      </c>
    </row>
    <row r="2174" spans="1:10" ht="36.75" customHeight="1" x14ac:dyDescent="0.25">
      <c r="A2174" s="14">
        <v>13903</v>
      </c>
      <c r="B2174" s="7" t="s">
        <v>236</v>
      </c>
      <c r="C2174" s="7" t="s">
        <v>237</v>
      </c>
      <c r="D2174" s="7" t="s">
        <v>1434</v>
      </c>
      <c r="E2174" s="7" t="s">
        <v>239</v>
      </c>
      <c r="F2174" s="7" t="s">
        <v>1125</v>
      </c>
      <c r="G2174" s="7" t="s">
        <v>1426</v>
      </c>
      <c r="H2174" s="15">
        <v>1257</v>
      </c>
      <c r="I2174" s="15">
        <v>1257</v>
      </c>
      <c r="J2174" s="7" t="str">
        <f>IFERROR(_xlfn.XLOOKUP(F2174,ccustos!A:A,ccustos!B:B),"Sem termo")</f>
        <v>Sem termo</v>
      </c>
    </row>
    <row r="2175" spans="1:10" ht="36.75" customHeight="1" x14ac:dyDescent="0.25">
      <c r="A2175" s="16">
        <v>13904</v>
      </c>
      <c r="B2175" s="17" t="s">
        <v>236</v>
      </c>
      <c r="C2175" s="17" t="s">
        <v>237</v>
      </c>
      <c r="D2175" s="17" t="s">
        <v>1434</v>
      </c>
      <c r="E2175" s="17" t="s">
        <v>239</v>
      </c>
      <c r="F2175" s="17" t="s">
        <v>1125</v>
      </c>
      <c r="G2175" s="17" t="s">
        <v>1426</v>
      </c>
      <c r="H2175" s="18">
        <v>1257</v>
      </c>
      <c r="I2175" s="18">
        <v>1257</v>
      </c>
      <c r="J2175" s="7" t="str">
        <f>IFERROR(_xlfn.XLOOKUP(F2175,ccustos!A:A,ccustos!B:B),"Sem termo")</f>
        <v>Sem termo</v>
      </c>
    </row>
    <row r="2176" spans="1:10" ht="36.75" customHeight="1" x14ac:dyDescent="0.25">
      <c r="A2176" s="14">
        <v>13905</v>
      </c>
      <c r="B2176" s="7" t="s">
        <v>236</v>
      </c>
      <c r="C2176" s="7" t="s">
        <v>237</v>
      </c>
      <c r="D2176" s="7" t="s">
        <v>1434</v>
      </c>
      <c r="E2176" s="7" t="s">
        <v>239</v>
      </c>
      <c r="F2176" s="7" t="s">
        <v>1125</v>
      </c>
      <c r="G2176" s="7" t="s">
        <v>1426</v>
      </c>
      <c r="H2176" s="15">
        <v>1257</v>
      </c>
      <c r="I2176" s="15">
        <v>1257</v>
      </c>
      <c r="J2176" s="7" t="str">
        <f>IFERROR(_xlfn.XLOOKUP(F2176,ccustos!A:A,ccustos!B:B),"Sem termo")</f>
        <v>Sem termo</v>
      </c>
    </row>
    <row r="2177" spans="1:10" ht="36.75" customHeight="1" x14ac:dyDescent="0.25">
      <c r="A2177" s="16">
        <v>13906</v>
      </c>
      <c r="B2177" s="17" t="s">
        <v>236</v>
      </c>
      <c r="C2177" s="17" t="s">
        <v>237</v>
      </c>
      <c r="D2177" s="17" t="s">
        <v>1434</v>
      </c>
      <c r="E2177" s="17" t="s">
        <v>239</v>
      </c>
      <c r="F2177" s="17" t="s">
        <v>1125</v>
      </c>
      <c r="G2177" s="17" t="s">
        <v>1426</v>
      </c>
      <c r="H2177" s="18">
        <v>1257</v>
      </c>
      <c r="I2177" s="18">
        <v>1257</v>
      </c>
      <c r="J2177" s="7" t="str">
        <f>IFERROR(_xlfn.XLOOKUP(F2177,ccustos!A:A,ccustos!B:B),"Sem termo")</f>
        <v>Sem termo</v>
      </c>
    </row>
    <row r="2178" spans="1:10" ht="25.5" customHeight="1" x14ac:dyDescent="0.25">
      <c r="A2178" s="14">
        <v>13907</v>
      </c>
      <c r="B2178" s="7" t="s">
        <v>236</v>
      </c>
      <c r="C2178" s="7" t="s">
        <v>237</v>
      </c>
      <c r="D2178" s="7" t="s">
        <v>1434</v>
      </c>
      <c r="E2178" s="7" t="s">
        <v>239</v>
      </c>
      <c r="F2178" s="7" t="s">
        <v>1125</v>
      </c>
      <c r="G2178" s="7" t="s">
        <v>1426</v>
      </c>
      <c r="H2178" s="15">
        <v>1257</v>
      </c>
      <c r="I2178" s="15">
        <v>1257</v>
      </c>
      <c r="J2178" s="7" t="str">
        <f>IFERROR(_xlfn.XLOOKUP(F2178,ccustos!A:A,ccustos!B:B),"Sem termo")</f>
        <v>Sem termo</v>
      </c>
    </row>
    <row r="2179" spans="1:10" ht="36.75" customHeight="1" x14ac:dyDescent="0.25">
      <c r="A2179" s="16">
        <v>13908</v>
      </c>
      <c r="B2179" s="17" t="s">
        <v>236</v>
      </c>
      <c r="C2179" s="17" t="s">
        <v>237</v>
      </c>
      <c r="D2179" s="17" t="s">
        <v>1435</v>
      </c>
      <c r="E2179" s="17" t="s">
        <v>239</v>
      </c>
      <c r="F2179" s="17" t="s">
        <v>709</v>
      </c>
      <c r="G2179" s="17" t="s">
        <v>1426</v>
      </c>
      <c r="H2179" s="18">
        <v>2400</v>
      </c>
      <c r="I2179" s="18">
        <v>2400</v>
      </c>
      <c r="J2179" s="7" t="str">
        <f>IFERROR(_xlfn.XLOOKUP(F2179,ccustos!A:A,ccustos!B:B),"Sem termo")</f>
        <v>Sem termo</v>
      </c>
    </row>
    <row r="2180" spans="1:10" ht="25.5" customHeight="1" x14ac:dyDescent="0.25">
      <c r="A2180" s="14">
        <v>13909</v>
      </c>
      <c r="B2180" s="7" t="s">
        <v>236</v>
      </c>
      <c r="C2180" s="7" t="s">
        <v>237</v>
      </c>
      <c r="D2180" s="7" t="s">
        <v>1434</v>
      </c>
      <c r="E2180" s="7" t="s">
        <v>239</v>
      </c>
      <c r="F2180" s="7" t="s">
        <v>709</v>
      </c>
      <c r="G2180" s="7" t="s">
        <v>1426</v>
      </c>
      <c r="H2180" s="15">
        <v>2375</v>
      </c>
      <c r="I2180" s="15">
        <v>2375</v>
      </c>
      <c r="J2180" s="7" t="str">
        <f>IFERROR(_xlfn.XLOOKUP(F2180,ccustos!A:A,ccustos!B:B),"Sem termo")</f>
        <v>Sem termo</v>
      </c>
    </row>
    <row r="2181" spans="1:10" ht="25.5" customHeight="1" x14ac:dyDescent="0.25">
      <c r="A2181" s="16">
        <v>13910</v>
      </c>
      <c r="B2181" s="17" t="s">
        <v>236</v>
      </c>
      <c r="C2181" s="17" t="s">
        <v>237</v>
      </c>
      <c r="D2181" s="17" t="s">
        <v>1434</v>
      </c>
      <c r="E2181" s="17" t="s">
        <v>239</v>
      </c>
      <c r="F2181" s="17" t="s">
        <v>709</v>
      </c>
      <c r="G2181" s="17" t="s">
        <v>1426</v>
      </c>
      <c r="H2181" s="18">
        <v>2375</v>
      </c>
      <c r="I2181" s="18">
        <v>2375</v>
      </c>
      <c r="J2181" s="7" t="str">
        <f>IFERROR(_xlfn.XLOOKUP(F2181,ccustos!A:A,ccustos!B:B),"Sem termo")</f>
        <v>Sem termo</v>
      </c>
    </row>
    <row r="2182" spans="1:10" ht="25.5" customHeight="1" x14ac:dyDescent="0.25">
      <c r="A2182" s="14">
        <v>13911</v>
      </c>
      <c r="B2182" s="7" t="s">
        <v>236</v>
      </c>
      <c r="C2182" s="7" t="s">
        <v>237</v>
      </c>
      <c r="D2182" s="7" t="s">
        <v>1434</v>
      </c>
      <c r="E2182" s="7" t="s">
        <v>239</v>
      </c>
      <c r="F2182" s="7" t="s">
        <v>709</v>
      </c>
      <c r="G2182" s="7" t="s">
        <v>1426</v>
      </c>
      <c r="H2182" s="15">
        <v>2375</v>
      </c>
      <c r="I2182" s="15">
        <v>2375</v>
      </c>
      <c r="J2182" s="7" t="str">
        <f>IFERROR(_xlfn.XLOOKUP(F2182,ccustos!A:A,ccustos!B:B),"Sem termo")</f>
        <v>Sem termo</v>
      </c>
    </row>
    <row r="2183" spans="1:10" ht="25.5" customHeight="1" x14ac:dyDescent="0.25">
      <c r="A2183" s="16">
        <v>13912</v>
      </c>
      <c r="B2183" s="17" t="s">
        <v>236</v>
      </c>
      <c r="C2183" s="17" t="s">
        <v>237</v>
      </c>
      <c r="D2183" s="17" t="s">
        <v>1434</v>
      </c>
      <c r="E2183" s="17" t="s">
        <v>239</v>
      </c>
      <c r="F2183" s="17" t="s">
        <v>709</v>
      </c>
      <c r="G2183" s="17" t="s">
        <v>1426</v>
      </c>
      <c r="H2183" s="18">
        <v>2375</v>
      </c>
      <c r="I2183" s="18">
        <v>2375</v>
      </c>
      <c r="J2183" s="7" t="str">
        <f>IFERROR(_xlfn.XLOOKUP(F2183,ccustos!A:A,ccustos!B:B),"Sem termo")</f>
        <v>Sem termo</v>
      </c>
    </row>
    <row r="2184" spans="1:10" ht="25.5" customHeight="1" x14ac:dyDescent="0.25">
      <c r="A2184" s="14">
        <v>13913</v>
      </c>
      <c r="B2184" s="7" t="s">
        <v>236</v>
      </c>
      <c r="C2184" s="7" t="s">
        <v>237</v>
      </c>
      <c r="D2184" s="7" t="s">
        <v>1434</v>
      </c>
      <c r="E2184" s="7" t="s">
        <v>239</v>
      </c>
      <c r="F2184" s="7" t="s">
        <v>709</v>
      </c>
      <c r="G2184" s="7" t="s">
        <v>1426</v>
      </c>
      <c r="H2184" s="15">
        <v>2375</v>
      </c>
      <c r="I2184" s="15">
        <v>2375</v>
      </c>
      <c r="J2184" s="7" t="str">
        <f>IFERROR(_xlfn.XLOOKUP(F2184,ccustos!A:A,ccustos!B:B),"Sem termo")</f>
        <v>Sem termo</v>
      </c>
    </row>
    <row r="2185" spans="1:10" ht="25.5" customHeight="1" x14ac:dyDescent="0.25">
      <c r="A2185" s="16">
        <v>13914</v>
      </c>
      <c r="B2185" s="17" t="s">
        <v>236</v>
      </c>
      <c r="C2185" s="17" t="s">
        <v>237</v>
      </c>
      <c r="D2185" s="17" t="s">
        <v>1434</v>
      </c>
      <c r="E2185" s="17" t="s">
        <v>239</v>
      </c>
      <c r="F2185" s="17" t="s">
        <v>709</v>
      </c>
      <c r="G2185" s="17" t="s">
        <v>1426</v>
      </c>
      <c r="H2185" s="18">
        <v>2375</v>
      </c>
      <c r="I2185" s="18">
        <v>2375</v>
      </c>
      <c r="J2185" s="7" t="str">
        <f>IFERROR(_xlfn.XLOOKUP(F2185,ccustos!A:A,ccustos!B:B),"Sem termo")</f>
        <v>Sem termo</v>
      </c>
    </row>
    <row r="2186" spans="1:10" ht="25.5" customHeight="1" x14ac:dyDescent="0.25">
      <c r="A2186" s="14">
        <v>13915</v>
      </c>
      <c r="B2186" s="7" t="s">
        <v>236</v>
      </c>
      <c r="C2186" s="7" t="s">
        <v>237</v>
      </c>
      <c r="D2186" s="7" t="s">
        <v>1434</v>
      </c>
      <c r="E2186" s="7" t="s">
        <v>239</v>
      </c>
      <c r="F2186" s="7" t="s">
        <v>709</v>
      </c>
      <c r="G2186" s="7" t="s">
        <v>1426</v>
      </c>
      <c r="H2186" s="15">
        <v>2375</v>
      </c>
      <c r="I2186" s="15">
        <v>2375</v>
      </c>
      <c r="J2186" s="7" t="str">
        <f>IFERROR(_xlfn.XLOOKUP(F2186,ccustos!A:A,ccustos!B:B),"Sem termo")</f>
        <v>Sem termo</v>
      </c>
    </row>
    <row r="2187" spans="1:10" ht="25.5" customHeight="1" x14ac:dyDescent="0.25">
      <c r="A2187" s="16">
        <v>13916</v>
      </c>
      <c r="B2187" s="17" t="s">
        <v>236</v>
      </c>
      <c r="C2187" s="17" t="s">
        <v>237</v>
      </c>
      <c r="D2187" s="17" t="s">
        <v>1434</v>
      </c>
      <c r="E2187" s="17" t="s">
        <v>239</v>
      </c>
      <c r="F2187" s="17" t="s">
        <v>709</v>
      </c>
      <c r="G2187" s="17" t="s">
        <v>1426</v>
      </c>
      <c r="H2187" s="18">
        <v>2375</v>
      </c>
      <c r="I2187" s="18">
        <v>2375</v>
      </c>
      <c r="J2187" s="7" t="str">
        <f>IFERROR(_xlfn.XLOOKUP(F2187,ccustos!A:A,ccustos!B:B),"Sem termo")</f>
        <v>Sem termo</v>
      </c>
    </row>
    <row r="2188" spans="1:10" ht="25.5" customHeight="1" x14ac:dyDescent="0.25">
      <c r="A2188" s="14">
        <v>13917</v>
      </c>
      <c r="B2188" s="7" t="s">
        <v>236</v>
      </c>
      <c r="C2188" s="7" t="s">
        <v>237</v>
      </c>
      <c r="D2188" s="7" t="s">
        <v>1434</v>
      </c>
      <c r="E2188" s="7" t="s">
        <v>239</v>
      </c>
      <c r="F2188" s="7" t="s">
        <v>37</v>
      </c>
      <c r="G2188" s="7" t="s">
        <v>1426</v>
      </c>
      <c r="H2188" s="15">
        <v>2375</v>
      </c>
      <c r="I2188" s="15">
        <v>2375</v>
      </c>
      <c r="J2188" s="7" t="str">
        <f>IFERROR(_xlfn.XLOOKUP(F2188,ccustos!A:A,ccustos!B:B),"Sem termo")</f>
        <v>PROJUR</v>
      </c>
    </row>
    <row r="2189" spans="1:10" ht="25.5" customHeight="1" x14ac:dyDescent="0.25">
      <c r="A2189" s="16">
        <v>13918</v>
      </c>
      <c r="B2189" s="17" t="s">
        <v>236</v>
      </c>
      <c r="C2189" s="17" t="s">
        <v>237</v>
      </c>
      <c r="D2189" s="17" t="s">
        <v>1434</v>
      </c>
      <c r="E2189" s="17" t="s">
        <v>239</v>
      </c>
      <c r="F2189" s="17" t="s">
        <v>709</v>
      </c>
      <c r="G2189" s="17" t="s">
        <v>1426</v>
      </c>
      <c r="H2189" s="18">
        <v>2375</v>
      </c>
      <c r="I2189" s="18">
        <v>2375</v>
      </c>
      <c r="J2189" s="7" t="str">
        <f>IFERROR(_xlfn.XLOOKUP(F2189,ccustos!A:A,ccustos!B:B),"Sem termo")</f>
        <v>Sem termo</v>
      </c>
    </row>
    <row r="2190" spans="1:10" ht="25.5" customHeight="1" x14ac:dyDescent="0.25">
      <c r="A2190" s="14">
        <v>13919</v>
      </c>
      <c r="B2190" s="7" t="s">
        <v>236</v>
      </c>
      <c r="C2190" s="7" t="s">
        <v>237</v>
      </c>
      <c r="D2190" s="7" t="s">
        <v>1434</v>
      </c>
      <c r="E2190" s="7" t="s">
        <v>239</v>
      </c>
      <c r="F2190" s="7" t="s">
        <v>709</v>
      </c>
      <c r="G2190" s="7" t="s">
        <v>1426</v>
      </c>
      <c r="H2190" s="15">
        <v>2375</v>
      </c>
      <c r="I2190" s="15">
        <v>2375</v>
      </c>
      <c r="J2190" s="7" t="str">
        <f>IFERROR(_xlfn.XLOOKUP(F2190,ccustos!A:A,ccustos!B:B),"Sem termo")</f>
        <v>Sem termo</v>
      </c>
    </row>
    <row r="2191" spans="1:10" ht="25.5" customHeight="1" x14ac:dyDescent="0.25">
      <c r="A2191" s="16">
        <v>13920</v>
      </c>
      <c r="B2191" s="17" t="s">
        <v>236</v>
      </c>
      <c r="C2191" s="17" t="s">
        <v>325</v>
      </c>
      <c r="D2191" s="17" t="s">
        <v>1436</v>
      </c>
      <c r="E2191" s="17" t="s">
        <v>239</v>
      </c>
      <c r="F2191" s="17" t="s">
        <v>709</v>
      </c>
      <c r="G2191" s="17" t="s">
        <v>1426</v>
      </c>
      <c r="H2191" s="18">
        <v>4251</v>
      </c>
      <c r="I2191" s="18">
        <v>4251</v>
      </c>
      <c r="J2191" s="7" t="str">
        <f>IFERROR(_xlfn.XLOOKUP(F2191,ccustos!A:A,ccustos!B:B),"Sem termo")</f>
        <v>Sem termo</v>
      </c>
    </row>
    <row r="2192" spans="1:10" ht="25.5" customHeight="1" x14ac:dyDescent="0.25">
      <c r="A2192" s="14">
        <v>13921</v>
      </c>
      <c r="B2192" s="7" t="s">
        <v>236</v>
      </c>
      <c r="C2192" s="7" t="s">
        <v>325</v>
      </c>
      <c r="D2192" s="7" t="s">
        <v>1437</v>
      </c>
      <c r="E2192" s="7" t="s">
        <v>239</v>
      </c>
      <c r="F2192" s="7" t="s">
        <v>1372</v>
      </c>
      <c r="G2192" s="7" t="s">
        <v>1426</v>
      </c>
      <c r="H2192" s="15">
        <v>5437</v>
      </c>
      <c r="I2192" s="15">
        <v>5437</v>
      </c>
      <c r="J2192" s="7" t="str">
        <f>IFERROR(_xlfn.XLOOKUP(F2192,ccustos!A:A,ccustos!B:B),"Sem termo")</f>
        <v>Sem termo</v>
      </c>
    </row>
    <row r="2193" spans="1:10" ht="25.5" customHeight="1" x14ac:dyDescent="0.25">
      <c r="A2193" s="16">
        <v>13922</v>
      </c>
      <c r="B2193" s="17" t="s">
        <v>236</v>
      </c>
      <c r="C2193" s="17" t="s">
        <v>237</v>
      </c>
      <c r="D2193" s="17" t="s">
        <v>1438</v>
      </c>
      <c r="E2193" s="17" t="s">
        <v>239</v>
      </c>
      <c r="F2193" s="17" t="s">
        <v>256</v>
      </c>
      <c r="G2193" s="17" t="s">
        <v>1426</v>
      </c>
      <c r="H2193" s="18">
        <v>600</v>
      </c>
      <c r="I2193" s="18">
        <v>600</v>
      </c>
      <c r="J2193" s="7" t="str">
        <f>IFERROR(_xlfn.XLOOKUP(F2193,ccustos!A:A,ccustos!B:B),"Sem termo")</f>
        <v>Sem termo</v>
      </c>
    </row>
    <row r="2194" spans="1:10" ht="36.75" customHeight="1" x14ac:dyDescent="0.25">
      <c r="A2194" s="14">
        <v>13923</v>
      </c>
      <c r="B2194" s="7" t="s">
        <v>236</v>
      </c>
      <c r="C2194" s="7" t="s">
        <v>237</v>
      </c>
      <c r="D2194" s="7" t="s">
        <v>1438</v>
      </c>
      <c r="E2194" s="7" t="s">
        <v>239</v>
      </c>
      <c r="F2194" s="7" t="s">
        <v>256</v>
      </c>
      <c r="G2194" s="7" t="s">
        <v>1426</v>
      </c>
      <c r="H2194" s="15">
        <v>600</v>
      </c>
      <c r="I2194" s="15">
        <v>600</v>
      </c>
      <c r="J2194" s="7" t="str">
        <f>IFERROR(_xlfn.XLOOKUP(F2194,ccustos!A:A,ccustos!B:B),"Sem termo")</f>
        <v>Sem termo</v>
      </c>
    </row>
    <row r="2195" spans="1:10" ht="36.75" customHeight="1" x14ac:dyDescent="0.25">
      <c r="A2195" s="16">
        <v>13924</v>
      </c>
      <c r="B2195" s="17" t="s">
        <v>236</v>
      </c>
      <c r="C2195" s="17" t="s">
        <v>237</v>
      </c>
      <c r="D2195" s="17" t="s">
        <v>1438</v>
      </c>
      <c r="E2195" s="17" t="s">
        <v>239</v>
      </c>
      <c r="F2195" s="17" t="s">
        <v>256</v>
      </c>
      <c r="G2195" s="17" t="s">
        <v>1426</v>
      </c>
      <c r="H2195" s="18">
        <v>600</v>
      </c>
      <c r="I2195" s="18">
        <v>600</v>
      </c>
      <c r="J2195" s="7" t="str">
        <f>IFERROR(_xlfn.XLOOKUP(F2195,ccustos!A:A,ccustos!B:B),"Sem termo")</f>
        <v>Sem termo</v>
      </c>
    </row>
    <row r="2196" spans="1:10" ht="25.5" customHeight="1" x14ac:dyDescent="0.25">
      <c r="A2196" s="14">
        <v>13925</v>
      </c>
      <c r="B2196" s="7" t="s">
        <v>236</v>
      </c>
      <c r="C2196" s="7" t="s">
        <v>237</v>
      </c>
      <c r="D2196" s="7" t="s">
        <v>1439</v>
      </c>
      <c r="E2196" s="7" t="s">
        <v>239</v>
      </c>
      <c r="F2196" s="7" t="s">
        <v>211</v>
      </c>
      <c r="G2196" s="7" t="s">
        <v>1426</v>
      </c>
      <c r="H2196" s="15">
        <v>382</v>
      </c>
      <c r="I2196" s="15">
        <v>382</v>
      </c>
      <c r="J2196" s="7" t="str">
        <f>IFERROR(_xlfn.XLOOKUP(F2196,ccustos!A:A,ccustos!B:B),"Sem termo")</f>
        <v>DIGEO</v>
      </c>
    </row>
    <row r="2197" spans="1:10" ht="25.5" customHeight="1" x14ac:dyDescent="0.25">
      <c r="A2197" s="16">
        <v>13926</v>
      </c>
      <c r="B2197" s="17" t="s">
        <v>236</v>
      </c>
      <c r="C2197" s="17" t="s">
        <v>237</v>
      </c>
      <c r="D2197" s="17" t="s">
        <v>1439</v>
      </c>
      <c r="E2197" s="17" t="s">
        <v>239</v>
      </c>
      <c r="F2197" s="17" t="s">
        <v>1125</v>
      </c>
      <c r="G2197" s="17" t="s">
        <v>1426</v>
      </c>
      <c r="H2197" s="18">
        <v>382</v>
      </c>
      <c r="I2197" s="18">
        <v>382</v>
      </c>
      <c r="J2197" s="7" t="str">
        <f>IFERROR(_xlfn.XLOOKUP(F2197,ccustos!A:A,ccustos!B:B),"Sem termo")</f>
        <v>Sem termo</v>
      </c>
    </row>
    <row r="2198" spans="1:10" ht="36.75" customHeight="1" x14ac:dyDescent="0.25">
      <c r="A2198" s="14">
        <v>13927</v>
      </c>
      <c r="B2198" s="7" t="s">
        <v>236</v>
      </c>
      <c r="C2198" s="7" t="s">
        <v>237</v>
      </c>
      <c r="D2198" s="7" t="s">
        <v>1439</v>
      </c>
      <c r="E2198" s="7" t="s">
        <v>239</v>
      </c>
      <c r="F2198" s="7" t="s">
        <v>211</v>
      </c>
      <c r="G2198" s="7" t="s">
        <v>1426</v>
      </c>
      <c r="H2198" s="15">
        <v>382</v>
      </c>
      <c r="I2198" s="15">
        <v>382</v>
      </c>
      <c r="J2198" s="7" t="str">
        <f>IFERROR(_xlfn.XLOOKUP(F2198,ccustos!A:A,ccustos!B:B),"Sem termo")</f>
        <v>DIGEO</v>
      </c>
    </row>
    <row r="2199" spans="1:10" ht="36.75" customHeight="1" x14ac:dyDescent="0.25">
      <c r="A2199" s="16">
        <v>13928</v>
      </c>
      <c r="B2199" s="17" t="s">
        <v>236</v>
      </c>
      <c r="C2199" s="17" t="s">
        <v>237</v>
      </c>
      <c r="D2199" s="17" t="s">
        <v>1439</v>
      </c>
      <c r="E2199" s="17" t="s">
        <v>239</v>
      </c>
      <c r="F2199" s="17" t="s">
        <v>1125</v>
      </c>
      <c r="G2199" s="17" t="s">
        <v>1426</v>
      </c>
      <c r="H2199" s="18">
        <v>382</v>
      </c>
      <c r="I2199" s="18">
        <v>382</v>
      </c>
      <c r="J2199" s="7" t="str">
        <f>IFERROR(_xlfn.XLOOKUP(F2199,ccustos!A:A,ccustos!B:B),"Sem termo")</f>
        <v>Sem termo</v>
      </c>
    </row>
    <row r="2200" spans="1:10" ht="36.75" customHeight="1" x14ac:dyDescent="0.25">
      <c r="A2200" s="14">
        <v>13929</v>
      </c>
      <c r="B2200" s="7" t="s">
        <v>236</v>
      </c>
      <c r="C2200" s="7" t="s">
        <v>241</v>
      </c>
      <c r="D2200" s="7" t="s">
        <v>1440</v>
      </c>
      <c r="E2200" s="7" t="s">
        <v>239</v>
      </c>
      <c r="F2200" s="7" t="s">
        <v>211</v>
      </c>
      <c r="G2200" s="7" t="s">
        <v>1426</v>
      </c>
      <c r="H2200" s="15">
        <v>1293</v>
      </c>
      <c r="I2200" s="15">
        <v>1293</v>
      </c>
      <c r="J2200" s="7" t="str">
        <f>IFERROR(_xlfn.XLOOKUP(F2200,ccustos!A:A,ccustos!B:B),"Sem termo")</f>
        <v>DIGEO</v>
      </c>
    </row>
    <row r="2201" spans="1:10" ht="25.5" customHeight="1" x14ac:dyDescent="0.25">
      <c r="A2201" s="16">
        <v>13930</v>
      </c>
      <c r="B2201" s="17" t="s">
        <v>236</v>
      </c>
      <c r="C2201" s="17" t="s">
        <v>241</v>
      </c>
      <c r="D2201" s="17" t="s">
        <v>1440</v>
      </c>
      <c r="E2201" s="17" t="s">
        <v>239</v>
      </c>
      <c r="F2201" s="17" t="s">
        <v>211</v>
      </c>
      <c r="G2201" s="17" t="s">
        <v>1426</v>
      </c>
      <c r="H2201" s="18">
        <v>1293</v>
      </c>
      <c r="I2201" s="18">
        <v>1293</v>
      </c>
      <c r="J2201" s="7" t="str">
        <f>IFERROR(_xlfn.XLOOKUP(F2201,ccustos!A:A,ccustos!B:B),"Sem termo")</f>
        <v>DIGEO</v>
      </c>
    </row>
    <row r="2202" spans="1:10" ht="25.5" customHeight="1" x14ac:dyDescent="0.25">
      <c r="A2202" s="14">
        <v>13931</v>
      </c>
      <c r="B2202" s="7" t="s">
        <v>236</v>
      </c>
      <c r="C2202" s="7" t="s">
        <v>241</v>
      </c>
      <c r="D2202" s="7" t="s">
        <v>1441</v>
      </c>
      <c r="E2202" s="7" t="s">
        <v>239</v>
      </c>
      <c r="F2202" s="7" t="s">
        <v>213</v>
      </c>
      <c r="G2202" s="7" t="s">
        <v>1426</v>
      </c>
      <c r="H2202" s="15">
        <v>1500</v>
      </c>
      <c r="I2202" s="15">
        <v>1500</v>
      </c>
      <c r="J2202" s="7" t="str">
        <f>IFERROR(_xlfn.XLOOKUP(F2202,ccustos!A:A,ccustos!B:B),"Sem termo")</f>
        <v>DIEPG</v>
      </c>
    </row>
    <row r="2203" spans="1:10" ht="25.5" customHeight="1" x14ac:dyDescent="0.25">
      <c r="A2203" s="16">
        <v>13932</v>
      </c>
      <c r="B2203" s="17" t="s">
        <v>236</v>
      </c>
      <c r="C2203" s="17" t="s">
        <v>237</v>
      </c>
      <c r="D2203" s="17" t="s">
        <v>1434</v>
      </c>
      <c r="E2203" s="17" t="s">
        <v>239</v>
      </c>
      <c r="F2203" s="17" t="s">
        <v>1125</v>
      </c>
      <c r="G2203" s="17" t="s">
        <v>1426</v>
      </c>
      <c r="H2203" s="18">
        <v>1257</v>
      </c>
      <c r="I2203" s="18">
        <v>1257</v>
      </c>
      <c r="J2203" s="7" t="str">
        <f>IFERROR(_xlfn.XLOOKUP(F2203,ccustos!A:A,ccustos!B:B),"Sem termo")</f>
        <v>Sem termo</v>
      </c>
    </row>
    <row r="2204" spans="1:10" ht="25.5" customHeight="1" x14ac:dyDescent="0.25">
      <c r="A2204" s="14">
        <v>13933</v>
      </c>
      <c r="B2204" s="7" t="s">
        <v>236</v>
      </c>
      <c r="C2204" s="7" t="s">
        <v>237</v>
      </c>
      <c r="D2204" s="7" t="s">
        <v>1434</v>
      </c>
      <c r="E2204" s="7" t="s">
        <v>239</v>
      </c>
      <c r="F2204" s="7" t="s">
        <v>1125</v>
      </c>
      <c r="G2204" s="7" t="s">
        <v>1426</v>
      </c>
      <c r="H2204" s="15">
        <v>1257</v>
      </c>
      <c r="I2204" s="15">
        <v>1257</v>
      </c>
      <c r="J2204" s="7" t="str">
        <f>IFERROR(_xlfn.XLOOKUP(F2204,ccustos!A:A,ccustos!B:B),"Sem termo")</f>
        <v>Sem termo</v>
      </c>
    </row>
    <row r="2205" spans="1:10" ht="25.5" customHeight="1" x14ac:dyDescent="0.25">
      <c r="A2205" s="16">
        <v>13934</v>
      </c>
      <c r="B2205" s="17" t="s">
        <v>236</v>
      </c>
      <c r="C2205" s="17" t="s">
        <v>237</v>
      </c>
      <c r="D2205" s="17" t="s">
        <v>1434</v>
      </c>
      <c r="E2205" s="17" t="s">
        <v>239</v>
      </c>
      <c r="F2205" s="17" t="s">
        <v>1125</v>
      </c>
      <c r="G2205" s="17" t="s">
        <v>1426</v>
      </c>
      <c r="H2205" s="18">
        <v>1257</v>
      </c>
      <c r="I2205" s="18">
        <v>1257</v>
      </c>
      <c r="J2205" s="7" t="str">
        <f>IFERROR(_xlfn.XLOOKUP(F2205,ccustos!A:A,ccustos!B:B),"Sem termo")</f>
        <v>Sem termo</v>
      </c>
    </row>
    <row r="2206" spans="1:10" ht="25.5" customHeight="1" x14ac:dyDescent="0.25">
      <c r="A2206" s="14">
        <v>13935</v>
      </c>
      <c r="B2206" s="7" t="s">
        <v>236</v>
      </c>
      <c r="C2206" s="7" t="s">
        <v>237</v>
      </c>
      <c r="D2206" s="7" t="s">
        <v>1434</v>
      </c>
      <c r="E2206" s="7" t="s">
        <v>239</v>
      </c>
      <c r="F2206" s="7" t="s">
        <v>1125</v>
      </c>
      <c r="G2206" s="7" t="s">
        <v>1426</v>
      </c>
      <c r="H2206" s="15">
        <v>1257</v>
      </c>
      <c r="I2206" s="15">
        <v>1257</v>
      </c>
      <c r="J2206" s="7" t="str">
        <f>IFERROR(_xlfn.XLOOKUP(F2206,ccustos!A:A,ccustos!B:B),"Sem termo")</f>
        <v>Sem termo</v>
      </c>
    </row>
    <row r="2207" spans="1:10" ht="25.5" customHeight="1" x14ac:dyDescent="0.25">
      <c r="A2207" s="16">
        <v>13936</v>
      </c>
      <c r="B2207" s="17" t="s">
        <v>236</v>
      </c>
      <c r="C2207" s="17" t="s">
        <v>237</v>
      </c>
      <c r="D2207" s="17" t="s">
        <v>1434</v>
      </c>
      <c r="E2207" s="17" t="s">
        <v>239</v>
      </c>
      <c r="F2207" s="17" t="s">
        <v>1125</v>
      </c>
      <c r="G2207" s="17" t="s">
        <v>1426</v>
      </c>
      <c r="H2207" s="18">
        <v>1257</v>
      </c>
      <c r="I2207" s="18">
        <v>1257</v>
      </c>
      <c r="J2207" s="7" t="str">
        <f>IFERROR(_xlfn.XLOOKUP(F2207,ccustos!A:A,ccustos!B:B),"Sem termo")</f>
        <v>Sem termo</v>
      </c>
    </row>
    <row r="2208" spans="1:10" ht="25.5" customHeight="1" x14ac:dyDescent="0.25">
      <c r="A2208" s="14">
        <v>13937</v>
      </c>
      <c r="B2208" s="7" t="s">
        <v>236</v>
      </c>
      <c r="C2208" s="7" t="s">
        <v>1442</v>
      </c>
      <c r="D2208" s="7" t="s">
        <v>1443</v>
      </c>
      <c r="E2208" s="7" t="s">
        <v>335</v>
      </c>
      <c r="F2208" s="7" t="s">
        <v>78</v>
      </c>
      <c r="G2208" s="7" t="s">
        <v>1444</v>
      </c>
      <c r="H2208" s="15">
        <v>1609.75</v>
      </c>
      <c r="I2208" s="15">
        <v>1609.75</v>
      </c>
      <c r="J2208" s="7" t="str">
        <f>IFERROR(_xlfn.XLOOKUP(F2208,ccustos!A:A,ccustos!B:B),"Sem termo")</f>
        <v>CGTI</v>
      </c>
    </row>
    <row r="2209" spans="1:10" ht="25.5" customHeight="1" x14ac:dyDescent="0.25">
      <c r="A2209" s="16">
        <v>13938</v>
      </c>
      <c r="B2209" s="17" t="s">
        <v>236</v>
      </c>
      <c r="C2209" s="17" t="s">
        <v>1442</v>
      </c>
      <c r="D2209" s="17" t="s">
        <v>1443</v>
      </c>
      <c r="E2209" s="17" t="s">
        <v>335</v>
      </c>
      <c r="F2209" s="17" t="s">
        <v>78</v>
      </c>
      <c r="G2209" s="17" t="s">
        <v>1444</v>
      </c>
      <c r="H2209" s="18">
        <v>1609.75</v>
      </c>
      <c r="I2209" s="18">
        <v>1609.75</v>
      </c>
      <c r="J2209" s="7" t="str">
        <f>IFERROR(_xlfn.XLOOKUP(F2209,ccustos!A:A,ccustos!B:B),"Sem termo")</f>
        <v>CGTI</v>
      </c>
    </row>
    <row r="2210" spans="1:10" ht="36.75" customHeight="1" x14ac:dyDescent="0.25">
      <c r="A2210" s="14">
        <v>13939</v>
      </c>
      <c r="B2210" s="7" t="s">
        <v>236</v>
      </c>
      <c r="C2210" s="7" t="s">
        <v>1442</v>
      </c>
      <c r="D2210" s="7" t="s">
        <v>1443</v>
      </c>
      <c r="E2210" s="7" t="s">
        <v>335</v>
      </c>
      <c r="F2210" s="7" t="s">
        <v>78</v>
      </c>
      <c r="G2210" s="7" t="s">
        <v>1444</v>
      </c>
      <c r="H2210" s="15">
        <v>1609.75</v>
      </c>
      <c r="I2210" s="15">
        <v>1609.75</v>
      </c>
      <c r="J2210" s="7" t="str">
        <f>IFERROR(_xlfn.XLOOKUP(F2210,ccustos!A:A,ccustos!B:B),"Sem termo")</f>
        <v>CGTI</v>
      </c>
    </row>
    <row r="2211" spans="1:10" ht="36.75" customHeight="1" x14ac:dyDescent="0.25">
      <c r="A2211" s="16">
        <v>13940</v>
      </c>
      <c r="B2211" s="17" t="s">
        <v>236</v>
      </c>
      <c r="C2211" s="17" t="s">
        <v>1442</v>
      </c>
      <c r="D2211" s="17" t="s">
        <v>1443</v>
      </c>
      <c r="E2211" s="17" t="s">
        <v>335</v>
      </c>
      <c r="F2211" s="17" t="s">
        <v>78</v>
      </c>
      <c r="G2211" s="17" t="s">
        <v>1444</v>
      </c>
      <c r="H2211" s="18">
        <v>1609.75</v>
      </c>
      <c r="I2211" s="18">
        <v>1609.75</v>
      </c>
      <c r="J2211" s="7" t="str">
        <f>IFERROR(_xlfn.XLOOKUP(F2211,ccustos!A:A,ccustos!B:B),"Sem termo")</f>
        <v>CGTI</v>
      </c>
    </row>
    <row r="2212" spans="1:10" ht="36.75" customHeight="1" x14ac:dyDescent="0.25">
      <c r="A2212" s="14">
        <v>13941</v>
      </c>
      <c r="B2212" s="7" t="s">
        <v>236</v>
      </c>
      <c r="C2212" s="7" t="s">
        <v>1445</v>
      </c>
      <c r="D2212" s="7" t="s">
        <v>1446</v>
      </c>
      <c r="E2212" s="7" t="s">
        <v>335</v>
      </c>
      <c r="F2212" s="7" t="s">
        <v>78</v>
      </c>
      <c r="G2212" s="7" t="s">
        <v>1444</v>
      </c>
      <c r="H2212" s="15">
        <v>750</v>
      </c>
      <c r="I2212" s="15">
        <v>750</v>
      </c>
      <c r="J2212" s="7" t="str">
        <f>IFERROR(_xlfn.XLOOKUP(F2212,ccustos!A:A,ccustos!B:B),"Sem termo")</f>
        <v>CGTI</v>
      </c>
    </row>
    <row r="2213" spans="1:10" ht="36.75" customHeight="1" x14ac:dyDescent="0.25">
      <c r="A2213" s="16">
        <v>13942</v>
      </c>
      <c r="B2213" s="17" t="s">
        <v>236</v>
      </c>
      <c r="C2213" s="17" t="s">
        <v>1445</v>
      </c>
      <c r="D2213" s="17" t="s">
        <v>1446</v>
      </c>
      <c r="E2213" s="17" t="s">
        <v>335</v>
      </c>
      <c r="F2213" s="17" t="s">
        <v>78</v>
      </c>
      <c r="G2213" s="17" t="s">
        <v>1444</v>
      </c>
      <c r="H2213" s="18">
        <v>750</v>
      </c>
      <c r="I2213" s="18">
        <v>750</v>
      </c>
      <c r="J2213" s="7" t="str">
        <f>IFERROR(_xlfn.XLOOKUP(F2213,ccustos!A:A,ccustos!B:B),"Sem termo")</f>
        <v>CGTI</v>
      </c>
    </row>
    <row r="2214" spans="1:10" ht="36.75" customHeight="1" x14ac:dyDescent="0.25">
      <c r="A2214" s="14">
        <v>13943</v>
      </c>
      <c r="B2214" s="7" t="s">
        <v>236</v>
      </c>
      <c r="C2214" s="7" t="s">
        <v>1445</v>
      </c>
      <c r="D2214" s="7" t="s">
        <v>1446</v>
      </c>
      <c r="E2214" s="7" t="s">
        <v>335</v>
      </c>
      <c r="F2214" s="7" t="s">
        <v>78</v>
      </c>
      <c r="G2214" s="7" t="s">
        <v>1444</v>
      </c>
      <c r="H2214" s="15">
        <v>750</v>
      </c>
      <c r="I2214" s="15">
        <v>750</v>
      </c>
      <c r="J2214" s="7" t="str">
        <f>IFERROR(_xlfn.XLOOKUP(F2214,ccustos!A:A,ccustos!B:B),"Sem termo")</f>
        <v>CGTI</v>
      </c>
    </row>
    <row r="2215" spans="1:10" ht="36.75" customHeight="1" x14ac:dyDescent="0.25">
      <c r="A2215" s="16">
        <v>13944</v>
      </c>
      <c r="B2215" s="17" t="s">
        <v>236</v>
      </c>
      <c r="C2215" s="17" t="s">
        <v>1445</v>
      </c>
      <c r="D2215" s="17" t="s">
        <v>1446</v>
      </c>
      <c r="E2215" s="17" t="s">
        <v>335</v>
      </c>
      <c r="F2215" s="17" t="s">
        <v>78</v>
      </c>
      <c r="G2215" s="17" t="s">
        <v>1444</v>
      </c>
      <c r="H2215" s="18">
        <v>750</v>
      </c>
      <c r="I2215" s="18">
        <v>750</v>
      </c>
      <c r="J2215" s="7" t="str">
        <f>IFERROR(_xlfn.XLOOKUP(F2215,ccustos!A:A,ccustos!B:B),"Sem termo")</f>
        <v>CGTI</v>
      </c>
    </row>
    <row r="2216" spans="1:10" ht="36.75" customHeight="1" x14ac:dyDescent="0.25">
      <c r="A2216" s="14">
        <v>13945</v>
      </c>
      <c r="B2216" s="7" t="s">
        <v>236</v>
      </c>
      <c r="C2216" s="7" t="s">
        <v>1445</v>
      </c>
      <c r="D2216" s="7" t="s">
        <v>1446</v>
      </c>
      <c r="E2216" s="7" t="s">
        <v>335</v>
      </c>
      <c r="F2216" s="7" t="s">
        <v>78</v>
      </c>
      <c r="G2216" s="7" t="s">
        <v>1444</v>
      </c>
      <c r="H2216" s="15">
        <v>750</v>
      </c>
      <c r="I2216" s="15">
        <v>750</v>
      </c>
      <c r="J2216" s="7" t="str">
        <f>IFERROR(_xlfn.XLOOKUP(F2216,ccustos!A:A,ccustos!B:B),"Sem termo")</f>
        <v>CGTI</v>
      </c>
    </row>
    <row r="2217" spans="1:10" ht="36.75" customHeight="1" x14ac:dyDescent="0.25">
      <c r="A2217" s="16">
        <v>13946</v>
      </c>
      <c r="B2217" s="17" t="s">
        <v>236</v>
      </c>
      <c r="C2217" s="17" t="s">
        <v>1445</v>
      </c>
      <c r="D2217" s="17" t="s">
        <v>1446</v>
      </c>
      <c r="E2217" s="17" t="s">
        <v>335</v>
      </c>
      <c r="F2217" s="17" t="s">
        <v>78</v>
      </c>
      <c r="G2217" s="17" t="s">
        <v>1444</v>
      </c>
      <c r="H2217" s="18">
        <v>750</v>
      </c>
      <c r="I2217" s="18">
        <v>750</v>
      </c>
      <c r="J2217" s="7" t="str">
        <f>IFERROR(_xlfn.XLOOKUP(F2217,ccustos!A:A,ccustos!B:B),"Sem termo")</f>
        <v>CGTI</v>
      </c>
    </row>
    <row r="2218" spans="1:10" ht="36.75" customHeight="1" x14ac:dyDescent="0.25">
      <c r="A2218" s="14">
        <v>13947</v>
      </c>
      <c r="B2218" s="7" t="s">
        <v>236</v>
      </c>
      <c r="C2218" s="7" t="s">
        <v>1445</v>
      </c>
      <c r="D2218" s="7" t="s">
        <v>1446</v>
      </c>
      <c r="E2218" s="7" t="s">
        <v>335</v>
      </c>
      <c r="F2218" s="7" t="s">
        <v>78</v>
      </c>
      <c r="G2218" s="7" t="s">
        <v>1444</v>
      </c>
      <c r="H2218" s="15">
        <v>750</v>
      </c>
      <c r="I2218" s="15">
        <v>750</v>
      </c>
      <c r="J2218" s="7" t="str">
        <f>IFERROR(_xlfn.XLOOKUP(F2218,ccustos!A:A,ccustos!B:B),"Sem termo")</f>
        <v>CGTI</v>
      </c>
    </row>
    <row r="2219" spans="1:10" ht="36.75" customHeight="1" x14ac:dyDescent="0.25">
      <c r="A2219" s="16">
        <v>13948</v>
      </c>
      <c r="B2219" s="17" t="s">
        <v>236</v>
      </c>
      <c r="C2219" s="17" t="s">
        <v>1445</v>
      </c>
      <c r="D2219" s="17" t="s">
        <v>1446</v>
      </c>
      <c r="E2219" s="17" t="s">
        <v>335</v>
      </c>
      <c r="F2219" s="17" t="s">
        <v>78</v>
      </c>
      <c r="G2219" s="17" t="s">
        <v>1444</v>
      </c>
      <c r="H2219" s="18">
        <v>750</v>
      </c>
      <c r="I2219" s="18">
        <v>750</v>
      </c>
      <c r="J2219" s="7" t="str">
        <f>IFERROR(_xlfn.XLOOKUP(F2219,ccustos!A:A,ccustos!B:B),"Sem termo")</f>
        <v>CGTI</v>
      </c>
    </row>
    <row r="2220" spans="1:10" ht="36.75" customHeight="1" x14ac:dyDescent="0.25">
      <c r="A2220" s="14">
        <v>13950</v>
      </c>
      <c r="B2220" s="7" t="s">
        <v>236</v>
      </c>
      <c r="C2220" s="7" t="s">
        <v>1149</v>
      </c>
      <c r="D2220" s="7" t="s">
        <v>1447</v>
      </c>
      <c r="E2220" s="7" t="s">
        <v>250</v>
      </c>
      <c r="F2220" s="7" t="s">
        <v>59</v>
      </c>
      <c r="G2220" s="7" t="s">
        <v>1448</v>
      </c>
      <c r="H2220" s="15">
        <v>2989</v>
      </c>
      <c r="I2220" s="15">
        <v>2989</v>
      </c>
      <c r="J2220" s="7" t="str">
        <f>IFERROR(_xlfn.XLOOKUP(F2220,ccustos!A:A,ccustos!B:B),"Sem termo")</f>
        <v>SEPAT</v>
      </c>
    </row>
    <row r="2221" spans="1:10" ht="36.75" customHeight="1" x14ac:dyDescent="0.25">
      <c r="A2221" s="16">
        <v>13951</v>
      </c>
      <c r="B2221" s="17" t="s">
        <v>236</v>
      </c>
      <c r="C2221" s="17" t="s">
        <v>1449</v>
      </c>
      <c r="D2221" s="17" t="s">
        <v>1450</v>
      </c>
      <c r="E2221" s="17" t="s">
        <v>250</v>
      </c>
      <c r="F2221" s="17" t="s">
        <v>1</v>
      </c>
      <c r="G2221" s="17" t="s">
        <v>1451</v>
      </c>
      <c r="H2221" s="18">
        <v>2325</v>
      </c>
      <c r="I2221" s="18">
        <v>2325</v>
      </c>
      <c r="J2221" s="7" t="str">
        <f>IFERROR(_xlfn.XLOOKUP(F2221,ccustos!A:A,ccustos!B:B),"Sem termo")</f>
        <v>SEPAT</v>
      </c>
    </row>
    <row r="2222" spans="1:10" ht="36.75" customHeight="1" x14ac:dyDescent="0.25">
      <c r="A2222" s="14">
        <v>13952</v>
      </c>
      <c r="B2222" s="7" t="s">
        <v>236</v>
      </c>
      <c r="C2222" s="7" t="s">
        <v>474</v>
      </c>
      <c r="D2222" s="7" t="s">
        <v>1452</v>
      </c>
      <c r="E2222" s="7" t="s">
        <v>250</v>
      </c>
      <c r="F2222" s="7" t="s">
        <v>83</v>
      </c>
      <c r="G2222" s="7" t="s">
        <v>1453</v>
      </c>
      <c r="H2222" s="15">
        <v>1675</v>
      </c>
      <c r="I2222" s="15">
        <v>1675</v>
      </c>
      <c r="J2222" s="7" t="str">
        <f>IFERROR(_xlfn.XLOOKUP(F2222,ccustos!A:A,ccustos!B:B),"Sem termo")</f>
        <v>GABIN</v>
      </c>
    </row>
    <row r="2223" spans="1:10" ht="36.75" customHeight="1" x14ac:dyDescent="0.25">
      <c r="A2223" s="16">
        <v>13953</v>
      </c>
      <c r="B2223" s="17" t="s">
        <v>236</v>
      </c>
      <c r="C2223" s="17" t="s">
        <v>1402</v>
      </c>
      <c r="D2223" s="17" t="s">
        <v>1454</v>
      </c>
      <c r="E2223" s="17" t="s">
        <v>318</v>
      </c>
      <c r="F2223" s="17" t="s">
        <v>83</v>
      </c>
      <c r="G2223" s="17" t="s">
        <v>1455</v>
      </c>
      <c r="H2223" s="18">
        <v>516.69000000000005</v>
      </c>
      <c r="I2223" s="18">
        <v>516.69000000000005</v>
      </c>
      <c r="J2223" s="7" t="str">
        <f>IFERROR(_xlfn.XLOOKUP(F2223,ccustos!A:A,ccustos!B:B),"Sem termo")</f>
        <v>GABIN</v>
      </c>
    </row>
    <row r="2224" spans="1:10" ht="36.75" customHeight="1" x14ac:dyDescent="0.25">
      <c r="A2224" s="14">
        <v>13954</v>
      </c>
      <c r="B2224" s="7" t="s">
        <v>236</v>
      </c>
      <c r="C2224" s="7" t="s">
        <v>1155</v>
      </c>
      <c r="D2224" s="7" t="s">
        <v>1456</v>
      </c>
      <c r="E2224" s="7" t="s">
        <v>318</v>
      </c>
      <c r="F2224" s="7" t="s">
        <v>35</v>
      </c>
      <c r="G2224" s="7" t="s">
        <v>1457</v>
      </c>
      <c r="H2224" s="15">
        <v>2297.33</v>
      </c>
      <c r="I2224" s="15">
        <v>2297.33</v>
      </c>
      <c r="J2224" s="7" t="str">
        <f>IFERROR(_xlfn.XLOOKUP(F2224,ccustos!A:A,ccustos!B:B),"Sem termo")</f>
        <v>DEINFRA</v>
      </c>
    </row>
    <row r="2225" spans="1:10" ht="36.75" customHeight="1" x14ac:dyDescent="0.25">
      <c r="A2225" s="16">
        <v>13955</v>
      </c>
      <c r="B2225" s="17" t="s">
        <v>236</v>
      </c>
      <c r="C2225" s="17" t="s">
        <v>1155</v>
      </c>
      <c r="D2225" s="17" t="s">
        <v>1458</v>
      </c>
      <c r="E2225" s="17" t="s">
        <v>318</v>
      </c>
      <c r="F2225" s="17" t="s">
        <v>0</v>
      </c>
      <c r="G2225" s="17" t="s">
        <v>1457</v>
      </c>
      <c r="H2225" s="18">
        <v>397.51</v>
      </c>
      <c r="I2225" s="18">
        <v>397.51</v>
      </c>
      <c r="J2225" s="7" t="str">
        <f>IFERROR(_xlfn.XLOOKUP(F2225,ccustos!A:A,ccustos!B:B),"Sem termo")</f>
        <v>SEPAT</v>
      </c>
    </row>
    <row r="2226" spans="1:10" ht="36.75" customHeight="1" x14ac:dyDescent="0.25">
      <c r="A2226" s="14">
        <v>13956</v>
      </c>
      <c r="B2226" s="7" t="s">
        <v>236</v>
      </c>
      <c r="C2226" s="7" t="s">
        <v>1245</v>
      </c>
      <c r="D2226" s="7" t="s">
        <v>1459</v>
      </c>
      <c r="E2226" s="7" t="s">
        <v>1245</v>
      </c>
      <c r="F2226" s="7" t="s">
        <v>24</v>
      </c>
      <c r="G2226" s="7" t="s">
        <v>1460</v>
      </c>
      <c r="H2226" s="15">
        <v>17450</v>
      </c>
      <c r="I2226" s="15">
        <v>17450</v>
      </c>
      <c r="J2226" s="7" t="str">
        <f>IFERROR(_xlfn.XLOOKUP(F2226,ccustos!A:A,ccustos!B:B),"Sem termo")</f>
        <v>DEINFRA</v>
      </c>
    </row>
    <row r="2227" spans="1:10" ht="25.5" customHeight="1" x14ac:dyDescent="0.25">
      <c r="A2227" s="16">
        <v>13957</v>
      </c>
      <c r="B2227" s="17" t="s">
        <v>236</v>
      </c>
      <c r="C2227" s="17" t="s">
        <v>1271</v>
      </c>
      <c r="D2227" s="17" t="s">
        <v>1461</v>
      </c>
      <c r="E2227" s="17" t="s">
        <v>335</v>
      </c>
      <c r="F2227" s="17" t="s">
        <v>190</v>
      </c>
      <c r="G2227" s="17" t="s">
        <v>1462</v>
      </c>
      <c r="H2227" s="18">
        <v>4300</v>
      </c>
      <c r="I2227" s="18">
        <v>4300</v>
      </c>
      <c r="J2227" s="7" t="str">
        <f>IFERROR(_xlfn.XLOOKUP(F2227,ccustos!A:A,ccustos!B:B),"Sem termo")</f>
        <v>TERMOS INDIVIDUAIS</v>
      </c>
    </row>
    <row r="2228" spans="1:10" ht="36.75" customHeight="1" x14ac:dyDescent="0.25">
      <c r="A2228" s="14">
        <v>13959</v>
      </c>
      <c r="B2228" s="7" t="s">
        <v>236</v>
      </c>
      <c r="C2228" s="7" t="s">
        <v>1271</v>
      </c>
      <c r="D2228" s="7" t="s">
        <v>1461</v>
      </c>
      <c r="E2228" s="7" t="s">
        <v>335</v>
      </c>
      <c r="F2228" s="7" t="s">
        <v>190</v>
      </c>
      <c r="G2228" s="7" t="s">
        <v>1462</v>
      </c>
      <c r="H2228" s="15">
        <v>4300</v>
      </c>
      <c r="I2228" s="15">
        <v>4300</v>
      </c>
      <c r="J2228" s="7" t="str">
        <f>IFERROR(_xlfn.XLOOKUP(F2228,ccustos!A:A,ccustos!B:B),"Sem termo")</f>
        <v>TERMOS INDIVIDUAIS</v>
      </c>
    </row>
    <row r="2229" spans="1:10" ht="36.75" customHeight="1" x14ac:dyDescent="0.25">
      <c r="A2229" s="16">
        <v>13960</v>
      </c>
      <c r="B2229" s="17" t="s">
        <v>236</v>
      </c>
      <c r="C2229" s="17" t="s">
        <v>1271</v>
      </c>
      <c r="D2229" s="17" t="s">
        <v>1461</v>
      </c>
      <c r="E2229" s="17" t="s">
        <v>335</v>
      </c>
      <c r="F2229" s="17" t="s">
        <v>81</v>
      </c>
      <c r="G2229" s="17" t="s">
        <v>1462</v>
      </c>
      <c r="H2229" s="18">
        <v>4300</v>
      </c>
      <c r="I2229" s="18">
        <v>4300</v>
      </c>
      <c r="J2229" s="7" t="str">
        <f>IFERROR(_xlfn.XLOOKUP(F2229,ccustos!A:A,ccustos!B:B),"Sem termo")</f>
        <v>SEPAT</v>
      </c>
    </row>
    <row r="2230" spans="1:10" ht="36.75" customHeight="1" x14ac:dyDescent="0.25">
      <c r="A2230" s="14">
        <v>13964</v>
      </c>
      <c r="B2230" s="7" t="s">
        <v>236</v>
      </c>
      <c r="C2230" s="7" t="s">
        <v>1271</v>
      </c>
      <c r="D2230" s="7" t="s">
        <v>1461</v>
      </c>
      <c r="E2230" s="7" t="s">
        <v>335</v>
      </c>
      <c r="F2230" s="7" t="s">
        <v>190</v>
      </c>
      <c r="G2230" s="7" t="s">
        <v>1462</v>
      </c>
      <c r="H2230" s="15">
        <v>4300</v>
      </c>
      <c r="I2230" s="15">
        <v>4300</v>
      </c>
      <c r="J2230" s="7" t="str">
        <f>IFERROR(_xlfn.XLOOKUP(F2230,ccustos!A:A,ccustos!B:B),"Sem termo")</f>
        <v>TERMOS INDIVIDUAIS</v>
      </c>
    </row>
    <row r="2231" spans="1:10" ht="36.75" customHeight="1" x14ac:dyDescent="0.25">
      <c r="A2231" s="16">
        <v>13965</v>
      </c>
      <c r="B2231" s="17" t="s">
        <v>236</v>
      </c>
      <c r="C2231" s="17" t="s">
        <v>1271</v>
      </c>
      <c r="D2231" s="17" t="s">
        <v>1461</v>
      </c>
      <c r="E2231" s="17" t="s">
        <v>335</v>
      </c>
      <c r="F2231" s="17" t="s">
        <v>81</v>
      </c>
      <c r="G2231" s="17" t="s">
        <v>1462</v>
      </c>
      <c r="H2231" s="18">
        <v>4300</v>
      </c>
      <c r="I2231" s="18">
        <v>4300</v>
      </c>
      <c r="J2231" s="7" t="str">
        <f>IFERROR(_xlfn.XLOOKUP(F2231,ccustos!A:A,ccustos!B:B),"Sem termo")</f>
        <v>SEPAT</v>
      </c>
    </row>
    <row r="2232" spans="1:10" ht="25.5" customHeight="1" x14ac:dyDescent="0.25">
      <c r="A2232" s="14">
        <v>13966</v>
      </c>
      <c r="B2232" s="7" t="s">
        <v>236</v>
      </c>
      <c r="C2232" s="7" t="s">
        <v>1271</v>
      </c>
      <c r="D2232" s="7" t="s">
        <v>1461</v>
      </c>
      <c r="E2232" s="7" t="s">
        <v>335</v>
      </c>
      <c r="F2232" s="7" t="s">
        <v>54</v>
      </c>
      <c r="G2232" s="7" t="s">
        <v>1462</v>
      </c>
      <c r="H2232" s="15">
        <v>4300</v>
      </c>
      <c r="I2232" s="15">
        <v>4300</v>
      </c>
      <c r="J2232" s="7" t="str">
        <f>IFERROR(_xlfn.XLOOKUP(F2232,ccustos!A:A,ccustos!B:B),"Sem termo")</f>
        <v>DEFIN</v>
      </c>
    </row>
    <row r="2233" spans="1:10" ht="25.5" customHeight="1" x14ac:dyDescent="0.25">
      <c r="A2233" s="16">
        <v>13972</v>
      </c>
      <c r="B2233" s="17" t="s">
        <v>236</v>
      </c>
      <c r="C2233" s="17" t="s">
        <v>1271</v>
      </c>
      <c r="D2233" s="17" t="s">
        <v>1461</v>
      </c>
      <c r="E2233" s="17" t="s">
        <v>335</v>
      </c>
      <c r="F2233" s="17" t="s">
        <v>190</v>
      </c>
      <c r="G2233" s="17" t="s">
        <v>1462</v>
      </c>
      <c r="H2233" s="18">
        <v>4300</v>
      </c>
      <c r="I2233" s="18">
        <v>4300</v>
      </c>
      <c r="J2233" s="7" t="str">
        <f>IFERROR(_xlfn.XLOOKUP(F2233,ccustos!A:A,ccustos!B:B),"Sem termo")</f>
        <v>TERMOS INDIVIDUAIS</v>
      </c>
    </row>
    <row r="2234" spans="1:10" ht="25.5" customHeight="1" x14ac:dyDescent="0.25">
      <c r="A2234" s="14">
        <v>13973</v>
      </c>
      <c r="B2234" s="7" t="s">
        <v>236</v>
      </c>
      <c r="C2234" s="7" t="s">
        <v>1271</v>
      </c>
      <c r="D2234" s="7" t="s">
        <v>1461</v>
      </c>
      <c r="E2234" s="7" t="s">
        <v>335</v>
      </c>
      <c r="F2234" s="7" t="s">
        <v>190</v>
      </c>
      <c r="G2234" s="7" t="s">
        <v>1462</v>
      </c>
      <c r="H2234" s="15">
        <v>4300</v>
      </c>
      <c r="I2234" s="15">
        <v>4300</v>
      </c>
      <c r="J2234" s="7" t="str">
        <f>IFERROR(_xlfn.XLOOKUP(F2234,ccustos!A:A,ccustos!B:B),"Sem termo")</f>
        <v>TERMOS INDIVIDUAIS</v>
      </c>
    </row>
    <row r="2235" spans="1:10" ht="25.5" customHeight="1" x14ac:dyDescent="0.25">
      <c r="A2235" s="16">
        <v>13974</v>
      </c>
      <c r="B2235" s="17" t="s">
        <v>236</v>
      </c>
      <c r="C2235" s="17" t="s">
        <v>1271</v>
      </c>
      <c r="D2235" s="17" t="s">
        <v>1461</v>
      </c>
      <c r="E2235" s="17" t="s">
        <v>335</v>
      </c>
      <c r="F2235" s="17" t="s">
        <v>190</v>
      </c>
      <c r="G2235" s="17" t="s">
        <v>1462</v>
      </c>
      <c r="H2235" s="18">
        <v>4300</v>
      </c>
      <c r="I2235" s="18">
        <v>4300</v>
      </c>
      <c r="J2235" s="7" t="str">
        <f>IFERROR(_xlfn.XLOOKUP(F2235,ccustos!A:A,ccustos!B:B),"Sem termo")</f>
        <v>TERMOS INDIVIDUAIS</v>
      </c>
    </row>
    <row r="2236" spans="1:10" ht="25.5" customHeight="1" x14ac:dyDescent="0.25">
      <c r="A2236" s="14">
        <v>13976</v>
      </c>
      <c r="B2236" s="7" t="s">
        <v>236</v>
      </c>
      <c r="C2236" s="7" t="s">
        <v>1271</v>
      </c>
      <c r="D2236" s="7" t="s">
        <v>1461</v>
      </c>
      <c r="E2236" s="7" t="s">
        <v>335</v>
      </c>
      <c r="F2236" s="7" t="s">
        <v>190</v>
      </c>
      <c r="G2236" s="7" t="s">
        <v>1462</v>
      </c>
      <c r="H2236" s="15">
        <v>4300</v>
      </c>
      <c r="I2236" s="15">
        <v>4300</v>
      </c>
      <c r="J2236" s="7" t="str">
        <f>IFERROR(_xlfn.XLOOKUP(F2236,ccustos!A:A,ccustos!B:B),"Sem termo")</f>
        <v>TERMOS INDIVIDUAIS</v>
      </c>
    </row>
    <row r="2237" spans="1:10" ht="25.5" customHeight="1" x14ac:dyDescent="0.25">
      <c r="A2237" s="16">
        <v>13978</v>
      </c>
      <c r="B2237" s="17" t="s">
        <v>236</v>
      </c>
      <c r="C2237" s="17" t="s">
        <v>1271</v>
      </c>
      <c r="D2237" s="17" t="s">
        <v>1461</v>
      </c>
      <c r="E2237" s="17" t="s">
        <v>335</v>
      </c>
      <c r="F2237" s="17" t="s">
        <v>47</v>
      </c>
      <c r="G2237" s="17" t="s">
        <v>1462</v>
      </c>
      <c r="H2237" s="18">
        <v>4300</v>
      </c>
      <c r="I2237" s="18">
        <v>4300</v>
      </c>
      <c r="J2237" s="7" t="str">
        <f>IFERROR(_xlfn.XLOOKUP(F2237,ccustos!A:A,ccustos!B:B),"Sem termo")</f>
        <v>CDPROF</v>
      </c>
    </row>
    <row r="2238" spans="1:10" ht="36.75" customHeight="1" x14ac:dyDescent="0.25">
      <c r="A2238" s="14">
        <v>13979</v>
      </c>
      <c r="B2238" s="7" t="s">
        <v>236</v>
      </c>
      <c r="C2238" s="7" t="s">
        <v>1271</v>
      </c>
      <c r="D2238" s="7" t="s">
        <v>1461</v>
      </c>
      <c r="E2238" s="7" t="s">
        <v>335</v>
      </c>
      <c r="F2238" s="7" t="s">
        <v>190</v>
      </c>
      <c r="G2238" s="7" t="s">
        <v>1462</v>
      </c>
      <c r="H2238" s="15">
        <v>4300</v>
      </c>
      <c r="I2238" s="15">
        <v>4300</v>
      </c>
      <c r="J2238" s="7" t="str">
        <f>IFERROR(_xlfn.XLOOKUP(F2238,ccustos!A:A,ccustos!B:B),"Sem termo")</f>
        <v>TERMOS INDIVIDUAIS</v>
      </c>
    </row>
    <row r="2239" spans="1:10" ht="25.5" customHeight="1" x14ac:dyDescent="0.25">
      <c r="A2239" s="16">
        <v>13980</v>
      </c>
      <c r="B2239" s="17" t="s">
        <v>236</v>
      </c>
      <c r="C2239" s="17" t="s">
        <v>1271</v>
      </c>
      <c r="D2239" s="17" t="s">
        <v>1461</v>
      </c>
      <c r="E2239" s="17" t="s">
        <v>335</v>
      </c>
      <c r="F2239" s="17" t="s">
        <v>33</v>
      </c>
      <c r="G2239" s="17" t="s">
        <v>1462</v>
      </c>
      <c r="H2239" s="18">
        <v>4300</v>
      </c>
      <c r="I2239" s="18">
        <v>4300</v>
      </c>
      <c r="J2239" s="7" t="str">
        <f>IFERROR(_xlfn.XLOOKUP(F2239,ccustos!A:A,ccustos!B:B),"Sem termo")</f>
        <v>COPI</v>
      </c>
    </row>
    <row r="2240" spans="1:10" ht="25.5" customHeight="1" x14ac:dyDescent="0.25">
      <c r="A2240" s="14">
        <v>13981</v>
      </c>
      <c r="B2240" s="7" t="s">
        <v>236</v>
      </c>
      <c r="C2240" s="7" t="s">
        <v>1271</v>
      </c>
      <c r="D2240" s="7" t="s">
        <v>1461</v>
      </c>
      <c r="E2240" s="7" t="s">
        <v>335</v>
      </c>
      <c r="F2240" s="7" t="s">
        <v>190</v>
      </c>
      <c r="G2240" s="7" t="s">
        <v>1462</v>
      </c>
      <c r="H2240" s="15">
        <v>4300</v>
      </c>
      <c r="I2240" s="15">
        <v>4300</v>
      </c>
      <c r="J2240" s="7" t="str">
        <f>IFERROR(_xlfn.XLOOKUP(F2240,ccustos!A:A,ccustos!B:B),"Sem termo")</f>
        <v>TERMOS INDIVIDUAIS</v>
      </c>
    </row>
    <row r="2241" spans="1:10" ht="25.5" customHeight="1" x14ac:dyDescent="0.25">
      <c r="A2241" s="16">
        <v>13982</v>
      </c>
      <c r="B2241" s="17" t="s">
        <v>236</v>
      </c>
      <c r="C2241" s="17" t="s">
        <v>1271</v>
      </c>
      <c r="D2241" s="17" t="s">
        <v>1461</v>
      </c>
      <c r="E2241" s="17" t="s">
        <v>335</v>
      </c>
      <c r="F2241" s="17" t="s">
        <v>37</v>
      </c>
      <c r="G2241" s="17" t="s">
        <v>1462</v>
      </c>
      <c r="H2241" s="18">
        <v>4300</v>
      </c>
      <c r="I2241" s="18">
        <v>4300</v>
      </c>
      <c r="J2241" s="7" t="str">
        <f>IFERROR(_xlfn.XLOOKUP(F2241,ccustos!A:A,ccustos!B:B),"Sem termo")</f>
        <v>PROJUR</v>
      </c>
    </row>
    <row r="2242" spans="1:10" ht="25.5" customHeight="1" x14ac:dyDescent="0.25">
      <c r="A2242" s="14">
        <v>13983</v>
      </c>
      <c r="B2242" s="7" t="s">
        <v>236</v>
      </c>
      <c r="C2242" s="7" t="s">
        <v>1271</v>
      </c>
      <c r="D2242" s="7" t="s">
        <v>1461</v>
      </c>
      <c r="E2242" s="7" t="s">
        <v>335</v>
      </c>
      <c r="F2242" s="7" t="s">
        <v>190</v>
      </c>
      <c r="G2242" s="7" t="s">
        <v>1462</v>
      </c>
      <c r="H2242" s="15">
        <v>4300</v>
      </c>
      <c r="I2242" s="15">
        <v>4300</v>
      </c>
      <c r="J2242" s="7" t="str">
        <f>IFERROR(_xlfn.XLOOKUP(F2242,ccustos!A:A,ccustos!B:B),"Sem termo")</f>
        <v>TERMOS INDIVIDUAIS</v>
      </c>
    </row>
    <row r="2243" spans="1:10" ht="25.5" customHeight="1" x14ac:dyDescent="0.25">
      <c r="A2243" s="16">
        <v>13989</v>
      </c>
      <c r="B2243" s="17" t="s">
        <v>236</v>
      </c>
      <c r="C2243" s="17" t="s">
        <v>1271</v>
      </c>
      <c r="D2243" s="17" t="s">
        <v>1461</v>
      </c>
      <c r="E2243" s="17" t="s">
        <v>335</v>
      </c>
      <c r="F2243" s="17" t="s">
        <v>190</v>
      </c>
      <c r="G2243" s="17" t="s">
        <v>1462</v>
      </c>
      <c r="H2243" s="18">
        <v>4300</v>
      </c>
      <c r="I2243" s="18">
        <v>4300</v>
      </c>
      <c r="J2243" s="7" t="str">
        <f>IFERROR(_xlfn.XLOOKUP(F2243,ccustos!A:A,ccustos!B:B),"Sem termo")</f>
        <v>TERMOS INDIVIDUAIS</v>
      </c>
    </row>
    <row r="2244" spans="1:10" ht="25.5" customHeight="1" x14ac:dyDescent="0.25">
      <c r="A2244" s="14">
        <v>13990</v>
      </c>
      <c r="B2244" s="7" t="s">
        <v>236</v>
      </c>
      <c r="C2244" s="7" t="s">
        <v>1271</v>
      </c>
      <c r="D2244" s="7" t="s">
        <v>1461</v>
      </c>
      <c r="E2244" s="7" t="s">
        <v>335</v>
      </c>
      <c r="F2244" s="7" t="s">
        <v>37</v>
      </c>
      <c r="G2244" s="7" t="s">
        <v>1462</v>
      </c>
      <c r="H2244" s="15">
        <v>4300</v>
      </c>
      <c r="I2244" s="15">
        <v>4300</v>
      </c>
      <c r="J2244" s="7" t="str">
        <f>IFERROR(_xlfn.XLOOKUP(F2244,ccustos!A:A,ccustos!B:B),"Sem termo")</f>
        <v>PROJUR</v>
      </c>
    </row>
    <row r="2245" spans="1:10" ht="25.5" customHeight="1" x14ac:dyDescent="0.25">
      <c r="A2245" s="16">
        <v>13994</v>
      </c>
      <c r="B2245" s="17" t="s">
        <v>236</v>
      </c>
      <c r="C2245" s="17" t="s">
        <v>1271</v>
      </c>
      <c r="D2245" s="17" t="s">
        <v>1461</v>
      </c>
      <c r="E2245" s="17" t="s">
        <v>335</v>
      </c>
      <c r="F2245" s="17" t="s">
        <v>52</v>
      </c>
      <c r="G2245" s="17" t="s">
        <v>1462</v>
      </c>
      <c r="H2245" s="18">
        <v>4300</v>
      </c>
      <c r="I2245" s="18">
        <v>4300</v>
      </c>
      <c r="J2245" s="7" t="str">
        <f>IFERROR(_xlfn.XLOOKUP(F2245,ccustos!A:A,ccustos!B:B),"Sem termo")</f>
        <v>COREG</v>
      </c>
    </row>
    <row r="2246" spans="1:10" ht="36.75" customHeight="1" x14ac:dyDescent="0.25">
      <c r="A2246" s="14">
        <v>13999</v>
      </c>
      <c r="B2246" s="7" t="s">
        <v>236</v>
      </c>
      <c r="C2246" s="7" t="s">
        <v>1271</v>
      </c>
      <c r="D2246" s="7" t="s">
        <v>1461</v>
      </c>
      <c r="E2246" s="7" t="s">
        <v>335</v>
      </c>
      <c r="F2246" s="7" t="s">
        <v>190</v>
      </c>
      <c r="G2246" s="7" t="s">
        <v>1462</v>
      </c>
      <c r="H2246" s="15">
        <v>4300</v>
      </c>
      <c r="I2246" s="15">
        <v>4300</v>
      </c>
      <c r="J2246" s="7" t="str">
        <f>IFERROR(_xlfn.XLOOKUP(F2246,ccustos!A:A,ccustos!B:B),"Sem termo")</f>
        <v>TERMOS INDIVIDUAIS</v>
      </c>
    </row>
    <row r="2247" spans="1:10" ht="36.75" customHeight="1" x14ac:dyDescent="0.25">
      <c r="A2247" s="16">
        <v>14001</v>
      </c>
      <c r="B2247" s="17" t="s">
        <v>236</v>
      </c>
      <c r="C2247" s="17" t="s">
        <v>1271</v>
      </c>
      <c r="D2247" s="17" t="s">
        <v>1461</v>
      </c>
      <c r="E2247" s="17" t="s">
        <v>335</v>
      </c>
      <c r="F2247" s="17" t="s">
        <v>49</v>
      </c>
      <c r="G2247" s="17" t="s">
        <v>1462</v>
      </c>
      <c r="H2247" s="18">
        <v>4300</v>
      </c>
      <c r="I2247" s="18">
        <v>4300</v>
      </c>
      <c r="J2247" s="7" t="str">
        <f>IFERROR(_xlfn.XLOOKUP(F2247,ccustos!A:A,ccustos!B:B),"Sem termo")</f>
        <v>COAD</v>
      </c>
    </row>
    <row r="2248" spans="1:10" ht="36.75" customHeight="1" x14ac:dyDescent="0.25">
      <c r="A2248" s="14">
        <v>14002</v>
      </c>
      <c r="B2248" s="7" t="s">
        <v>236</v>
      </c>
      <c r="C2248" s="7" t="s">
        <v>1271</v>
      </c>
      <c r="D2248" s="7" t="s">
        <v>1461</v>
      </c>
      <c r="E2248" s="7" t="s">
        <v>335</v>
      </c>
      <c r="F2248" s="7" t="s">
        <v>190</v>
      </c>
      <c r="G2248" s="7" t="s">
        <v>1462</v>
      </c>
      <c r="H2248" s="15">
        <v>4300</v>
      </c>
      <c r="I2248" s="15">
        <v>4300</v>
      </c>
      <c r="J2248" s="7" t="str">
        <f>IFERROR(_xlfn.XLOOKUP(F2248,ccustos!A:A,ccustos!B:B),"Sem termo")</f>
        <v>TERMOS INDIVIDUAIS</v>
      </c>
    </row>
    <row r="2249" spans="1:10" ht="36.75" customHeight="1" x14ac:dyDescent="0.25">
      <c r="A2249" s="16">
        <v>14007</v>
      </c>
      <c r="B2249" s="17" t="s">
        <v>236</v>
      </c>
      <c r="C2249" s="17" t="s">
        <v>1271</v>
      </c>
      <c r="D2249" s="17" t="s">
        <v>1461</v>
      </c>
      <c r="E2249" s="17" t="s">
        <v>335</v>
      </c>
      <c r="F2249" s="17" t="s">
        <v>190</v>
      </c>
      <c r="G2249" s="17" t="s">
        <v>1462</v>
      </c>
      <c r="H2249" s="18">
        <v>4300</v>
      </c>
      <c r="I2249" s="18">
        <v>4300</v>
      </c>
      <c r="J2249" s="7" t="str">
        <f>IFERROR(_xlfn.XLOOKUP(F2249,ccustos!A:A,ccustos!B:B),"Sem termo")</f>
        <v>TERMOS INDIVIDUAIS</v>
      </c>
    </row>
    <row r="2250" spans="1:10" ht="36.75" customHeight="1" x14ac:dyDescent="0.25">
      <c r="A2250" s="14">
        <v>14008</v>
      </c>
      <c r="B2250" s="7" t="s">
        <v>236</v>
      </c>
      <c r="C2250" s="7" t="s">
        <v>1271</v>
      </c>
      <c r="D2250" s="7" t="s">
        <v>1461</v>
      </c>
      <c r="E2250" s="7" t="s">
        <v>335</v>
      </c>
      <c r="F2250" s="7" t="s">
        <v>190</v>
      </c>
      <c r="G2250" s="7" t="s">
        <v>1462</v>
      </c>
      <c r="H2250" s="15">
        <v>4300</v>
      </c>
      <c r="I2250" s="15">
        <v>4300</v>
      </c>
      <c r="J2250" s="7" t="str">
        <f>IFERROR(_xlfn.XLOOKUP(F2250,ccustos!A:A,ccustos!B:B),"Sem termo")</f>
        <v>TERMOS INDIVIDUAIS</v>
      </c>
    </row>
    <row r="2251" spans="1:10" ht="36.75" customHeight="1" x14ac:dyDescent="0.25">
      <c r="A2251" s="16">
        <v>14012</v>
      </c>
      <c r="B2251" s="17" t="s">
        <v>236</v>
      </c>
      <c r="C2251" s="17" t="s">
        <v>1271</v>
      </c>
      <c r="D2251" s="17" t="s">
        <v>1461</v>
      </c>
      <c r="E2251" s="17" t="s">
        <v>335</v>
      </c>
      <c r="F2251" s="17" t="s">
        <v>190</v>
      </c>
      <c r="G2251" s="17" t="s">
        <v>1462</v>
      </c>
      <c r="H2251" s="18">
        <v>4300</v>
      </c>
      <c r="I2251" s="18">
        <v>4300</v>
      </c>
      <c r="J2251" s="7" t="str">
        <f>IFERROR(_xlfn.XLOOKUP(F2251,ccustos!A:A,ccustos!B:B),"Sem termo")</f>
        <v>TERMOS INDIVIDUAIS</v>
      </c>
    </row>
    <row r="2252" spans="1:10" ht="36.75" customHeight="1" x14ac:dyDescent="0.25">
      <c r="A2252" s="14">
        <v>14013</v>
      </c>
      <c r="B2252" s="7" t="s">
        <v>236</v>
      </c>
      <c r="C2252" s="7" t="s">
        <v>1271</v>
      </c>
      <c r="D2252" s="7" t="s">
        <v>1461</v>
      </c>
      <c r="E2252" s="7" t="s">
        <v>335</v>
      </c>
      <c r="F2252" s="7" t="s">
        <v>81</v>
      </c>
      <c r="G2252" s="7" t="s">
        <v>1462</v>
      </c>
      <c r="H2252" s="15">
        <v>4300</v>
      </c>
      <c r="I2252" s="15">
        <v>4300</v>
      </c>
      <c r="J2252" s="7" t="str">
        <f>IFERROR(_xlfn.XLOOKUP(F2252,ccustos!A:A,ccustos!B:B),"Sem termo")</f>
        <v>SEPAT</v>
      </c>
    </row>
    <row r="2253" spans="1:10" ht="14.25" customHeight="1" x14ac:dyDescent="0.25">
      <c r="A2253" s="16">
        <v>14014</v>
      </c>
      <c r="B2253" s="17" t="s">
        <v>236</v>
      </c>
      <c r="C2253" s="17" t="s">
        <v>1271</v>
      </c>
      <c r="D2253" s="17" t="s">
        <v>1461</v>
      </c>
      <c r="E2253" s="17" t="s">
        <v>335</v>
      </c>
      <c r="F2253" s="17" t="s">
        <v>47</v>
      </c>
      <c r="G2253" s="17" t="s">
        <v>1462</v>
      </c>
      <c r="H2253" s="18">
        <v>4300</v>
      </c>
      <c r="I2253" s="18">
        <v>4300</v>
      </c>
      <c r="J2253" s="7" t="str">
        <f>IFERROR(_xlfn.XLOOKUP(F2253,ccustos!A:A,ccustos!B:B),"Sem termo")</f>
        <v>CDPROF</v>
      </c>
    </row>
    <row r="2254" spans="1:10" ht="14.25" customHeight="1" x14ac:dyDescent="0.25">
      <c r="A2254" s="14">
        <v>14015</v>
      </c>
      <c r="B2254" s="7" t="s">
        <v>236</v>
      </c>
      <c r="C2254" s="7" t="s">
        <v>1271</v>
      </c>
      <c r="D2254" s="7" t="s">
        <v>1461</v>
      </c>
      <c r="E2254" s="7" t="s">
        <v>335</v>
      </c>
      <c r="F2254" s="7" t="s">
        <v>38</v>
      </c>
      <c r="G2254" s="7" t="s">
        <v>1462</v>
      </c>
      <c r="H2254" s="15">
        <v>4300</v>
      </c>
      <c r="I2254" s="15">
        <v>4300</v>
      </c>
      <c r="J2254" s="7" t="str">
        <f>IFERROR(_xlfn.XLOOKUP(F2254,ccustos!A:A,ccustos!B:B),"Sem termo")</f>
        <v>CDPROF</v>
      </c>
    </row>
    <row r="2255" spans="1:10" ht="14.25" customHeight="1" x14ac:dyDescent="0.25">
      <c r="A2255" s="16">
        <v>14019</v>
      </c>
      <c r="B2255" s="17" t="s">
        <v>236</v>
      </c>
      <c r="C2255" s="17" t="s">
        <v>1271</v>
      </c>
      <c r="D2255" s="17" t="s">
        <v>1463</v>
      </c>
      <c r="E2255" s="17" t="s">
        <v>335</v>
      </c>
      <c r="F2255" s="17" t="s">
        <v>190</v>
      </c>
      <c r="G2255" s="17" t="s">
        <v>1462</v>
      </c>
      <c r="H2255" s="18">
        <v>4300</v>
      </c>
      <c r="I2255" s="18">
        <v>4300</v>
      </c>
      <c r="J2255" s="7" t="str">
        <f>IFERROR(_xlfn.XLOOKUP(F2255,ccustos!A:A,ccustos!B:B),"Sem termo")</f>
        <v>TERMOS INDIVIDUAIS</v>
      </c>
    </row>
    <row r="2256" spans="1:10" ht="36.75" customHeight="1" x14ac:dyDescent="0.25">
      <c r="A2256" s="14">
        <v>14021</v>
      </c>
      <c r="B2256" s="7" t="s">
        <v>236</v>
      </c>
      <c r="C2256" s="7" t="s">
        <v>1271</v>
      </c>
      <c r="D2256" s="7" t="s">
        <v>1461</v>
      </c>
      <c r="E2256" s="7" t="s">
        <v>335</v>
      </c>
      <c r="F2256" s="7" t="s">
        <v>20</v>
      </c>
      <c r="G2256" s="7" t="s">
        <v>1462</v>
      </c>
      <c r="H2256" s="15">
        <v>4300</v>
      </c>
      <c r="I2256" s="15">
        <v>4300</v>
      </c>
      <c r="J2256" s="7" t="str">
        <f>IFERROR(_xlfn.XLOOKUP(F2256,ccustos!A:A,ccustos!B:B),"Sem termo")</f>
        <v>CGTI</v>
      </c>
    </row>
    <row r="2257" spans="1:10" ht="36.75" customHeight="1" x14ac:dyDescent="0.25">
      <c r="A2257" s="16">
        <v>14027</v>
      </c>
      <c r="B2257" s="17" t="s">
        <v>236</v>
      </c>
      <c r="C2257" s="17" t="s">
        <v>1271</v>
      </c>
      <c r="D2257" s="17" t="s">
        <v>1461</v>
      </c>
      <c r="E2257" s="17" t="s">
        <v>335</v>
      </c>
      <c r="F2257" s="17" t="s">
        <v>47</v>
      </c>
      <c r="G2257" s="17" t="s">
        <v>1462</v>
      </c>
      <c r="H2257" s="18">
        <v>4300</v>
      </c>
      <c r="I2257" s="18">
        <v>4300</v>
      </c>
      <c r="J2257" s="7" t="str">
        <f>IFERROR(_xlfn.XLOOKUP(F2257,ccustos!A:A,ccustos!B:B),"Sem termo")</f>
        <v>CDPROF</v>
      </c>
    </row>
    <row r="2258" spans="1:10" ht="36.75" customHeight="1" x14ac:dyDescent="0.25">
      <c r="A2258" s="14">
        <v>14029</v>
      </c>
      <c r="B2258" s="7" t="s">
        <v>236</v>
      </c>
      <c r="C2258" s="7" t="s">
        <v>831</v>
      </c>
      <c r="D2258" s="7" t="s">
        <v>1464</v>
      </c>
      <c r="E2258" s="7" t="s">
        <v>335</v>
      </c>
      <c r="F2258" s="7" t="s">
        <v>20</v>
      </c>
      <c r="G2258" s="7" t="s">
        <v>1462</v>
      </c>
      <c r="H2258" s="15">
        <v>3311</v>
      </c>
      <c r="I2258" s="15">
        <v>3311</v>
      </c>
      <c r="J2258" s="7" t="str">
        <f>IFERROR(_xlfn.XLOOKUP(F2258,ccustos!A:A,ccustos!B:B),"Sem termo")</f>
        <v>CGTI</v>
      </c>
    </row>
    <row r="2259" spans="1:10" ht="36.75" customHeight="1" x14ac:dyDescent="0.25">
      <c r="A2259" s="16">
        <v>14030</v>
      </c>
      <c r="B2259" s="17" t="s">
        <v>236</v>
      </c>
      <c r="C2259" s="17" t="s">
        <v>831</v>
      </c>
      <c r="D2259" s="17" t="s">
        <v>1464</v>
      </c>
      <c r="E2259" s="17" t="s">
        <v>335</v>
      </c>
      <c r="F2259" s="17" t="s">
        <v>22</v>
      </c>
      <c r="G2259" s="17" t="s">
        <v>1462</v>
      </c>
      <c r="H2259" s="18">
        <v>3311</v>
      </c>
      <c r="I2259" s="18">
        <v>3311</v>
      </c>
      <c r="J2259" s="7" t="str">
        <f>IFERROR(_xlfn.XLOOKUP(F2259,ccustos!A:A,ccustos!B:B),"Sem termo")</f>
        <v>COTEC</v>
      </c>
    </row>
    <row r="2260" spans="1:10" ht="36.75" customHeight="1" x14ac:dyDescent="0.25">
      <c r="A2260" s="14">
        <v>14031</v>
      </c>
      <c r="B2260" s="7" t="s">
        <v>236</v>
      </c>
      <c r="C2260" s="7" t="s">
        <v>831</v>
      </c>
      <c r="D2260" s="7" t="s">
        <v>1464</v>
      </c>
      <c r="E2260" s="7" t="s">
        <v>335</v>
      </c>
      <c r="F2260" s="7" t="s">
        <v>48</v>
      </c>
      <c r="G2260" s="7" t="s">
        <v>1462</v>
      </c>
      <c r="H2260" s="15">
        <v>3311</v>
      </c>
      <c r="I2260" s="15">
        <v>3311</v>
      </c>
      <c r="J2260" s="7" t="str">
        <f>IFERROR(_xlfn.XLOOKUP(F2260,ccustos!A:A,ccustos!B:B),"Sem termo")</f>
        <v>DEPES</v>
      </c>
    </row>
    <row r="2261" spans="1:10" ht="36.75" customHeight="1" x14ac:dyDescent="0.25">
      <c r="A2261" s="16">
        <v>14032</v>
      </c>
      <c r="B2261" s="17" t="s">
        <v>236</v>
      </c>
      <c r="C2261" s="17" t="s">
        <v>831</v>
      </c>
      <c r="D2261" s="17" t="s">
        <v>1464</v>
      </c>
      <c r="E2261" s="17" t="s">
        <v>335</v>
      </c>
      <c r="F2261" s="17" t="s">
        <v>22</v>
      </c>
      <c r="G2261" s="17" t="s">
        <v>1462</v>
      </c>
      <c r="H2261" s="18">
        <v>3311</v>
      </c>
      <c r="I2261" s="18">
        <v>3311</v>
      </c>
      <c r="J2261" s="7" t="str">
        <f>IFERROR(_xlfn.XLOOKUP(F2261,ccustos!A:A,ccustos!B:B),"Sem termo")</f>
        <v>COTEC</v>
      </c>
    </row>
    <row r="2262" spans="1:10" ht="25.5" customHeight="1" x14ac:dyDescent="0.25">
      <c r="A2262" s="14">
        <v>14033</v>
      </c>
      <c r="B2262" s="7" t="s">
        <v>236</v>
      </c>
      <c r="C2262" s="7" t="s">
        <v>831</v>
      </c>
      <c r="D2262" s="7" t="s">
        <v>1464</v>
      </c>
      <c r="E2262" s="7" t="s">
        <v>335</v>
      </c>
      <c r="F2262" s="7" t="s">
        <v>39</v>
      </c>
      <c r="G2262" s="7" t="s">
        <v>1462</v>
      </c>
      <c r="H2262" s="15">
        <v>3311</v>
      </c>
      <c r="I2262" s="15">
        <v>3311</v>
      </c>
      <c r="J2262" s="7" t="str">
        <f>IFERROR(_xlfn.XLOOKUP(F2262,ccustos!A:A,ccustos!B:B),"Sem termo")</f>
        <v>COREG</v>
      </c>
    </row>
    <row r="2263" spans="1:10" ht="14.25" customHeight="1" x14ac:dyDescent="0.25">
      <c r="A2263" s="16">
        <v>14034</v>
      </c>
      <c r="B2263" s="17" t="s">
        <v>236</v>
      </c>
      <c r="C2263" s="17" t="s">
        <v>831</v>
      </c>
      <c r="D2263" s="17" t="s">
        <v>1464</v>
      </c>
      <c r="E2263" s="17" t="s">
        <v>335</v>
      </c>
      <c r="F2263" s="17" t="s">
        <v>20</v>
      </c>
      <c r="G2263" s="17" t="s">
        <v>1462</v>
      </c>
      <c r="H2263" s="18">
        <v>3311</v>
      </c>
      <c r="I2263" s="18">
        <v>3311</v>
      </c>
      <c r="J2263" s="7" t="str">
        <f>IFERROR(_xlfn.XLOOKUP(F2263,ccustos!A:A,ccustos!B:B),"Sem termo")</f>
        <v>CGTI</v>
      </c>
    </row>
    <row r="2264" spans="1:10" ht="14.25" customHeight="1" x14ac:dyDescent="0.25">
      <c r="A2264" s="14">
        <v>14035</v>
      </c>
      <c r="B2264" s="7" t="s">
        <v>236</v>
      </c>
      <c r="C2264" s="7" t="s">
        <v>831</v>
      </c>
      <c r="D2264" s="7" t="s">
        <v>1464</v>
      </c>
      <c r="E2264" s="7" t="s">
        <v>335</v>
      </c>
      <c r="F2264" s="7" t="s">
        <v>83</v>
      </c>
      <c r="G2264" s="7" t="s">
        <v>1462</v>
      </c>
      <c r="H2264" s="15">
        <v>3311</v>
      </c>
      <c r="I2264" s="15">
        <v>3311</v>
      </c>
      <c r="J2264" s="7" t="str">
        <f>IFERROR(_xlfn.XLOOKUP(F2264,ccustos!A:A,ccustos!B:B),"Sem termo")</f>
        <v>GABIN</v>
      </c>
    </row>
    <row r="2265" spans="1:10" ht="14.25" customHeight="1" x14ac:dyDescent="0.25">
      <c r="A2265" s="16">
        <v>14036</v>
      </c>
      <c r="B2265" s="17" t="s">
        <v>236</v>
      </c>
      <c r="C2265" s="17" t="s">
        <v>831</v>
      </c>
      <c r="D2265" s="17" t="s">
        <v>1464</v>
      </c>
      <c r="E2265" s="17" t="s">
        <v>335</v>
      </c>
      <c r="F2265" s="17" t="s">
        <v>65</v>
      </c>
      <c r="G2265" s="17" t="s">
        <v>1462</v>
      </c>
      <c r="H2265" s="18">
        <v>3311</v>
      </c>
      <c r="I2265" s="18">
        <v>3311</v>
      </c>
      <c r="J2265" s="7" t="str">
        <f>IFERROR(_xlfn.XLOOKUP(F2265,ccustos!A:A,ccustos!B:B),"Sem termo")</f>
        <v>DEINFRA</v>
      </c>
    </row>
    <row r="2266" spans="1:10" ht="14.25" customHeight="1" x14ac:dyDescent="0.25">
      <c r="A2266" s="14">
        <v>14037</v>
      </c>
      <c r="B2266" s="7" t="s">
        <v>236</v>
      </c>
      <c r="C2266" s="7" t="s">
        <v>831</v>
      </c>
      <c r="D2266" s="7" t="s">
        <v>1464</v>
      </c>
      <c r="E2266" s="7" t="s">
        <v>335</v>
      </c>
      <c r="F2266" s="7" t="s">
        <v>47</v>
      </c>
      <c r="G2266" s="7" t="s">
        <v>1462</v>
      </c>
      <c r="H2266" s="15">
        <v>3311</v>
      </c>
      <c r="I2266" s="15">
        <v>3311</v>
      </c>
      <c r="J2266" s="7" t="str">
        <f>IFERROR(_xlfn.XLOOKUP(F2266,ccustos!A:A,ccustos!B:B),"Sem termo")</f>
        <v>CDPROF</v>
      </c>
    </row>
    <row r="2267" spans="1:10" ht="25.5" customHeight="1" x14ac:dyDescent="0.25">
      <c r="A2267" s="16">
        <v>14038</v>
      </c>
      <c r="B2267" s="17" t="s">
        <v>236</v>
      </c>
      <c r="C2267" s="17" t="s">
        <v>831</v>
      </c>
      <c r="D2267" s="17" t="s">
        <v>1464</v>
      </c>
      <c r="E2267" s="17" t="s">
        <v>335</v>
      </c>
      <c r="F2267" s="17" t="s">
        <v>30</v>
      </c>
      <c r="G2267" s="17" t="s">
        <v>1462</v>
      </c>
      <c r="H2267" s="18">
        <v>3311</v>
      </c>
      <c r="I2267" s="18">
        <v>3311</v>
      </c>
      <c r="J2267" s="7" t="str">
        <f>IFERROR(_xlfn.XLOOKUP(F2267,ccustos!A:A,ccustos!B:B),"Sem termo")</f>
        <v>COFIS</v>
      </c>
    </row>
    <row r="2268" spans="1:10" ht="25.5" customHeight="1" x14ac:dyDescent="0.25">
      <c r="A2268" s="14">
        <v>14039</v>
      </c>
      <c r="B2268" s="7" t="s">
        <v>236</v>
      </c>
      <c r="C2268" s="7" t="s">
        <v>831</v>
      </c>
      <c r="D2268" s="7" t="s">
        <v>1464</v>
      </c>
      <c r="E2268" s="7" t="s">
        <v>335</v>
      </c>
      <c r="F2268" s="7" t="s">
        <v>26</v>
      </c>
      <c r="G2268" s="7" t="s">
        <v>1462</v>
      </c>
      <c r="H2268" s="15">
        <v>3311</v>
      </c>
      <c r="I2268" s="15">
        <v>3311</v>
      </c>
      <c r="J2268" s="7" t="str">
        <f>IFERROR(_xlfn.XLOOKUP(F2268,ccustos!A:A,ccustos!B:B),"Sem termo")</f>
        <v>COLOG</v>
      </c>
    </row>
    <row r="2269" spans="1:10" ht="25.5" customHeight="1" x14ac:dyDescent="0.25">
      <c r="A2269" s="16">
        <v>14040</v>
      </c>
      <c r="B2269" s="17" t="s">
        <v>236</v>
      </c>
      <c r="C2269" s="17" t="s">
        <v>831</v>
      </c>
      <c r="D2269" s="17" t="s">
        <v>1464</v>
      </c>
      <c r="E2269" s="17" t="s">
        <v>335</v>
      </c>
      <c r="F2269" s="17" t="s">
        <v>53</v>
      </c>
      <c r="G2269" s="17" t="s">
        <v>1462</v>
      </c>
      <c r="H2269" s="18">
        <v>3311</v>
      </c>
      <c r="I2269" s="18">
        <v>3311</v>
      </c>
      <c r="J2269" s="7" t="str">
        <f>IFERROR(_xlfn.XLOOKUP(F2269,ccustos!A:A,ccustos!B:B),"Sem termo")</f>
        <v>DELIC</v>
      </c>
    </row>
    <row r="2270" spans="1:10" ht="25.5" customHeight="1" x14ac:dyDescent="0.25">
      <c r="A2270" s="14">
        <v>14041</v>
      </c>
      <c r="B2270" s="7" t="s">
        <v>236</v>
      </c>
      <c r="C2270" s="7" t="s">
        <v>831</v>
      </c>
      <c r="D2270" s="7" t="s">
        <v>1464</v>
      </c>
      <c r="E2270" s="7" t="s">
        <v>335</v>
      </c>
      <c r="F2270" s="7" t="s">
        <v>20</v>
      </c>
      <c r="G2270" s="7" t="s">
        <v>1462</v>
      </c>
      <c r="H2270" s="15">
        <v>3311</v>
      </c>
      <c r="I2270" s="15">
        <v>3311</v>
      </c>
      <c r="J2270" s="7" t="str">
        <f>IFERROR(_xlfn.XLOOKUP(F2270,ccustos!A:A,ccustos!B:B),"Sem termo")</f>
        <v>CGTI</v>
      </c>
    </row>
    <row r="2271" spans="1:10" ht="25.5" customHeight="1" x14ac:dyDescent="0.25">
      <c r="A2271" s="16">
        <v>14042</v>
      </c>
      <c r="B2271" s="17" t="s">
        <v>236</v>
      </c>
      <c r="C2271" s="17" t="s">
        <v>831</v>
      </c>
      <c r="D2271" s="17" t="s">
        <v>1464</v>
      </c>
      <c r="E2271" s="17" t="s">
        <v>335</v>
      </c>
      <c r="F2271" s="17" t="s">
        <v>1465</v>
      </c>
      <c r="G2271" s="17" t="s">
        <v>1462</v>
      </c>
      <c r="H2271" s="18">
        <v>3311</v>
      </c>
      <c r="I2271" s="18">
        <v>3311</v>
      </c>
      <c r="J2271" s="7" t="str">
        <f>IFERROR(_xlfn.XLOOKUP(F2271,ccustos!A:A,ccustos!B:B),"Sem termo")</f>
        <v>Sem termo</v>
      </c>
    </row>
    <row r="2272" spans="1:10" ht="25.5" customHeight="1" x14ac:dyDescent="0.25">
      <c r="A2272" s="14">
        <v>14043</v>
      </c>
      <c r="B2272" s="7" t="s">
        <v>236</v>
      </c>
      <c r="C2272" s="7" t="s">
        <v>831</v>
      </c>
      <c r="D2272" s="7" t="s">
        <v>1464</v>
      </c>
      <c r="E2272" s="7" t="s">
        <v>335</v>
      </c>
      <c r="F2272" s="7" t="s">
        <v>62</v>
      </c>
      <c r="G2272" s="7" t="s">
        <v>1462</v>
      </c>
      <c r="H2272" s="15">
        <v>3311</v>
      </c>
      <c r="I2272" s="15">
        <v>3311</v>
      </c>
      <c r="J2272" s="7" t="str">
        <f>IFERROR(_xlfn.XLOOKUP(F2272,ccustos!A:A,ccustos!B:B),"Sem termo")</f>
        <v>SETRAN</v>
      </c>
    </row>
    <row r="2273" spans="1:10" ht="25.5" customHeight="1" x14ac:dyDescent="0.25">
      <c r="A2273" s="16">
        <v>14044</v>
      </c>
      <c r="B2273" s="17" t="s">
        <v>236</v>
      </c>
      <c r="C2273" s="17" t="s">
        <v>831</v>
      </c>
      <c r="D2273" s="17" t="s">
        <v>1464</v>
      </c>
      <c r="E2273" s="17" t="s">
        <v>335</v>
      </c>
      <c r="F2273" s="17" t="s">
        <v>47</v>
      </c>
      <c r="G2273" s="17" t="s">
        <v>1462</v>
      </c>
      <c r="H2273" s="18">
        <v>3311</v>
      </c>
      <c r="I2273" s="18">
        <v>3311</v>
      </c>
      <c r="J2273" s="7" t="str">
        <f>IFERROR(_xlfn.XLOOKUP(F2273,ccustos!A:A,ccustos!B:B),"Sem termo")</f>
        <v>CDPROF</v>
      </c>
    </row>
    <row r="2274" spans="1:10" ht="25.5" customHeight="1" x14ac:dyDescent="0.25">
      <c r="A2274" s="14">
        <v>14045</v>
      </c>
      <c r="B2274" s="7" t="s">
        <v>236</v>
      </c>
      <c r="C2274" s="7" t="s">
        <v>831</v>
      </c>
      <c r="D2274" s="7" t="s">
        <v>1464</v>
      </c>
      <c r="E2274" s="7" t="s">
        <v>335</v>
      </c>
      <c r="F2274" s="7" t="s">
        <v>20</v>
      </c>
      <c r="G2274" s="7" t="s">
        <v>1462</v>
      </c>
      <c r="H2274" s="15">
        <v>3311</v>
      </c>
      <c r="I2274" s="15">
        <v>3311</v>
      </c>
      <c r="J2274" s="7" t="str">
        <f>IFERROR(_xlfn.XLOOKUP(F2274,ccustos!A:A,ccustos!B:B),"Sem termo")</f>
        <v>CGTI</v>
      </c>
    </row>
    <row r="2275" spans="1:10" ht="25.5" customHeight="1" x14ac:dyDescent="0.25">
      <c r="A2275" s="16">
        <v>14046</v>
      </c>
      <c r="B2275" s="17" t="s">
        <v>236</v>
      </c>
      <c r="C2275" s="17" t="s">
        <v>831</v>
      </c>
      <c r="D2275" s="17" t="s">
        <v>1464</v>
      </c>
      <c r="E2275" s="17" t="s">
        <v>335</v>
      </c>
      <c r="F2275" s="17" t="s">
        <v>39</v>
      </c>
      <c r="G2275" s="17" t="s">
        <v>1462</v>
      </c>
      <c r="H2275" s="18">
        <v>3311</v>
      </c>
      <c r="I2275" s="18">
        <v>3311</v>
      </c>
      <c r="J2275" s="7" t="str">
        <f>IFERROR(_xlfn.XLOOKUP(F2275,ccustos!A:A,ccustos!B:B),"Sem termo")</f>
        <v>COREG</v>
      </c>
    </row>
    <row r="2276" spans="1:10" ht="25.5" customHeight="1" x14ac:dyDescent="0.25">
      <c r="A2276" s="14">
        <v>14047</v>
      </c>
      <c r="B2276" s="7" t="s">
        <v>236</v>
      </c>
      <c r="C2276" s="7" t="s">
        <v>831</v>
      </c>
      <c r="D2276" s="7" t="s">
        <v>1464</v>
      </c>
      <c r="E2276" s="7" t="s">
        <v>335</v>
      </c>
      <c r="F2276" s="7" t="s">
        <v>213</v>
      </c>
      <c r="G2276" s="7" t="s">
        <v>1462</v>
      </c>
      <c r="H2276" s="15">
        <v>3311</v>
      </c>
      <c r="I2276" s="15">
        <v>3311</v>
      </c>
      <c r="J2276" s="7" t="str">
        <f>IFERROR(_xlfn.XLOOKUP(F2276,ccustos!A:A,ccustos!B:B),"Sem termo")</f>
        <v>DIEPG</v>
      </c>
    </row>
    <row r="2277" spans="1:10" ht="25.5" customHeight="1" x14ac:dyDescent="0.25">
      <c r="A2277" s="16">
        <v>14048</v>
      </c>
      <c r="B2277" s="17" t="s">
        <v>236</v>
      </c>
      <c r="C2277" s="17" t="s">
        <v>831</v>
      </c>
      <c r="D2277" s="17" t="s">
        <v>1464</v>
      </c>
      <c r="E2277" s="17" t="s">
        <v>335</v>
      </c>
      <c r="F2277" s="17" t="s">
        <v>185</v>
      </c>
      <c r="G2277" s="17" t="s">
        <v>1462</v>
      </c>
      <c r="H2277" s="18">
        <v>3311</v>
      </c>
      <c r="I2277" s="18">
        <v>3311</v>
      </c>
      <c r="J2277" s="7" t="str">
        <f>IFERROR(_xlfn.XLOOKUP(F2277,ccustos!A:A,ccustos!B:B),"Sem termo")</f>
        <v>CGGE</v>
      </c>
    </row>
    <row r="2278" spans="1:10" ht="25.5" customHeight="1" x14ac:dyDescent="0.25">
      <c r="A2278" s="14">
        <v>14049</v>
      </c>
      <c r="B2278" s="7" t="s">
        <v>236</v>
      </c>
      <c r="C2278" s="7" t="s">
        <v>831</v>
      </c>
      <c r="D2278" s="7" t="s">
        <v>1464</v>
      </c>
      <c r="E2278" s="7" t="s">
        <v>335</v>
      </c>
      <c r="F2278" s="7" t="s">
        <v>53</v>
      </c>
      <c r="G2278" s="7" t="s">
        <v>1462</v>
      </c>
      <c r="H2278" s="15">
        <v>3311</v>
      </c>
      <c r="I2278" s="15">
        <v>3311</v>
      </c>
      <c r="J2278" s="7" t="str">
        <f>IFERROR(_xlfn.XLOOKUP(F2278,ccustos!A:A,ccustos!B:B),"Sem termo")</f>
        <v>DELIC</v>
      </c>
    </row>
    <row r="2279" spans="1:10" ht="25.5" customHeight="1" x14ac:dyDescent="0.25">
      <c r="A2279" s="16">
        <v>14050</v>
      </c>
      <c r="B2279" s="17" t="s">
        <v>236</v>
      </c>
      <c r="C2279" s="17" t="s">
        <v>831</v>
      </c>
      <c r="D2279" s="17" t="s">
        <v>1464</v>
      </c>
      <c r="E2279" s="17" t="s">
        <v>335</v>
      </c>
      <c r="F2279" s="17" t="s">
        <v>211</v>
      </c>
      <c r="G2279" s="17" t="s">
        <v>1462</v>
      </c>
      <c r="H2279" s="18">
        <v>3311</v>
      </c>
      <c r="I2279" s="18">
        <v>3311</v>
      </c>
      <c r="J2279" s="7" t="str">
        <f>IFERROR(_xlfn.XLOOKUP(F2279,ccustos!A:A,ccustos!B:B),"Sem termo")</f>
        <v>DIGEO</v>
      </c>
    </row>
    <row r="2280" spans="1:10" ht="25.5" customHeight="1" x14ac:dyDescent="0.25">
      <c r="A2280" s="14">
        <v>14051</v>
      </c>
      <c r="B2280" s="7" t="s">
        <v>236</v>
      </c>
      <c r="C2280" s="7" t="s">
        <v>831</v>
      </c>
      <c r="D2280" s="7" t="s">
        <v>1464</v>
      </c>
      <c r="E2280" s="7" t="s">
        <v>335</v>
      </c>
      <c r="F2280" s="7" t="s">
        <v>20</v>
      </c>
      <c r="G2280" s="7" t="s">
        <v>1462</v>
      </c>
      <c r="H2280" s="15">
        <v>3311</v>
      </c>
      <c r="I2280" s="15">
        <v>3311</v>
      </c>
      <c r="J2280" s="7" t="str">
        <f>IFERROR(_xlfn.XLOOKUP(F2280,ccustos!A:A,ccustos!B:B),"Sem termo")</f>
        <v>CGTI</v>
      </c>
    </row>
    <row r="2281" spans="1:10" ht="25.5" customHeight="1" x14ac:dyDescent="0.25">
      <c r="A2281" s="16">
        <v>14052</v>
      </c>
      <c r="B2281" s="17" t="s">
        <v>236</v>
      </c>
      <c r="C2281" s="17" t="s">
        <v>831</v>
      </c>
      <c r="D2281" s="17" t="s">
        <v>1464</v>
      </c>
      <c r="E2281" s="17" t="s">
        <v>335</v>
      </c>
      <c r="F2281" s="17" t="s">
        <v>28</v>
      </c>
      <c r="G2281" s="17" t="s">
        <v>1462</v>
      </c>
      <c r="H2281" s="18">
        <v>3311</v>
      </c>
      <c r="I2281" s="18">
        <v>3311</v>
      </c>
      <c r="J2281" s="7" t="str">
        <f>IFERROR(_xlfn.XLOOKUP(F2281,ccustos!A:A,ccustos!B:B),"Sem termo")</f>
        <v>COPI</v>
      </c>
    </row>
    <row r="2282" spans="1:10" ht="25.5" customHeight="1" x14ac:dyDescent="0.25">
      <c r="A2282" s="14">
        <v>14053</v>
      </c>
      <c r="B2282" s="7" t="s">
        <v>236</v>
      </c>
      <c r="C2282" s="7" t="s">
        <v>831</v>
      </c>
      <c r="D2282" s="7" t="s">
        <v>1464</v>
      </c>
      <c r="E2282" s="7" t="s">
        <v>335</v>
      </c>
      <c r="F2282" s="7" t="s">
        <v>6</v>
      </c>
      <c r="G2282" s="7" t="s">
        <v>1462</v>
      </c>
      <c r="H2282" s="15">
        <v>3311</v>
      </c>
      <c r="I2282" s="15">
        <v>3311</v>
      </c>
      <c r="J2282" s="7" t="str">
        <f>IFERROR(_xlfn.XLOOKUP(F2282,ccustos!A:A,ccustos!B:B),"Sem termo")</f>
        <v>SEPAT</v>
      </c>
    </row>
    <row r="2283" spans="1:10" ht="25.5" customHeight="1" x14ac:dyDescent="0.25">
      <c r="A2283" s="16">
        <v>14054</v>
      </c>
      <c r="B2283" s="17" t="s">
        <v>236</v>
      </c>
      <c r="C2283" s="17" t="s">
        <v>831</v>
      </c>
      <c r="D2283" s="17" t="s">
        <v>1464</v>
      </c>
      <c r="E2283" s="17" t="s">
        <v>335</v>
      </c>
      <c r="F2283" s="17" t="s">
        <v>185</v>
      </c>
      <c r="G2283" s="17" t="s">
        <v>1462</v>
      </c>
      <c r="H2283" s="18">
        <v>3311</v>
      </c>
      <c r="I2283" s="18">
        <v>3311</v>
      </c>
      <c r="J2283" s="7" t="str">
        <f>IFERROR(_xlfn.XLOOKUP(F2283,ccustos!A:A,ccustos!B:B),"Sem termo")</f>
        <v>CGGE</v>
      </c>
    </row>
    <row r="2284" spans="1:10" ht="25.5" customHeight="1" x14ac:dyDescent="0.25">
      <c r="A2284" s="14">
        <v>14055</v>
      </c>
      <c r="B2284" s="7" t="s">
        <v>236</v>
      </c>
      <c r="C2284" s="7" t="s">
        <v>831</v>
      </c>
      <c r="D2284" s="7" t="s">
        <v>1464</v>
      </c>
      <c r="E2284" s="7" t="s">
        <v>335</v>
      </c>
      <c r="F2284" s="7" t="s">
        <v>26</v>
      </c>
      <c r="G2284" s="7" t="s">
        <v>1462</v>
      </c>
      <c r="H2284" s="15">
        <v>3311</v>
      </c>
      <c r="I2284" s="15">
        <v>3311</v>
      </c>
      <c r="J2284" s="7" t="str">
        <f>IFERROR(_xlfn.XLOOKUP(F2284,ccustos!A:A,ccustos!B:B),"Sem termo")</f>
        <v>COLOG</v>
      </c>
    </row>
    <row r="2285" spans="1:10" ht="25.5" customHeight="1" x14ac:dyDescent="0.25">
      <c r="A2285" s="16">
        <v>14056</v>
      </c>
      <c r="B2285" s="17" t="s">
        <v>236</v>
      </c>
      <c r="C2285" s="17" t="s">
        <v>831</v>
      </c>
      <c r="D2285" s="17" t="s">
        <v>1464</v>
      </c>
      <c r="E2285" s="17" t="s">
        <v>335</v>
      </c>
      <c r="F2285" s="17" t="s">
        <v>22</v>
      </c>
      <c r="G2285" s="17" t="s">
        <v>1462</v>
      </c>
      <c r="H2285" s="18">
        <v>3311</v>
      </c>
      <c r="I2285" s="18">
        <v>3311</v>
      </c>
      <c r="J2285" s="7" t="str">
        <f>IFERROR(_xlfn.XLOOKUP(F2285,ccustos!A:A,ccustos!B:B),"Sem termo")</f>
        <v>COTEC</v>
      </c>
    </row>
    <row r="2286" spans="1:10" ht="25.5" customHeight="1" x14ac:dyDescent="0.25">
      <c r="A2286" s="14">
        <v>14057</v>
      </c>
      <c r="B2286" s="7" t="s">
        <v>236</v>
      </c>
      <c r="C2286" s="7" t="s">
        <v>831</v>
      </c>
      <c r="D2286" s="7" t="s">
        <v>1464</v>
      </c>
      <c r="E2286" s="7" t="s">
        <v>335</v>
      </c>
      <c r="F2286" s="7" t="s">
        <v>26</v>
      </c>
      <c r="G2286" s="7" t="s">
        <v>1462</v>
      </c>
      <c r="H2286" s="15">
        <v>3311</v>
      </c>
      <c r="I2286" s="15">
        <v>3311</v>
      </c>
      <c r="J2286" s="7" t="str">
        <f>IFERROR(_xlfn.XLOOKUP(F2286,ccustos!A:A,ccustos!B:B),"Sem termo")</f>
        <v>COLOG</v>
      </c>
    </row>
    <row r="2287" spans="1:10" ht="25.5" customHeight="1" x14ac:dyDescent="0.25">
      <c r="A2287" s="16">
        <v>14058</v>
      </c>
      <c r="B2287" s="17" t="s">
        <v>236</v>
      </c>
      <c r="C2287" s="17" t="s">
        <v>831</v>
      </c>
      <c r="D2287" s="17" t="s">
        <v>1464</v>
      </c>
      <c r="E2287" s="17" t="s">
        <v>335</v>
      </c>
      <c r="F2287" s="17" t="s">
        <v>55</v>
      </c>
      <c r="G2287" s="17" t="s">
        <v>1462</v>
      </c>
      <c r="H2287" s="18">
        <v>3311</v>
      </c>
      <c r="I2287" s="18">
        <v>3311</v>
      </c>
      <c r="J2287" s="7" t="str">
        <f>IFERROR(_xlfn.XLOOKUP(F2287,ccustos!A:A,ccustos!B:B),"Sem termo")</f>
        <v>DEPAD</v>
      </c>
    </row>
    <row r="2288" spans="1:10" ht="25.5" customHeight="1" x14ac:dyDescent="0.25">
      <c r="A2288" s="14">
        <v>14059</v>
      </c>
      <c r="B2288" s="7" t="s">
        <v>236</v>
      </c>
      <c r="C2288" s="7" t="s">
        <v>831</v>
      </c>
      <c r="D2288" s="7" t="s">
        <v>1464</v>
      </c>
      <c r="E2288" s="7" t="s">
        <v>335</v>
      </c>
      <c r="F2288" s="7" t="s">
        <v>70</v>
      </c>
      <c r="G2288" s="7" t="s">
        <v>1462</v>
      </c>
      <c r="H2288" s="15">
        <v>3311</v>
      </c>
      <c r="I2288" s="15">
        <v>3311</v>
      </c>
      <c r="J2288" s="7" t="str">
        <f>IFERROR(_xlfn.XLOOKUP(F2288,ccustos!A:A,ccustos!B:B),"Sem termo")</f>
        <v>SEBIB</v>
      </c>
    </row>
    <row r="2289" spans="1:10" ht="25.5" customHeight="1" x14ac:dyDescent="0.25">
      <c r="A2289" s="16">
        <v>14060</v>
      </c>
      <c r="B2289" s="17" t="s">
        <v>236</v>
      </c>
      <c r="C2289" s="17" t="s">
        <v>831</v>
      </c>
      <c r="D2289" s="17" t="s">
        <v>1464</v>
      </c>
      <c r="E2289" s="17" t="s">
        <v>335</v>
      </c>
      <c r="F2289" s="17" t="s">
        <v>20</v>
      </c>
      <c r="G2289" s="17" t="s">
        <v>1462</v>
      </c>
      <c r="H2289" s="18">
        <v>3311</v>
      </c>
      <c r="I2289" s="18">
        <v>3311</v>
      </c>
      <c r="J2289" s="7" t="str">
        <f>IFERROR(_xlfn.XLOOKUP(F2289,ccustos!A:A,ccustos!B:B),"Sem termo")</f>
        <v>CGTI</v>
      </c>
    </row>
    <row r="2290" spans="1:10" ht="25.5" customHeight="1" x14ac:dyDescent="0.25">
      <c r="A2290" s="14">
        <v>14061</v>
      </c>
      <c r="B2290" s="7" t="s">
        <v>236</v>
      </c>
      <c r="C2290" s="7" t="s">
        <v>831</v>
      </c>
      <c r="D2290" s="7" t="s">
        <v>1464</v>
      </c>
      <c r="E2290" s="7" t="s">
        <v>335</v>
      </c>
      <c r="F2290" s="7" t="s">
        <v>185</v>
      </c>
      <c r="G2290" s="7" t="s">
        <v>1462</v>
      </c>
      <c r="H2290" s="15">
        <v>3311</v>
      </c>
      <c r="I2290" s="15">
        <v>3311</v>
      </c>
      <c r="J2290" s="7" t="str">
        <f>IFERROR(_xlfn.XLOOKUP(F2290,ccustos!A:A,ccustos!B:B),"Sem termo")</f>
        <v>CGGE</v>
      </c>
    </row>
    <row r="2291" spans="1:10" ht="25.5" customHeight="1" x14ac:dyDescent="0.25">
      <c r="A2291" s="16">
        <v>14062</v>
      </c>
      <c r="B2291" s="17" t="s">
        <v>236</v>
      </c>
      <c r="C2291" s="17" t="s">
        <v>831</v>
      </c>
      <c r="D2291" s="17" t="s">
        <v>1464</v>
      </c>
      <c r="E2291" s="17" t="s">
        <v>335</v>
      </c>
      <c r="F2291" s="17" t="s">
        <v>63</v>
      </c>
      <c r="G2291" s="17" t="s">
        <v>1462</v>
      </c>
      <c r="H2291" s="18">
        <v>3311</v>
      </c>
      <c r="I2291" s="18">
        <v>3311</v>
      </c>
      <c r="J2291" s="7" t="str">
        <f>IFERROR(_xlfn.XLOOKUP(F2291,ccustos!A:A,ccustos!B:B),"Sem termo")</f>
        <v>SEPAT</v>
      </c>
    </row>
    <row r="2292" spans="1:10" ht="36.75" customHeight="1" x14ac:dyDescent="0.25">
      <c r="A2292" s="14">
        <v>14063</v>
      </c>
      <c r="B2292" s="7" t="s">
        <v>236</v>
      </c>
      <c r="C2292" s="7" t="s">
        <v>831</v>
      </c>
      <c r="D2292" s="7" t="s">
        <v>1464</v>
      </c>
      <c r="E2292" s="7" t="s">
        <v>335</v>
      </c>
      <c r="F2292" s="7" t="s">
        <v>22</v>
      </c>
      <c r="G2292" s="7" t="s">
        <v>1462</v>
      </c>
      <c r="H2292" s="15">
        <v>3311</v>
      </c>
      <c r="I2292" s="15">
        <v>3311</v>
      </c>
      <c r="J2292" s="7" t="str">
        <f>IFERROR(_xlfn.XLOOKUP(F2292,ccustos!A:A,ccustos!B:B),"Sem termo")</f>
        <v>COTEC</v>
      </c>
    </row>
    <row r="2293" spans="1:10" ht="36.75" customHeight="1" x14ac:dyDescent="0.25">
      <c r="A2293" s="16">
        <v>14064</v>
      </c>
      <c r="B2293" s="17" t="s">
        <v>236</v>
      </c>
      <c r="C2293" s="17" t="s">
        <v>831</v>
      </c>
      <c r="D2293" s="17" t="s">
        <v>1464</v>
      </c>
      <c r="E2293" s="17" t="s">
        <v>335</v>
      </c>
      <c r="F2293" s="17" t="s">
        <v>55</v>
      </c>
      <c r="G2293" s="17" t="s">
        <v>1462</v>
      </c>
      <c r="H2293" s="18">
        <v>3311</v>
      </c>
      <c r="I2293" s="18">
        <v>3311</v>
      </c>
      <c r="J2293" s="7" t="str">
        <f>IFERROR(_xlfn.XLOOKUP(F2293,ccustos!A:A,ccustos!B:B),"Sem termo")</f>
        <v>DEPAD</v>
      </c>
    </row>
    <row r="2294" spans="1:10" ht="36.75" customHeight="1" x14ac:dyDescent="0.25">
      <c r="A2294" s="14">
        <v>14065</v>
      </c>
      <c r="B2294" s="7" t="s">
        <v>236</v>
      </c>
      <c r="C2294" s="7" t="s">
        <v>831</v>
      </c>
      <c r="D2294" s="7" t="s">
        <v>1464</v>
      </c>
      <c r="E2294" s="7" t="s">
        <v>335</v>
      </c>
      <c r="F2294" s="7" t="s">
        <v>205</v>
      </c>
      <c r="G2294" s="7" t="s">
        <v>1462</v>
      </c>
      <c r="H2294" s="15">
        <v>3311</v>
      </c>
      <c r="I2294" s="15">
        <v>3311</v>
      </c>
      <c r="J2294" s="7" t="str">
        <f>IFERROR(_xlfn.XLOOKUP(F2294,ccustos!A:A,ccustos!B:B),"Sem termo")</f>
        <v>CCOM</v>
      </c>
    </row>
    <row r="2295" spans="1:10" ht="36.75" customHeight="1" x14ac:dyDescent="0.25">
      <c r="A2295" s="16">
        <v>14066</v>
      </c>
      <c r="B2295" s="17" t="s">
        <v>236</v>
      </c>
      <c r="C2295" s="17" t="s">
        <v>831</v>
      </c>
      <c r="D2295" s="17" t="s">
        <v>1464</v>
      </c>
      <c r="E2295" s="17" t="s">
        <v>335</v>
      </c>
      <c r="F2295" s="17" t="s">
        <v>205</v>
      </c>
      <c r="G2295" s="17" t="s">
        <v>1462</v>
      </c>
      <c r="H2295" s="18">
        <v>3311</v>
      </c>
      <c r="I2295" s="18">
        <v>3311</v>
      </c>
      <c r="J2295" s="7" t="str">
        <f>IFERROR(_xlfn.XLOOKUP(F2295,ccustos!A:A,ccustos!B:B),"Sem termo")</f>
        <v>CCOM</v>
      </c>
    </row>
    <row r="2296" spans="1:10" ht="36.75" customHeight="1" x14ac:dyDescent="0.25">
      <c r="A2296" s="14">
        <v>14067</v>
      </c>
      <c r="B2296" s="7" t="s">
        <v>236</v>
      </c>
      <c r="C2296" s="7" t="s">
        <v>831</v>
      </c>
      <c r="D2296" s="7" t="s">
        <v>1464</v>
      </c>
      <c r="E2296" s="7" t="s">
        <v>335</v>
      </c>
      <c r="F2296" s="7" t="s">
        <v>205</v>
      </c>
      <c r="G2296" s="7" t="s">
        <v>1462</v>
      </c>
      <c r="H2296" s="15">
        <v>3311</v>
      </c>
      <c r="I2296" s="15">
        <v>3311</v>
      </c>
      <c r="J2296" s="7" t="str">
        <f>IFERROR(_xlfn.XLOOKUP(F2296,ccustos!A:A,ccustos!B:B),"Sem termo")</f>
        <v>CCOM</v>
      </c>
    </row>
    <row r="2297" spans="1:10" ht="36.75" customHeight="1" x14ac:dyDescent="0.25">
      <c r="A2297" s="16">
        <v>14068</v>
      </c>
      <c r="B2297" s="17" t="s">
        <v>236</v>
      </c>
      <c r="C2297" s="17" t="s">
        <v>831</v>
      </c>
      <c r="D2297" s="17" t="s">
        <v>1464</v>
      </c>
      <c r="E2297" s="17" t="s">
        <v>335</v>
      </c>
      <c r="F2297" s="17" t="s">
        <v>60</v>
      </c>
      <c r="G2297" s="17" t="s">
        <v>1462</v>
      </c>
      <c r="H2297" s="18">
        <v>3311</v>
      </c>
      <c r="I2297" s="18">
        <v>3311</v>
      </c>
      <c r="J2297" s="7" t="str">
        <f>IFERROR(_xlfn.XLOOKUP(F2297,ccustos!A:A,ccustos!B:B),"Sem termo")</f>
        <v>DEGEP</v>
      </c>
    </row>
    <row r="2298" spans="1:10" ht="36.75" customHeight="1" x14ac:dyDescent="0.25">
      <c r="A2298" s="14">
        <v>14069</v>
      </c>
      <c r="B2298" s="7" t="s">
        <v>236</v>
      </c>
      <c r="C2298" s="7" t="s">
        <v>831</v>
      </c>
      <c r="D2298" s="7" t="s">
        <v>1464</v>
      </c>
      <c r="E2298" s="7" t="s">
        <v>335</v>
      </c>
      <c r="F2298" s="7" t="s">
        <v>24</v>
      </c>
      <c r="G2298" s="7" t="s">
        <v>1462</v>
      </c>
      <c r="H2298" s="15">
        <v>3311</v>
      </c>
      <c r="I2298" s="15">
        <v>3311</v>
      </c>
      <c r="J2298" s="7" t="str">
        <f>IFERROR(_xlfn.XLOOKUP(F2298,ccustos!A:A,ccustos!B:B),"Sem termo")</f>
        <v>DEINFRA</v>
      </c>
    </row>
    <row r="2299" spans="1:10" ht="36.75" customHeight="1" x14ac:dyDescent="0.25">
      <c r="A2299" s="16">
        <v>14070</v>
      </c>
      <c r="B2299" s="17" t="s">
        <v>236</v>
      </c>
      <c r="C2299" s="17" t="s">
        <v>831</v>
      </c>
      <c r="D2299" s="17" t="s">
        <v>1464</v>
      </c>
      <c r="E2299" s="17" t="s">
        <v>335</v>
      </c>
      <c r="F2299" s="17" t="s">
        <v>20</v>
      </c>
      <c r="G2299" s="17" t="s">
        <v>1462</v>
      </c>
      <c r="H2299" s="18">
        <v>3311</v>
      </c>
      <c r="I2299" s="18">
        <v>3311</v>
      </c>
      <c r="J2299" s="7" t="str">
        <f>IFERROR(_xlfn.XLOOKUP(F2299,ccustos!A:A,ccustos!B:B),"Sem termo")</f>
        <v>CGTI</v>
      </c>
    </row>
    <row r="2300" spans="1:10" ht="36.75" customHeight="1" x14ac:dyDescent="0.25">
      <c r="A2300" s="14">
        <v>14071</v>
      </c>
      <c r="B2300" s="7" t="s">
        <v>236</v>
      </c>
      <c r="C2300" s="7" t="s">
        <v>831</v>
      </c>
      <c r="D2300" s="7" t="s">
        <v>1464</v>
      </c>
      <c r="E2300" s="7" t="s">
        <v>335</v>
      </c>
      <c r="F2300" s="7" t="s">
        <v>37</v>
      </c>
      <c r="G2300" s="7" t="s">
        <v>1462</v>
      </c>
      <c r="H2300" s="15">
        <v>3311</v>
      </c>
      <c r="I2300" s="15">
        <v>3311</v>
      </c>
      <c r="J2300" s="7" t="str">
        <f>IFERROR(_xlfn.XLOOKUP(F2300,ccustos!A:A,ccustos!B:B),"Sem termo")</f>
        <v>PROJUR</v>
      </c>
    </row>
    <row r="2301" spans="1:10" ht="36.75" customHeight="1" x14ac:dyDescent="0.25">
      <c r="A2301" s="16">
        <v>14072</v>
      </c>
      <c r="B2301" s="17" t="s">
        <v>236</v>
      </c>
      <c r="C2301" s="17" t="s">
        <v>831</v>
      </c>
      <c r="D2301" s="17" t="s">
        <v>1464</v>
      </c>
      <c r="E2301" s="17" t="s">
        <v>335</v>
      </c>
      <c r="F2301" s="17" t="s">
        <v>30</v>
      </c>
      <c r="G2301" s="17" t="s">
        <v>1462</v>
      </c>
      <c r="H2301" s="18">
        <v>3311</v>
      </c>
      <c r="I2301" s="18">
        <v>3311</v>
      </c>
      <c r="J2301" s="7" t="str">
        <f>IFERROR(_xlfn.XLOOKUP(F2301,ccustos!A:A,ccustos!B:B),"Sem termo")</f>
        <v>COFIS</v>
      </c>
    </row>
    <row r="2302" spans="1:10" ht="36.75" customHeight="1" x14ac:dyDescent="0.25">
      <c r="A2302" s="14">
        <v>14073</v>
      </c>
      <c r="B2302" s="7" t="s">
        <v>236</v>
      </c>
      <c r="C2302" s="7" t="s">
        <v>831</v>
      </c>
      <c r="D2302" s="7" t="s">
        <v>1464</v>
      </c>
      <c r="E2302" s="7" t="s">
        <v>335</v>
      </c>
      <c r="F2302" s="7" t="s">
        <v>18</v>
      </c>
      <c r="G2302" s="7" t="s">
        <v>1462</v>
      </c>
      <c r="H2302" s="15">
        <v>3311</v>
      </c>
      <c r="I2302" s="15">
        <v>3311</v>
      </c>
      <c r="J2302" s="7" t="str">
        <f>IFERROR(_xlfn.XLOOKUP(F2302,ccustos!A:A,ccustos!B:B),"Sem termo")</f>
        <v>DEINFRA</v>
      </c>
    </row>
    <row r="2303" spans="1:10" ht="36.75" customHeight="1" x14ac:dyDescent="0.25">
      <c r="A2303" s="16">
        <v>14074</v>
      </c>
      <c r="B2303" s="17" t="s">
        <v>236</v>
      </c>
      <c r="C2303" s="17" t="s">
        <v>831</v>
      </c>
      <c r="D2303" s="17" t="s">
        <v>1464</v>
      </c>
      <c r="E2303" s="17" t="s">
        <v>335</v>
      </c>
      <c r="F2303" s="17" t="s">
        <v>18</v>
      </c>
      <c r="G2303" s="17" t="s">
        <v>1462</v>
      </c>
      <c r="H2303" s="18">
        <v>3311</v>
      </c>
      <c r="I2303" s="18">
        <v>3311</v>
      </c>
      <c r="J2303" s="7" t="str">
        <f>IFERROR(_xlfn.XLOOKUP(F2303,ccustos!A:A,ccustos!B:B),"Sem termo")</f>
        <v>DEINFRA</v>
      </c>
    </row>
    <row r="2304" spans="1:10" ht="25.5" customHeight="1" x14ac:dyDescent="0.25">
      <c r="A2304" s="14">
        <v>14075</v>
      </c>
      <c r="B2304" s="7" t="s">
        <v>236</v>
      </c>
      <c r="C2304" s="7" t="s">
        <v>831</v>
      </c>
      <c r="D2304" s="7" t="s">
        <v>1464</v>
      </c>
      <c r="E2304" s="7" t="s">
        <v>335</v>
      </c>
      <c r="F2304" s="7" t="s">
        <v>205</v>
      </c>
      <c r="G2304" s="7" t="s">
        <v>1462</v>
      </c>
      <c r="H2304" s="15">
        <v>3311</v>
      </c>
      <c r="I2304" s="15">
        <v>3311</v>
      </c>
      <c r="J2304" s="7" t="str">
        <f>IFERROR(_xlfn.XLOOKUP(F2304,ccustos!A:A,ccustos!B:B),"Sem termo")</f>
        <v>CCOM</v>
      </c>
    </row>
    <row r="2305" spans="1:10" ht="25.5" customHeight="1" x14ac:dyDescent="0.25">
      <c r="A2305" s="16">
        <v>14076</v>
      </c>
      <c r="B2305" s="17" t="s">
        <v>236</v>
      </c>
      <c r="C2305" s="17" t="s">
        <v>831</v>
      </c>
      <c r="D2305" s="17" t="s">
        <v>1464</v>
      </c>
      <c r="E2305" s="17" t="s">
        <v>335</v>
      </c>
      <c r="F2305" s="17" t="s">
        <v>29</v>
      </c>
      <c r="G2305" s="17" t="s">
        <v>1462</v>
      </c>
      <c r="H2305" s="18">
        <v>3311</v>
      </c>
      <c r="I2305" s="18">
        <v>3311</v>
      </c>
      <c r="J2305" s="7" t="str">
        <f>IFERROR(_xlfn.XLOOKUP(F2305,ccustos!A:A,ccustos!B:B),"Sem termo")</f>
        <v>COAD</v>
      </c>
    </row>
    <row r="2306" spans="1:10" ht="25.5" customHeight="1" x14ac:dyDescent="0.25">
      <c r="A2306" s="14">
        <v>14077</v>
      </c>
      <c r="B2306" s="7" t="s">
        <v>236</v>
      </c>
      <c r="C2306" s="7" t="s">
        <v>831</v>
      </c>
      <c r="D2306" s="7" t="s">
        <v>1464</v>
      </c>
      <c r="E2306" s="7" t="s">
        <v>335</v>
      </c>
      <c r="F2306" s="7" t="s">
        <v>53</v>
      </c>
      <c r="G2306" s="7" t="s">
        <v>1462</v>
      </c>
      <c r="H2306" s="15">
        <v>3311</v>
      </c>
      <c r="I2306" s="15">
        <v>3311</v>
      </c>
      <c r="J2306" s="7" t="str">
        <f>IFERROR(_xlfn.XLOOKUP(F2306,ccustos!A:A,ccustos!B:B),"Sem termo")</f>
        <v>DELIC</v>
      </c>
    </row>
    <row r="2307" spans="1:10" ht="25.5" customHeight="1" x14ac:dyDescent="0.25">
      <c r="A2307" s="16">
        <v>14078</v>
      </c>
      <c r="B2307" s="17" t="s">
        <v>236</v>
      </c>
      <c r="C2307" s="17" t="s">
        <v>831</v>
      </c>
      <c r="D2307" s="17" t="s">
        <v>1464</v>
      </c>
      <c r="E2307" s="17" t="s">
        <v>335</v>
      </c>
      <c r="F2307" s="17" t="s">
        <v>13</v>
      </c>
      <c r="G2307" s="17" t="s">
        <v>1462</v>
      </c>
      <c r="H2307" s="18">
        <v>3311</v>
      </c>
      <c r="I2307" s="18">
        <v>3311</v>
      </c>
      <c r="J2307" s="7" t="str">
        <f>IFERROR(_xlfn.XLOOKUP(F2307,ccustos!A:A,ccustos!B:B),"Sem termo")</f>
        <v>SEPROT</v>
      </c>
    </row>
    <row r="2308" spans="1:10" ht="25.5" customHeight="1" x14ac:dyDescent="0.25">
      <c r="A2308" s="14">
        <v>14079</v>
      </c>
      <c r="B2308" s="7" t="s">
        <v>236</v>
      </c>
      <c r="C2308" s="7" t="s">
        <v>831</v>
      </c>
      <c r="D2308" s="7" t="s">
        <v>1464</v>
      </c>
      <c r="E2308" s="7" t="s">
        <v>335</v>
      </c>
      <c r="F2308" s="7" t="s">
        <v>211</v>
      </c>
      <c r="G2308" s="7" t="s">
        <v>1462</v>
      </c>
      <c r="H2308" s="15">
        <v>3311</v>
      </c>
      <c r="I2308" s="15">
        <v>3311</v>
      </c>
      <c r="J2308" s="7" t="str">
        <f>IFERROR(_xlfn.XLOOKUP(F2308,ccustos!A:A,ccustos!B:B),"Sem termo")</f>
        <v>DIGEO</v>
      </c>
    </row>
    <row r="2309" spans="1:10" ht="25.5" customHeight="1" x14ac:dyDescent="0.25">
      <c r="A2309" s="16">
        <v>14080</v>
      </c>
      <c r="B2309" s="17" t="s">
        <v>236</v>
      </c>
      <c r="C2309" s="17" t="s">
        <v>831</v>
      </c>
      <c r="D2309" s="17" t="s">
        <v>1464</v>
      </c>
      <c r="E2309" s="17" t="s">
        <v>335</v>
      </c>
      <c r="F2309" s="17" t="s">
        <v>70</v>
      </c>
      <c r="G2309" s="17" t="s">
        <v>1462</v>
      </c>
      <c r="H2309" s="18">
        <v>3311</v>
      </c>
      <c r="I2309" s="18">
        <v>3311</v>
      </c>
      <c r="J2309" s="7" t="str">
        <f>IFERROR(_xlfn.XLOOKUP(F2309,ccustos!A:A,ccustos!B:B),"Sem termo")</f>
        <v>SEBIB</v>
      </c>
    </row>
    <row r="2310" spans="1:10" ht="25.5" customHeight="1" x14ac:dyDescent="0.25">
      <c r="A2310" s="14">
        <v>14081</v>
      </c>
      <c r="B2310" s="7" t="s">
        <v>236</v>
      </c>
      <c r="C2310" s="7" t="s">
        <v>831</v>
      </c>
      <c r="D2310" s="7" t="s">
        <v>1464</v>
      </c>
      <c r="E2310" s="7" t="s">
        <v>335</v>
      </c>
      <c r="F2310" s="7" t="s">
        <v>27</v>
      </c>
      <c r="G2310" s="7" t="s">
        <v>1462</v>
      </c>
      <c r="H2310" s="15">
        <v>3311</v>
      </c>
      <c r="I2310" s="15">
        <v>3311</v>
      </c>
      <c r="J2310" s="7" t="str">
        <f>IFERROR(_xlfn.XLOOKUP(F2310,ccustos!A:A,ccustos!B:B),"Sem termo")</f>
        <v>CCI</v>
      </c>
    </row>
    <row r="2311" spans="1:10" ht="25.5" customHeight="1" x14ac:dyDescent="0.25">
      <c r="A2311" s="16">
        <v>14082</v>
      </c>
      <c r="B2311" s="17" t="s">
        <v>236</v>
      </c>
      <c r="C2311" s="17" t="s">
        <v>831</v>
      </c>
      <c r="D2311" s="17" t="s">
        <v>1464</v>
      </c>
      <c r="E2311" s="17" t="s">
        <v>335</v>
      </c>
      <c r="F2311" s="17" t="s">
        <v>19</v>
      </c>
      <c r="G2311" s="17" t="s">
        <v>1462</v>
      </c>
      <c r="H2311" s="18">
        <v>3311</v>
      </c>
      <c r="I2311" s="18">
        <v>3311</v>
      </c>
      <c r="J2311" s="7" t="str">
        <f>IFERROR(_xlfn.XLOOKUP(F2311,ccustos!A:A,ccustos!B:B),"Sem termo")</f>
        <v>SEGED</v>
      </c>
    </row>
    <row r="2312" spans="1:10" ht="25.5" customHeight="1" x14ac:dyDescent="0.25">
      <c r="A2312" s="14">
        <v>14083</v>
      </c>
      <c r="B2312" s="7" t="s">
        <v>236</v>
      </c>
      <c r="C2312" s="7" t="s">
        <v>831</v>
      </c>
      <c r="D2312" s="7" t="s">
        <v>1464</v>
      </c>
      <c r="E2312" s="7" t="s">
        <v>335</v>
      </c>
      <c r="F2312" s="7" t="s">
        <v>28</v>
      </c>
      <c r="G2312" s="7" t="s">
        <v>1462</v>
      </c>
      <c r="H2312" s="15">
        <v>3311</v>
      </c>
      <c r="I2312" s="15">
        <v>3311</v>
      </c>
      <c r="J2312" s="7" t="str">
        <f>IFERROR(_xlfn.XLOOKUP(F2312,ccustos!A:A,ccustos!B:B),"Sem termo")</f>
        <v>COPI</v>
      </c>
    </row>
    <row r="2313" spans="1:10" ht="25.5" customHeight="1" x14ac:dyDescent="0.25">
      <c r="A2313" s="16">
        <v>14084</v>
      </c>
      <c r="B2313" s="17" t="s">
        <v>236</v>
      </c>
      <c r="C2313" s="17" t="s">
        <v>831</v>
      </c>
      <c r="D2313" s="17" t="s">
        <v>1464</v>
      </c>
      <c r="E2313" s="17" t="s">
        <v>335</v>
      </c>
      <c r="F2313" s="17" t="s">
        <v>60</v>
      </c>
      <c r="G2313" s="17" t="s">
        <v>1462</v>
      </c>
      <c r="H2313" s="18">
        <v>3311</v>
      </c>
      <c r="I2313" s="18">
        <v>3311</v>
      </c>
      <c r="J2313" s="7" t="str">
        <f>IFERROR(_xlfn.XLOOKUP(F2313,ccustos!A:A,ccustos!B:B),"Sem termo")</f>
        <v>DEGEP</v>
      </c>
    </row>
    <row r="2314" spans="1:10" ht="25.5" customHeight="1" x14ac:dyDescent="0.25">
      <c r="A2314" s="14">
        <v>14085</v>
      </c>
      <c r="B2314" s="7" t="s">
        <v>236</v>
      </c>
      <c r="C2314" s="7" t="s">
        <v>831</v>
      </c>
      <c r="D2314" s="7" t="s">
        <v>1464</v>
      </c>
      <c r="E2314" s="7" t="s">
        <v>335</v>
      </c>
      <c r="F2314" s="7" t="s">
        <v>47</v>
      </c>
      <c r="G2314" s="7" t="s">
        <v>1462</v>
      </c>
      <c r="H2314" s="15">
        <v>3311</v>
      </c>
      <c r="I2314" s="15">
        <v>3311</v>
      </c>
      <c r="J2314" s="7" t="str">
        <f>IFERROR(_xlfn.XLOOKUP(F2314,ccustos!A:A,ccustos!B:B),"Sem termo")</f>
        <v>CDPROF</v>
      </c>
    </row>
    <row r="2315" spans="1:10" ht="25.5" customHeight="1" x14ac:dyDescent="0.25">
      <c r="A2315" s="16">
        <v>14086</v>
      </c>
      <c r="B2315" s="17" t="s">
        <v>236</v>
      </c>
      <c r="C2315" s="17" t="s">
        <v>831</v>
      </c>
      <c r="D2315" s="17" t="s">
        <v>1464</v>
      </c>
      <c r="E2315" s="17" t="s">
        <v>335</v>
      </c>
      <c r="F2315" s="17" t="s">
        <v>54</v>
      </c>
      <c r="G2315" s="17" t="s">
        <v>1462</v>
      </c>
      <c r="H2315" s="18">
        <v>3311</v>
      </c>
      <c r="I2315" s="18">
        <v>3311</v>
      </c>
      <c r="J2315" s="7" t="str">
        <f>IFERROR(_xlfn.XLOOKUP(F2315,ccustos!A:A,ccustos!B:B),"Sem termo")</f>
        <v>DEFIN</v>
      </c>
    </row>
    <row r="2316" spans="1:10" ht="25.5" customHeight="1" x14ac:dyDescent="0.25">
      <c r="A2316" s="14">
        <v>14087</v>
      </c>
      <c r="B2316" s="7" t="s">
        <v>236</v>
      </c>
      <c r="C2316" s="7" t="s">
        <v>831</v>
      </c>
      <c r="D2316" s="7" t="s">
        <v>1464</v>
      </c>
      <c r="E2316" s="7" t="s">
        <v>335</v>
      </c>
      <c r="F2316" s="7" t="s">
        <v>20</v>
      </c>
      <c r="G2316" s="7" t="s">
        <v>1462</v>
      </c>
      <c r="H2316" s="15">
        <v>3311</v>
      </c>
      <c r="I2316" s="15">
        <v>3311</v>
      </c>
      <c r="J2316" s="7" t="str">
        <f>IFERROR(_xlfn.XLOOKUP(F2316,ccustos!A:A,ccustos!B:B),"Sem termo")</f>
        <v>CGTI</v>
      </c>
    </row>
    <row r="2317" spans="1:10" ht="25.5" customHeight="1" x14ac:dyDescent="0.25">
      <c r="A2317" s="16">
        <v>14088</v>
      </c>
      <c r="B2317" s="17" t="s">
        <v>236</v>
      </c>
      <c r="C2317" s="17" t="s">
        <v>831</v>
      </c>
      <c r="D2317" s="17" t="s">
        <v>1464</v>
      </c>
      <c r="E2317" s="17" t="s">
        <v>335</v>
      </c>
      <c r="F2317" s="17" t="s">
        <v>37</v>
      </c>
      <c r="G2317" s="17" t="s">
        <v>1462</v>
      </c>
      <c r="H2317" s="18">
        <v>3311</v>
      </c>
      <c r="I2317" s="18">
        <v>3311</v>
      </c>
      <c r="J2317" s="7" t="str">
        <f>IFERROR(_xlfn.XLOOKUP(F2317,ccustos!A:A,ccustos!B:B),"Sem termo")</f>
        <v>PROJUR</v>
      </c>
    </row>
    <row r="2318" spans="1:10" ht="25.5" customHeight="1" x14ac:dyDescent="0.25">
      <c r="A2318" s="14">
        <v>14089</v>
      </c>
      <c r="B2318" s="7" t="s">
        <v>236</v>
      </c>
      <c r="C2318" s="7" t="s">
        <v>831</v>
      </c>
      <c r="D2318" s="7" t="s">
        <v>1464</v>
      </c>
      <c r="E2318" s="7" t="s">
        <v>335</v>
      </c>
      <c r="F2318" s="7" t="s">
        <v>22</v>
      </c>
      <c r="G2318" s="7" t="s">
        <v>1462</v>
      </c>
      <c r="H2318" s="15">
        <v>3311</v>
      </c>
      <c r="I2318" s="15">
        <v>3311</v>
      </c>
      <c r="J2318" s="7" t="str">
        <f>IFERROR(_xlfn.XLOOKUP(F2318,ccustos!A:A,ccustos!B:B),"Sem termo")</f>
        <v>COTEC</v>
      </c>
    </row>
    <row r="2319" spans="1:10" ht="25.5" customHeight="1" x14ac:dyDescent="0.25">
      <c r="A2319" s="16">
        <v>14090</v>
      </c>
      <c r="B2319" s="17" t="s">
        <v>236</v>
      </c>
      <c r="C2319" s="17" t="s">
        <v>831</v>
      </c>
      <c r="D2319" s="17" t="s">
        <v>1464</v>
      </c>
      <c r="E2319" s="17" t="s">
        <v>335</v>
      </c>
      <c r="F2319" s="17" t="s">
        <v>205</v>
      </c>
      <c r="G2319" s="17" t="s">
        <v>1462</v>
      </c>
      <c r="H2319" s="18">
        <v>3311</v>
      </c>
      <c r="I2319" s="18">
        <v>3311</v>
      </c>
      <c r="J2319" s="7" t="str">
        <f>IFERROR(_xlfn.XLOOKUP(F2319,ccustos!A:A,ccustos!B:B),"Sem termo")</f>
        <v>CCOM</v>
      </c>
    </row>
    <row r="2320" spans="1:10" ht="25.5" customHeight="1" x14ac:dyDescent="0.25">
      <c r="A2320" s="14">
        <v>14091</v>
      </c>
      <c r="B2320" s="7" t="s">
        <v>236</v>
      </c>
      <c r="C2320" s="7" t="s">
        <v>831</v>
      </c>
      <c r="D2320" s="7" t="s">
        <v>1464</v>
      </c>
      <c r="E2320" s="7" t="s">
        <v>335</v>
      </c>
      <c r="F2320" s="7" t="s">
        <v>20</v>
      </c>
      <c r="G2320" s="7" t="s">
        <v>1462</v>
      </c>
      <c r="H2320" s="15">
        <v>3311</v>
      </c>
      <c r="I2320" s="15">
        <v>3311</v>
      </c>
      <c r="J2320" s="7" t="str">
        <f>IFERROR(_xlfn.XLOOKUP(F2320,ccustos!A:A,ccustos!B:B),"Sem termo")</f>
        <v>CGTI</v>
      </c>
    </row>
    <row r="2321" spans="1:10" ht="25.5" customHeight="1" x14ac:dyDescent="0.25">
      <c r="A2321" s="16">
        <v>14092</v>
      </c>
      <c r="B2321" s="17" t="s">
        <v>236</v>
      </c>
      <c r="C2321" s="17" t="s">
        <v>333</v>
      </c>
      <c r="D2321" s="17" t="s">
        <v>1466</v>
      </c>
      <c r="E2321" s="17" t="s">
        <v>335</v>
      </c>
      <c r="F2321" s="17" t="s">
        <v>55</v>
      </c>
      <c r="G2321" s="17" t="s">
        <v>1467</v>
      </c>
      <c r="H2321" s="18">
        <v>904.36</v>
      </c>
      <c r="I2321" s="18">
        <v>904.36</v>
      </c>
      <c r="J2321" s="7" t="str">
        <f>IFERROR(_xlfn.XLOOKUP(F2321,ccustos!A:A,ccustos!B:B),"Sem termo")</f>
        <v>DEPAD</v>
      </c>
    </row>
    <row r="2322" spans="1:10" ht="25.5" customHeight="1" x14ac:dyDescent="0.25">
      <c r="A2322" s="14">
        <v>14093</v>
      </c>
      <c r="B2322" s="7" t="s">
        <v>236</v>
      </c>
      <c r="C2322" s="7" t="s">
        <v>333</v>
      </c>
      <c r="D2322" s="7" t="s">
        <v>1466</v>
      </c>
      <c r="E2322" s="7" t="s">
        <v>335</v>
      </c>
      <c r="F2322" s="7" t="s">
        <v>20</v>
      </c>
      <c r="G2322" s="7" t="s">
        <v>1467</v>
      </c>
      <c r="H2322" s="15">
        <v>904.36</v>
      </c>
      <c r="I2322" s="15">
        <v>904.36</v>
      </c>
      <c r="J2322" s="7" t="str">
        <f>IFERROR(_xlfn.XLOOKUP(F2322,ccustos!A:A,ccustos!B:B),"Sem termo")</f>
        <v>CGTI</v>
      </c>
    </row>
    <row r="2323" spans="1:10" ht="25.5" customHeight="1" x14ac:dyDescent="0.25">
      <c r="A2323" s="16">
        <v>14094</v>
      </c>
      <c r="B2323" s="17" t="s">
        <v>236</v>
      </c>
      <c r="C2323" s="17" t="s">
        <v>333</v>
      </c>
      <c r="D2323" s="17" t="s">
        <v>1466</v>
      </c>
      <c r="E2323" s="17" t="s">
        <v>335</v>
      </c>
      <c r="F2323" s="17" t="s">
        <v>30</v>
      </c>
      <c r="G2323" s="17" t="s">
        <v>1467</v>
      </c>
      <c r="H2323" s="18">
        <v>904.36</v>
      </c>
      <c r="I2323" s="18">
        <v>904.36</v>
      </c>
      <c r="J2323" s="7" t="str">
        <f>IFERROR(_xlfn.XLOOKUP(F2323,ccustos!A:A,ccustos!B:B),"Sem termo")</f>
        <v>COFIS</v>
      </c>
    </row>
    <row r="2324" spans="1:10" ht="25.5" customHeight="1" x14ac:dyDescent="0.25">
      <c r="A2324" s="14">
        <v>14095</v>
      </c>
      <c r="B2324" s="7" t="s">
        <v>236</v>
      </c>
      <c r="C2324" s="7" t="s">
        <v>333</v>
      </c>
      <c r="D2324" s="7" t="s">
        <v>1466</v>
      </c>
      <c r="E2324" s="7" t="s">
        <v>335</v>
      </c>
      <c r="F2324" s="7" t="s">
        <v>53</v>
      </c>
      <c r="G2324" s="7" t="s">
        <v>1467</v>
      </c>
      <c r="H2324" s="15">
        <v>904.36</v>
      </c>
      <c r="I2324" s="15">
        <v>904.36</v>
      </c>
      <c r="J2324" s="7" t="str">
        <f>IFERROR(_xlfn.XLOOKUP(F2324,ccustos!A:A,ccustos!B:B),"Sem termo")</f>
        <v>DELIC</v>
      </c>
    </row>
    <row r="2325" spans="1:10" ht="25.5" customHeight="1" x14ac:dyDescent="0.25">
      <c r="A2325" s="16">
        <v>14096</v>
      </c>
      <c r="B2325" s="17" t="s">
        <v>236</v>
      </c>
      <c r="C2325" s="17" t="s">
        <v>333</v>
      </c>
      <c r="D2325" s="17" t="s">
        <v>1466</v>
      </c>
      <c r="E2325" s="17" t="s">
        <v>335</v>
      </c>
      <c r="F2325" s="17" t="s">
        <v>256</v>
      </c>
      <c r="G2325" s="17" t="s">
        <v>1467</v>
      </c>
      <c r="H2325" s="18">
        <v>904.36</v>
      </c>
      <c r="I2325" s="18">
        <v>904.36</v>
      </c>
      <c r="J2325" s="7" t="str">
        <f>IFERROR(_xlfn.XLOOKUP(F2325,ccustos!A:A,ccustos!B:B),"Sem termo")</f>
        <v>Sem termo</v>
      </c>
    </row>
    <row r="2326" spans="1:10" ht="25.5" customHeight="1" x14ac:dyDescent="0.25">
      <c r="A2326" s="14">
        <v>14097</v>
      </c>
      <c r="B2326" s="7" t="s">
        <v>236</v>
      </c>
      <c r="C2326" s="7" t="s">
        <v>333</v>
      </c>
      <c r="D2326" s="7" t="s">
        <v>1466</v>
      </c>
      <c r="E2326" s="7" t="s">
        <v>335</v>
      </c>
      <c r="F2326" s="7" t="s">
        <v>39</v>
      </c>
      <c r="G2326" s="7" t="s">
        <v>1467</v>
      </c>
      <c r="H2326" s="15">
        <v>904.36</v>
      </c>
      <c r="I2326" s="15">
        <v>904.36</v>
      </c>
      <c r="J2326" s="7" t="str">
        <f>IFERROR(_xlfn.XLOOKUP(F2326,ccustos!A:A,ccustos!B:B),"Sem termo")</f>
        <v>COREG</v>
      </c>
    </row>
    <row r="2327" spans="1:10" ht="25.5" customHeight="1" x14ac:dyDescent="0.25">
      <c r="A2327" s="16">
        <v>14098</v>
      </c>
      <c r="B2327" s="17" t="s">
        <v>236</v>
      </c>
      <c r="C2327" s="17" t="s">
        <v>333</v>
      </c>
      <c r="D2327" s="17" t="s">
        <v>1466</v>
      </c>
      <c r="E2327" s="17" t="s">
        <v>335</v>
      </c>
      <c r="F2327" s="17" t="s">
        <v>18</v>
      </c>
      <c r="G2327" s="17" t="s">
        <v>1467</v>
      </c>
      <c r="H2327" s="18">
        <v>904.36</v>
      </c>
      <c r="I2327" s="18">
        <v>904.36</v>
      </c>
      <c r="J2327" s="7" t="str">
        <f>IFERROR(_xlfn.XLOOKUP(F2327,ccustos!A:A,ccustos!B:B),"Sem termo")</f>
        <v>DEINFRA</v>
      </c>
    </row>
    <row r="2328" spans="1:10" ht="25.5" customHeight="1" x14ac:dyDescent="0.25">
      <c r="A2328" s="14">
        <v>14099</v>
      </c>
      <c r="B2328" s="7" t="s">
        <v>236</v>
      </c>
      <c r="C2328" s="7" t="s">
        <v>333</v>
      </c>
      <c r="D2328" s="7" t="s">
        <v>1466</v>
      </c>
      <c r="E2328" s="7" t="s">
        <v>335</v>
      </c>
      <c r="F2328" s="7" t="s">
        <v>30</v>
      </c>
      <c r="G2328" s="7" t="s">
        <v>1467</v>
      </c>
      <c r="H2328" s="15">
        <v>904.36</v>
      </c>
      <c r="I2328" s="15">
        <v>904.36</v>
      </c>
      <c r="J2328" s="7" t="str">
        <f>IFERROR(_xlfn.XLOOKUP(F2328,ccustos!A:A,ccustos!B:B),"Sem termo")</f>
        <v>COFIS</v>
      </c>
    </row>
    <row r="2329" spans="1:10" ht="25.5" customHeight="1" x14ac:dyDescent="0.25">
      <c r="A2329" s="16">
        <v>14100</v>
      </c>
      <c r="B2329" s="17" t="s">
        <v>236</v>
      </c>
      <c r="C2329" s="17" t="s">
        <v>333</v>
      </c>
      <c r="D2329" s="17" t="s">
        <v>1466</v>
      </c>
      <c r="E2329" s="17" t="s">
        <v>335</v>
      </c>
      <c r="F2329" s="17" t="s">
        <v>20</v>
      </c>
      <c r="G2329" s="17" t="s">
        <v>1467</v>
      </c>
      <c r="H2329" s="18">
        <v>904.36</v>
      </c>
      <c r="I2329" s="18">
        <v>904.36</v>
      </c>
      <c r="J2329" s="7" t="str">
        <f>IFERROR(_xlfn.XLOOKUP(F2329,ccustos!A:A,ccustos!B:B),"Sem termo")</f>
        <v>CGTI</v>
      </c>
    </row>
    <row r="2330" spans="1:10" ht="25.5" customHeight="1" x14ac:dyDescent="0.25">
      <c r="A2330" s="14">
        <v>14101</v>
      </c>
      <c r="B2330" s="7" t="s">
        <v>236</v>
      </c>
      <c r="C2330" s="7" t="s">
        <v>333</v>
      </c>
      <c r="D2330" s="7" t="s">
        <v>1466</v>
      </c>
      <c r="E2330" s="7" t="s">
        <v>335</v>
      </c>
      <c r="F2330" s="7" t="s">
        <v>26</v>
      </c>
      <c r="G2330" s="7" t="s">
        <v>1467</v>
      </c>
      <c r="H2330" s="15">
        <v>904.36</v>
      </c>
      <c r="I2330" s="15">
        <v>904.36</v>
      </c>
      <c r="J2330" s="7" t="str">
        <f>IFERROR(_xlfn.XLOOKUP(F2330,ccustos!A:A,ccustos!B:B),"Sem termo")</f>
        <v>COLOG</v>
      </c>
    </row>
    <row r="2331" spans="1:10" ht="25.5" customHeight="1" x14ac:dyDescent="0.25">
      <c r="A2331" s="16">
        <v>14102</v>
      </c>
      <c r="B2331" s="17" t="s">
        <v>236</v>
      </c>
      <c r="C2331" s="17" t="s">
        <v>333</v>
      </c>
      <c r="D2331" s="17" t="s">
        <v>1466</v>
      </c>
      <c r="E2331" s="17" t="s">
        <v>335</v>
      </c>
      <c r="F2331" s="17" t="s">
        <v>26</v>
      </c>
      <c r="G2331" s="17" t="s">
        <v>1467</v>
      </c>
      <c r="H2331" s="18">
        <v>904.36</v>
      </c>
      <c r="I2331" s="18">
        <v>904.36</v>
      </c>
      <c r="J2331" s="7" t="str">
        <f>IFERROR(_xlfn.XLOOKUP(F2331,ccustos!A:A,ccustos!B:B),"Sem termo")</f>
        <v>COLOG</v>
      </c>
    </row>
    <row r="2332" spans="1:10" ht="25.5" customHeight="1" x14ac:dyDescent="0.25">
      <c r="A2332" s="14">
        <v>14103</v>
      </c>
      <c r="B2332" s="7" t="s">
        <v>236</v>
      </c>
      <c r="C2332" s="7" t="s">
        <v>333</v>
      </c>
      <c r="D2332" s="7" t="s">
        <v>1466</v>
      </c>
      <c r="E2332" s="7" t="s">
        <v>335</v>
      </c>
      <c r="F2332" s="7" t="s">
        <v>22</v>
      </c>
      <c r="G2332" s="7" t="s">
        <v>1467</v>
      </c>
      <c r="H2332" s="15">
        <v>904.36</v>
      </c>
      <c r="I2332" s="15">
        <v>904.36</v>
      </c>
      <c r="J2332" s="7" t="str">
        <f>IFERROR(_xlfn.XLOOKUP(F2332,ccustos!A:A,ccustos!B:B),"Sem termo")</f>
        <v>COTEC</v>
      </c>
    </row>
    <row r="2333" spans="1:10" ht="25.5" customHeight="1" x14ac:dyDescent="0.25">
      <c r="A2333" s="16">
        <v>14104</v>
      </c>
      <c r="B2333" s="17" t="s">
        <v>236</v>
      </c>
      <c r="C2333" s="17" t="s">
        <v>333</v>
      </c>
      <c r="D2333" s="17" t="s">
        <v>1466</v>
      </c>
      <c r="E2333" s="17" t="s">
        <v>335</v>
      </c>
      <c r="F2333" s="17" t="s">
        <v>60</v>
      </c>
      <c r="G2333" s="17" t="s">
        <v>1467</v>
      </c>
      <c r="H2333" s="18">
        <v>904.36</v>
      </c>
      <c r="I2333" s="18">
        <v>904.36</v>
      </c>
      <c r="J2333" s="7" t="str">
        <f>IFERROR(_xlfn.XLOOKUP(F2333,ccustos!A:A,ccustos!B:B),"Sem termo")</f>
        <v>DEGEP</v>
      </c>
    </row>
    <row r="2334" spans="1:10" ht="25.5" customHeight="1" x14ac:dyDescent="0.25">
      <c r="A2334" s="14">
        <v>14105</v>
      </c>
      <c r="B2334" s="7" t="s">
        <v>236</v>
      </c>
      <c r="C2334" s="7" t="s">
        <v>333</v>
      </c>
      <c r="D2334" s="7" t="s">
        <v>1466</v>
      </c>
      <c r="E2334" s="7" t="s">
        <v>335</v>
      </c>
      <c r="F2334" s="7" t="s">
        <v>13</v>
      </c>
      <c r="G2334" s="7" t="s">
        <v>1467</v>
      </c>
      <c r="H2334" s="15">
        <v>904.36</v>
      </c>
      <c r="I2334" s="15">
        <v>904.36</v>
      </c>
      <c r="J2334" s="7" t="str">
        <f>IFERROR(_xlfn.XLOOKUP(F2334,ccustos!A:A,ccustos!B:B),"Sem termo")</f>
        <v>SEPROT</v>
      </c>
    </row>
    <row r="2335" spans="1:10" ht="25.5" customHeight="1" x14ac:dyDescent="0.25">
      <c r="A2335" s="16">
        <v>14106</v>
      </c>
      <c r="B2335" s="17" t="s">
        <v>236</v>
      </c>
      <c r="C2335" s="17" t="s">
        <v>333</v>
      </c>
      <c r="D2335" s="17" t="s">
        <v>1466</v>
      </c>
      <c r="E2335" s="17" t="s">
        <v>335</v>
      </c>
      <c r="F2335" s="17" t="s">
        <v>22</v>
      </c>
      <c r="G2335" s="17" t="s">
        <v>1467</v>
      </c>
      <c r="H2335" s="18">
        <v>904.36</v>
      </c>
      <c r="I2335" s="18">
        <v>904.36</v>
      </c>
      <c r="J2335" s="7" t="str">
        <f>IFERROR(_xlfn.XLOOKUP(F2335,ccustos!A:A,ccustos!B:B),"Sem termo")</f>
        <v>COTEC</v>
      </c>
    </row>
    <row r="2336" spans="1:10" ht="25.5" customHeight="1" x14ac:dyDescent="0.25">
      <c r="A2336" s="14">
        <v>14107</v>
      </c>
      <c r="B2336" s="7" t="s">
        <v>236</v>
      </c>
      <c r="C2336" s="7" t="s">
        <v>333</v>
      </c>
      <c r="D2336" s="7" t="s">
        <v>1466</v>
      </c>
      <c r="E2336" s="7" t="s">
        <v>335</v>
      </c>
      <c r="F2336" s="7" t="s">
        <v>205</v>
      </c>
      <c r="G2336" s="7" t="s">
        <v>1467</v>
      </c>
      <c r="H2336" s="15">
        <v>904.36</v>
      </c>
      <c r="I2336" s="15">
        <v>904.36</v>
      </c>
      <c r="J2336" s="7" t="str">
        <f>IFERROR(_xlfn.XLOOKUP(F2336,ccustos!A:A,ccustos!B:B),"Sem termo")</f>
        <v>CCOM</v>
      </c>
    </row>
    <row r="2337" spans="1:10" ht="25.5" customHeight="1" x14ac:dyDescent="0.25">
      <c r="A2337" s="16">
        <v>14108</v>
      </c>
      <c r="B2337" s="17" t="s">
        <v>236</v>
      </c>
      <c r="C2337" s="17" t="s">
        <v>333</v>
      </c>
      <c r="D2337" s="17" t="s">
        <v>1466</v>
      </c>
      <c r="E2337" s="17" t="s">
        <v>335</v>
      </c>
      <c r="F2337" s="17" t="s">
        <v>205</v>
      </c>
      <c r="G2337" s="17" t="s">
        <v>1467</v>
      </c>
      <c r="H2337" s="18">
        <v>904.36</v>
      </c>
      <c r="I2337" s="18">
        <v>904.36</v>
      </c>
      <c r="J2337" s="7" t="str">
        <f>IFERROR(_xlfn.XLOOKUP(F2337,ccustos!A:A,ccustos!B:B),"Sem termo")</f>
        <v>CCOM</v>
      </c>
    </row>
    <row r="2338" spans="1:10" ht="25.5" customHeight="1" x14ac:dyDescent="0.25">
      <c r="A2338" s="14">
        <v>14109</v>
      </c>
      <c r="B2338" s="7" t="s">
        <v>236</v>
      </c>
      <c r="C2338" s="7" t="s">
        <v>333</v>
      </c>
      <c r="D2338" s="7" t="s">
        <v>1466</v>
      </c>
      <c r="E2338" s="7" t="s">
        <v>335</v>
      </c>
      <c r="F2338" s="7" t="s">
        <v>30</v>
      </c>
      <c r="G2338" s="7" t="s">
        <v>1467</v>
      </c>
      <c r="H2338" s="15">
        <v>904.36</v>
      </c>
      <c r="I2338" s="15">
        <v>904.36</v>
      </c>
      <c r="J2338" s="7" t="str">
        <f>IFERROR(_xlfn.XLOOKUP(F2338,ccustos!A:A,ccustos!B:B),"Sem termo")</f>
        <v>COFIS</v>
      </c>
    </row>
    <row r="2339" spans="1:10" ht="25.5" customHeight="1" x14ac:dyDescent="0.25">
      <c r="A2339" s="16">
        <v>14110</v>
      </c>
      <c r="B2339" s="17" t="s">
        <v>236</v>
      </c>
      <c r="C2339" s="17" t="s">
        <v>333</v>
      </c>
      <c r="D2339" s="17" t="s">
        <v>1466</v>
      </c>
      <c r="E2339" s="17" t="s">
        <v>335</v>
      </c>
      <c r="F2339" s="17" t="s">
        <v>24</v>
      </c>
      <c r="G2339" s="17" t="s">
        <v>1467</v>
      </c>
      <c r="H2339" s="18">
        <v>904.36</v>
      </c>
      <c r="I2339" s="18">
        <v>904.36</v>
      </c>
      <c r="J2339" s="7" t="str">
        <f>IFERROR(_xlfn.XLOOKUP(F2339,ccustos!A:A,ccustos!B:B),"Sem termo")</f>
        <v>DEINFRA</v>
      </c>
    </row>
    <row r="2340" spans="1:10" ht="25.5" customHeight="1" x14ac:dyDescent="0.25">
      <c r="A2340" s="14">
        <v>14111</v>
      </c>
      <c r="B2340" s="7" t="s">
        <v>236</v>
      </c>
      <c r="C2340" s="7" t="s">
        <v>333</v>
      </c>
      <c r="D2340" s="7" t="s">
        <v>1466</v>
      </c>
      <c r="E2340" s="7" t="s">
        <v>335</v>
      </c>
      <c r="F2340" s="7" t="s">
        <v>83</v>
      </c>
      <c r="G2340" s="7" t="s">
        <v>1467</v>
      </c>
      <c r="H2340" s="15">
        <v>904.36</v>
      </c>
      <c r="I2340" s="15">
        <v>904.36</v>
      </c>
      <c r="J2340" s="7" t="str">
        <f>IFERROR(_xlfn.XLOOKUP(F2340,ccustos!A:A,ccustos!B:B),"Sem termo")</f>
        <v>GABIN</v>
      </c>
    </row>
    <row r="2341" spans="1:10" ht="25.5" customHeight="1" x14ac:dyDescent="0.25">
      <c r="A2341" s="16">
        <v>14112</v>
      </c>
      <c r="B2341" s="17" t="s">
        <v>236</v>
      </c>
      <c r="C2341" s="17" t="s">
        <v>333</v>
      </c>
      <c r="D2341" s="17" t="s">
        <v>1466</v>
      </c>
      <c r="E2341" s="17" t="s">
        <v>335</v>
      </c>
      <c r="F2341" s="17" t="s">
        <v>37</v>
      </c>
      <c r="G2341" s="17" t="s">
        <v>1467</v>
      </c>
      <c r="H2341" s="18">
        <v>904.36</v>
      </c>
      <c r="I2341" s="18">
        <v>904.36</v>
      </c>
      <c r="J2341" s="7" t="str">
        <f>IFERROR(_xlfn.XLOOKUP(F2341,ccustos!A:A,ccustos!B:B),"Sem termo")</f>
        <v>PROJUR</v>
      </c>
    </row>
    <row r="2342" spans="1:10" ht="25.5" customHeight="1" x14ac:dyDescent="0.25">
      <c r="A2342" s="14">
        <v>14113</v>
      </c>
      <c r="B2342" s="7" t="s">
        <v>236</v>
      </c>
      <c r="C2342" s="7" t="s">
        <v>333</v>
      </c>
      <c r="D2342" s="7" t="s">
        <v>1466</v>
      </c>
      <c r="E2342" s="7" t="s">
        <v>335</v>
      </c>
      <c r="F2342" s="7" t="s">
        <v>205</v>
      </c>
      <c r="G2342" s="7" t="s">
        <v>1467</v>
      </c>
      <c r="H2342" s="15">
        <v>904.36</v>
      </c>
      <c r="I2342" s="15">
        <v>904.36</v>
      </c>
      <c r="J2342" s="7" t="str">
        <f>IFERROR(_xlfn.XLOOKUP(F2342,ccustos!A:A,ccustos!B:B),"Sem termo")</f>
        <v>CCOM</v>
      </c>
    </row>
    <row r="2343" spans="1:10" ht="25.5" customHeight="1" x14ac:dyDescent="0.25">
      <c r="A2343" s="16">
        <v>14114</v>
      </c>
      <c r="B2343" s="17" t="s">
        <v>236</v>
      </c>
      <c r="C2343" s="17" t="s">
        <v>333</v>
      </c>
      <c r="D2343" s="17" t="s">
        <v>1466</v>
      </c>
      <c r="E2343" s="17" t="s">
        <v>335</v>
      </c>
      <c r="F2343" s="17" t="s">
        <v>60</v>
      </c>
      <c r="G2343" s="17" t="s">
        <v>1467</v>
      </c>
      <c r="H2343" s="18">
        <v>904.36</v>
      </c>
      <c r="I2343" s="18">
        <v>904.36</v>
      </c>
      <c r="J2343" s="7" t="str">
        <f>IFERROR(_xlfn.XLOOKUP(F2343,ccustos!A:A,ccustos!B:B),"Sem termo")</f>
        <v>DEGEP</v>
      </c>
    </row>
    <row r="2344" spans="1:10" ht="36.75" customHeight="1" x14ac:dyDescent="0.25">
      <c r="A2344" s="14">
        <v>14115</v>
      </c>
      <c r="B2344" s="7" t="s">
        <v>236</v>
      </c>
      <c r="C2344" s="7" t="s">
        <v>333</v>
      </c>
      <c r="D2344" s="7" t="s">
        <v>1466</v>
      </c>
      <c r="E2344" s="7" t="s">
        <v>335</v>
      </c>
      <c r="F2344" s="7" t="s">
        <v>185</v>
      </c>
      <c r="G2344" s="7" t="s">
        <v>1467</v>
      </c>
      <c r="H2344" s="15">
        <v>904.36</v>
      </c>
      <c r="I2344" s="15">
        <v>904.36</v>
      </c>
      <c r="J2344" s="7" t="str">
        <f>IFERROR(_xlfn.XLOOKUP(F2344,ccustos!A:A,ccustos!B:B),"Sem termo")</f>
        <v>CGGE</v>
      </c>
    </row>
    <row r="2345" spans="1:10" ht="25.5" customHeight="1" x14ac:dyDescent="0.25">
      <c r="A2345" s="16">
        <v>14116</v>
      </c>
      <c r="B2345" s="17" t="s">
        <v>236</v>
      </c>
      <c r="C2345" s="17" t="s">
        <v>333</v>
      </c>
      <c r="D2345" s="17" t="s">
        <v>1466</v>
      </c>
      <c r="E2345" s="17" t="s">
        <v>335</v>
      </c>
      <c r="F2345" s="17" t="s">
        <v>30</v>
      </c>
      <c r="G2345" s="17" t="s">
        <v>1467</v>
      </c>
      <c r="H2345" s="18">
        <v>904.36</v>
      </c>
      <c r="I2345" s="18">
        <v>904.36</v>
      </c>
      <c r="J2345" s="7" t="str">
        <f>IFERROR(_xlfn.XLOOKUP(F2345,ccustos!A:A,ccustos!B:B),"Sem termo")</f>
        <v>COFIS</v>
      </c>
    </row>
    <row r="2346" spans="1:10" ht="25.5" customHeight="1" x14ac:dyDescent="0.25">
      <c r="A2346" s="14">
        <v>14117</v>
      </c>
      <c r="B2346" s="7" t="s">
        <v>236</v>
      </c>
      <c r="C2346" s="7" t="s">
        <v>333</v>
      </c>
      <c r="D2346" s="7" t="s">
        <v>1466</v>
      </c>
      <c r="E2346" s="7" t="s">
        <v>335</v>
      </c>
      <c r="F2346" s="7" t="s">
        <v>205</v>
      </c>
      <c r="G2346" s="7" t="s">
        <v>1467</v>
      </c>
      <c r="H2346" s="15">
        <v>904.36</v>
      </c>
      <c r="I2346" s="15">
        <v>904.36</v>
      </c>
      <c r="J2346" s="7" t="str">
        <f>IFERROR(_xlfn.XLOOKUP(F2346,ccustos!A:A,ccustos!B:B),"Sem termo")</f>
        <v>CCOM</v>
      </c>
    </row>
    <row r="2347" spans="1:10" ht="25.5" customHeight="1" x14ac:dyDescent="0.25">
      <c r="A2347" s="16">
        <v>14118</v>
      </c>
      <c r="B2347" s="17" t="s">
        <v>236</v>
      </c>
      <c r="C2347" s="17" t="s">
        <v>333</v>
      </c>
      <c r="D2347" s="17" t="s">
        <v>1466</v>
      </c>
      <c r="E2347" s="17" t="s">
        <v>335</v>
      </c>
      <c r="F2347" s="17" t="s">
        <v>48</v>
      </c>
      <c r="G2347" s="17" t="s">
        <v>1467</v>
      </c>
      <c r="H2347" s="18">
        <v>904.36</v>
      </c>
      <c r="I2347" s="18">
        <v>904.36</v>
      </c>
      <c r="J2347" s="7" t="str">
        <f>IFERROR(_xlfn.XLOOKUP(F2347,ccustos!A:A,ccustos!B:B),"Sem termo")</f>
        <v>DEPES</v>
      </c>
    </row>
    <row r="2348" spans="1:10" ht="25.5" customHeight="1" x14ac:dyDescent="0.25">
      <c r="A2348" s="14">
        <v>14119</v>
      </c>
      <c r="B2348" s="7" t="s">
        <v>236</v>
      </c>
      <c r="C2348" s="7" t="s">
        <v>333</v>
      </c>
      <c r="D2348" s="7" t="s">
        <v>1466</v>
      </c>
      <c r="E2348" s="7" t="s">
        <v>335</v>
      </c>
      <c r="F2348" s="7" t="s">
        <v>37</v>
      </c>
      <c r="G2348" s="7" t="s">
        <v>1467</v>
      </c>
      <c r="H2348" s="15">
        <v>904.36</v>
      </c>
      <c r="I2348" s="15">
        <v>904.36</v>
      </c>
      <c r="J2348" s="7" t="str">
        <f>IFERROR(_xlfn.XLOOKUP(F2348,ccustos!A:A,ccustos!B:B),"Sem termo")</f>
        <v>PROJUR</v>
      </c>
    </row>
    <row r="2349" spans="1:10" ht="25.5" customHeight="1" x14ac:dyDescent="0.25">
      <c r="A2349" s="16">
        <v>14120</v>
      </c>
      <c r="B2349" s="17" t="s">
        <v>236</v>
      </c>
      <c r="C2349" s="17" t="s">
        <v>333</v>
      </c>
      <c r="D2349" s="17" t="s">
        <v>1466</v>
      </c>
      <c r="E2349" s="17" t="s">
        <v>335</v>
      </c>
      <c r="F2349" s="17" t="s">
        <v>28</v>
      </c>
      <c r="G2349" s="17" t="s">
        <v>1467</v>
      </c>
      <c r="H2349" s="18">
        <v>904.36</v>
      </c>
      <c r="I2349" s="18">
        <v>904.36</v>
      </c>
      <c r="J2349" s="7" t="str">
        <f>IFERROR(_xlfn.XLOOKUP(F2349,ccustos!A:A,ccustos!B:B),"Sem termo")</f>
        <v>COPI</v>
      </c>
    </row>
    <row r="2350" spans="1:10" ht="25.5" customHeight="1" x14ac:dyDescent="0.25">
      <c r="A2350" s="14">
        <v>14121</v>
      </c>
      <c r="B2350" s="7" t="s">
        <v>236</v>
      </c>
      <c r="C2350" s="7" t="s">
        <v>333</v>
      </c>
      <c r="D2350" s="7" t="s">
        <v>1466</v>
      </c>
      <c r="E2350" s="7" t="s">
        <v>335</v>
      </c>
      <c r="F2350" s="7" t="s">
        <v>29</v>
      </c>
      <c r="G2350" s="7" t="s">
        <v>1467</v>
      </c>
      <c r="H2350" s="15">
        <v>904.36</v>
      </c>
      <c r="I2350" s="15">
        <v>904.36</v>
      </c>
      <c r="J2350" s="7" t="str">
        <f>IFERROR(_xlfn.XLOOKUP(F2350,ccustos!A:A,ccustos!B:B),"Sem termo")</f>
        <v>COAD</v>
      </c>
    </row>
    <row r="2351" spans="1:10" ht="36.75" customHeight="1" x14ac:dyDescent="0.25">
      <c r="A2351" s="16">
        <v>14122</v>
      </c>
      <c r="B2351" s="17" t="s">
        <v>236</v>
      </c>
      <c r="C2351" s="17" t="s">
        <v>333</v>
      </c>
      <c r="D2351" s="17" t="s">
        <v>1466</v>
      </c>
      <c r="E2351" s="17" t="s">
        <v>335</v>
      </c>
      <c r="F2351" s="17" t="s">
        <v>70</v>
      </c>
      <c r="G2351" s="17" t="s">
        <v>1467</v>
      </c>
      <c r="H2351" s="18">
        <v>904.36</v>
      </c>
      <c r="I2351" s="18">
        <v>904.36</v>
      </c>
      <c r="J2351" s="7" t="str">
        <f>IFERROR(_xlfn.XLOOKUP(F2351,ccustos!A:A,ccustos!B:B),"Sem termo")</f>
        <v>SEBIB</v>
      </c>
    </row>
    <row r="2352" spans="1:10" ht="36.75" customHeight="1" x14ac:dyDescent="0.25">
      <c r="A2352" s="14">
        <v>14123</v>
      </c>
      <c r="B2352" s="7" t="s">
        <v>236</v>
      </c>
      <c r="C2352" s="7" t="s">
        <v>333</v>
      </c>
      <c r="D2352" s="7" t="s">
        <v>1466</v>
      </c>
      <c r="E2352" s="7" t="s">
        <v>335</v>
      </c>
      <c r="F2352" s="7" t="s">
        <v>47</v>
      </c>
      <c r="G2352" s="7" t="s">
        <v>1467</v>
      </c>
      <c r="H2352" s="15">
        <v>904.36</v>
      </c>
      <c r="I2352" s="15">
        <v>904.36</v>
      </c>
      <c r="J2352" s="7" t="str">
        <f>IFERROR(_xlfn.XLOOKUP(F2352,ccustos!A:A,ccustos!B:B),"Sem termo")</f>
        <v>CDPROF</v>
      </c>
    </row>
    <row r="2353" spans="1:10" ht="36.75" customHeight="1" x14ac:dyDescent="0.25">
      <c r="A2353" s="16">
        <v>14124</v>
      </c>
      <c r="B2353" s="17" t="s">
        <v>236</v>
      </c>
      <c r="C2353" s="17" t="s">
        <v>333</v>
      </c>
      <c r="D2353" s="17" t="s">
        <v>1466</v>
      </c>
      <c r="E2353" s="17" t="s">
        <v>335</v>
      </c>
      <c r="F2353" s="17" t="s">
        <v>53</v>
      </c>
      <c r="G2353" s="17" t="s">
        <v>1467</v>
      </c>
      <c r="H2353" s="18">
        <v>904.36</v>
      </c>
      <c r="I2353" s="18">
        <v>904.36</v>
      </c>
      <c r="J2353" s="7" t="str">
        <f>IFERROR(_xlfn.XLOOKUP(F2353,ccustos!A:A,ccustos!B:B),"Sem termo")</f>
        <v>DELIC</v>
      </c>
    </row>
    <row r="2354" spans="1:10" ht="36.75" customHeight="1" x14ac:dyDescent="0.25">
      <c r="A2354" s="14">
        <v>14125</v>
      </c>
      <c r="B2354" s="7" t="s">
        <v>236</v>
      </c>
      <c r="C2354" s="7" t="s">
        <v>333</v>
      </c>
      <c r="D2354" s="7" t="s">
        <v>1466</v>
      </c>
      <c r="E2354" s="7" t="s">
        <v>335</v>
      </c>
      <c r="F2354" s="7" t="s">
        <v>20</v>
      </c>
      <c r="G2354" s="7" t="s">
        <v>1467</v>
      </c>
      <c r="H2354" s="15">
        <v>904.36</v>
      </c>
      <c r="I2354" s="15">
        <v>904.36</v>
      </c>
      <c r="J2354" s="7" t="str">
        <f>IFERROR(_xlfn.XLOOKUP(F2354,ccustos!A:A,ccustos!B:B),"Sem termo")</f>
        <v>CGTI</v>
      </c>
    </row>
    <row r="2355" spans="1:10" ht="36.75" customHeight="1" x14ac:dyDescent="0.25">
      <c r="A2355" s="16">
        <v>14126</v>
      </c>
      <c r="B2355" s="17" t="s">
        <v>236</v>
      </c>
      <c r="C2355" s="17" t="s">
        <v>333</v>
      </c>
      <c r="D2355" s="17" t="s">
        <v>1466</v>
      </c>
      <c r="E2355" s="17" t="s">
        <v>335</v>
      </c>
      <c r="F2355" s="17" t="s">
        <v>37</v>
      </c>
      <c r="G2355" s="17" t="s">
        <v>1467</v>
      </c>
      <c r="H2355" s="18">
        <v>904.36</v>
      </c>
      <c r="I2355" s="18">
        <v>904.36</v>
      </c>
      <c r="J2355" s="7" t="str">
        <f>IFERROR(_xlfn.XLOOKUP(F2355,ccustos!A:A,ccustos!B:B),"Sem termo")</f>
        <v>PROJUR</v>
      </c>
    </row>
    <row r="2356" spans="1:10" ht="36.75" customHeight="1" x14ac:dyDescent="0.25">
      <c r="A2356" s="14">
        <v>14127</v>
      </c>
      <c r="B2356" s="7" t="s">
        <v>236</v>
      </c>
      <c r="C2356" s="7" t="s">
        <v>333</v>
      </c>
      <c r="D2356" s="7" t="s">
        <v>1466</v>
      </c>
      <c r="E2356" s="7" t="s">
        <v>335</v>
      </c>
      <c r="F2356" s="7" t="s">
        <v>205</v>
      </c>
      <c r="G2356" s="7" t="s">
        <v>1467</v>
      </c>
      <c r="H2356" s="15">
        <v>904.36</v>
      </c>
      <c r="I2356" s="15">
        <v>904.36</v>
      </c>
      <c r="J2356" s="7" t="str">
        <f>IFERROR(_xlfn.XLOOKUP(F2356,ccustos!A:A,ccustos!B:B),"Sem termo")</f>
        <v>CCOM</v>
      </c>
    </row>
    <row r="2357" spans="1:10" ht="36.75" customHeight="1" x14ac:dyDescent="0.25">
      <c r="A2357" s="16">
        <v>14128</v>
      </c>
      <c r="B2357" s="17" t="s">
        <v>236</v>
      </c>
      <c r="C2357" s="17" t="s">
        <v>333</v>
      </c>
      <c r="D2357" s="17" t="s">
        <v>1466</v>
      </c>
      <c r="E2357" s="17" t="s">
        <v>335</v>
      </c>
      <c r="F2357" s="17" t="s">
        <v>22</v>
      </c>
      <c r="G2357" s="17" t="s">
        <v>1467</v>
      </c>
      <c r="H2357" s="18">
        <v>904.36</v>
      </c>
      <c r="I2357" s="18">
        <v>904.36</v>
      </c>
      <c r="J2357" s="7" t="str">
        <f>IFERROR(_xlfn.XLOOKUP(F2357,ccustos!A:A,ccustos!B:B),"Sem termo")</f>
        <v>COTEC</v>
      </c>
    </row>
    <row r="2358" spans="1:10" ht="36.75" customHeight="1" x14ac:dyDescent="0.25">
      <c r="A2358" s="14">
        <v>14129</v>
      </c>
      <c r="B2358" s="7" t="s">
        <v>236</v>
      </c>
      <c r="C2358" s="7" t="s">
        <v>333</v>
      </c>
      <c r="D2358" s="7" t="s">
        <v>1466</v>
      </c>
      <c r="E2358" s="7" t="s">
        <v>335</v>
      </c>
      <c r="F2358" s="7" t="s">
        <v>27</v>
      </c>
      <c r="G2358" s="7" t="s">
        <v>1467</v>
      </c>
      <c r="H2358" s="15">
        <v>904.36</v>
      </c>
      <c r="I2358" s="15">
        <v>904.36</v>
      </c>
      <c r="J2358" s="7" t="str">
        <f>IFERROR(_xlfn.XLOOKUP(F2358,ccustos!A:A,ccustos!B:B),"Sem termo")</f>
        <v>CCI</v>
      </c>
    </row>
    <row r="2359" spans="1:10" ht="36.75" customHeight="1" x14ac:dyDescent="0.25">
      <c r="A2359" s="16">
        <v>14130</v>
      </c>
      <c r="B2359" s="17" t="s">
        <v>236</v>
      </c>
      <c r="C2359" s="17" t="s">
        <v>333</v>
      </c>
      <c r="D2359" s="17" t="s">
        <v>1466</v>
      </c>
      <c r="E2359" s="17" t="s">
        <v>335</v>
      </c>
      <c r="F2359" s="17" t="s">
        <v>53</v>
      </c>
      <c r="G2359" s="17" t="s">
        <v>1467</v>
      </c>
      <c r="H2359" s="18">
        <v>904.36</v>
      </c>
      <c r="I2359" s="18">
        <v>904.36</v>
      </c>
      <c r="J2359" s="7" t="str">
        <f>IFERROR(_xlfn.XLOOKUP(F2359,ccustos!A:A,ccustos!B:B),"Sem termo")</f>
        <v>DELIC</v>
      </c>
    </row>
    <row r="2360" spans="1:10" ht="36.75" customHeight="1" x14ac:dyDescent="0.25">
      <c r="A2360" s="14">
        <v>14131</v>
      </c>
      <c r="B2360" s="7" t="s">
        <v>236</v>
      </c>
      <c r="C2360" s="7" t="s">
        <v>333</v>
      </c>
      <c r="D2360" s="7" t="s">
        <v>1466</v>
      </c>
      <c r="E2360" s="7" t="s">
        <v>335</v>
      </c>
      <c r="F2360" s="7" t="s">
        <v>70</v>
      </c>
      <c r="G2360" s="7" t="s">
        <v>1467</v>
      </c>
      <c r="H2360" s="15">
        <v>904.36</v>
      </c>
      <c r="I2360" s="15">
        <v>904.36</v>
      </c>
      <c r="J2360" s="7" t="str">
        <f>IFERROR(_xlfn.XLOOKUP(F2360,ccustos!A:A,ccustos!B:B),"Sem termo")</f>
        <v>SEBIB</v>
      </c>
    </row>
    <row r="2361" spans="1:10" ht="36.75" customHeight="1" x14ac:dyDescent="0.25">
      <c r="A2361" s="16">
        <v>14132</v>
      </c>
      <c r="B2361" s="17" t="s">
        <v>236</v>
      </c>
      <c r="C2361" s="17" t="s">
        <v>333</v>
      </c>
      <c r="D2361" s="17" t="s">
        <v>1466</v>
      </c>
      <c r="E2361" s="17" t="s">
        <v>335</v>
      </c>
      <c r="F2361" s="17" t="s">
        <v>47</v>
      </c>
      <c r="G2361" s="17" t="s">
        <v>1467</v>
      </c>
      <c r="H2361" s="18">
        <v>904.36</v>
      </c>
      <c r="I2361" s="18">
        <v>904.36</v>
      </c>
      <c r="J2361" s="7" t="str">
        <f>IFERROR(_xlfn.XLOOKUP(F2361,ccustos!A:A,ccustos!B:B),"Sem termo")</f>
        <v>CDPROF</v>
      </c>
    </row>
    <row r="2362" spans="1:10" ht="36.75" customHeight="1" x14ac:dyDescent="0.25">
      <c r="A2362" s="14">
        <v>14133</v>
      </c>
      <c r="B2362" s="7" t="s">
        <v>236</v>
      </c>
      <c r="C2362" s="7" t="s">
        <v>333</v>
      </c>
      <c r="D2362" s="7" t="s">
        <v>1466</v>
      </c>
      <c r="E2362" s="7" t="s">
        <v>335</v>
      </c>
      <c r="F2362" s="7" t="s">
        <v>213</v>
      </c>
      <c r="G2362" s="7" t="s">
        <v>1467</v>
      </c>
      <c r="H2362" s="15">
        <v>904.36</v>
      </c>
      <c r="I2362" s="15">
        <v>904.36</v>
      </c>
      <c r="J2362" s="7" t="str">
        <f>IFERROR(_xlfn.XLOOKUP(F2362,ccustos!A:A,ccustos!B:B),"Sem termo")</f>
        <v>DIEPG</v>
      </c>
    </row>
    <row r="2363" spans="1:10" ht="36.75" customHeight="1" x14ac:dyDescent="0.25">
      <c r="A2363" s="16">
        <v>14134</v>
      </c>
      <c r="B2363" s="17" t="s">
        <v>236</v>
      </c>
      <c r="C2363" s="17" t="s">
        <v>333</v>
      </c>
      <c r="D2363" s="17" t="s">
        <v>1466</v>
      </c>
      <c r="E2363" s="17" t="s">
        <v>335</v>
      </c>
      <c r="F2363" s="17" t="s">
        <v>39</v>
      </c>
      <c r="G2363" s="17" t="s">
        <v>1467</v>
      </c>
      <c r="H2363" s="18">
        <v>904.36</v>
      </c>
      <c r="I2363" s="18">
        <v>904.36</v>
      </c>
      <c r="J2363" s="7" t="str">
        <f>IFERROR(_xlfn.XLOOKUP(F2363,ccustos!A:A,ccustos!B:B),"Sem termo")</f>
        <v>COREG</v>
      </c>
    </row>
    <row r="2364" spans="1:10" ht="36.75" customHeight="1" x14ac:dyDescent="0.25">
      <c r="A2364" s="14">
        <v>14135</v>
      </c>
      <c r="B2364" s="7" t="s">
        <v>236</v>
      </c>
      <c r="C2364" s="7" t="s">
        <v>333</v>
      </c>
      <c r="D2364" s="7" t="s">
        <v>1466</v>
      </c>
      <c r="E2364" s="7" t="s">
        <v>335</v>
      </c>
      <c r="F2364" s="7" t="s">
        <v>185</v>
      </c>
      <c r="G2364" s="7" t="s">
        <v>1467</v>
      </c>
      <c r="H2364" s="15">
        <v>904.36</v>
      </c>
      <c r="I2364" s="15">
        <v>904.36</v>
      </c>
      <c r="J2364" s="7" t="str">
        <f>IFERROR(_xlfn.XLOOKUP(F2364,ccustos!A:A,ccustos!B:B),"Sem termo")</f>
        <v>CGGE</v>
      </c>
    </row>
    <row r="2365" spans="1:10" ht="36.75" customHeight="1" x14ac:dyDescent="0.25">
      <c r="A2365" s="16">
        <v>14136</v>
      </c>
      <c r="B2365" s="17" t="s">
        <v>236</v>
      </c>
      <c r="C2365" s="17" t="s">
        <v>333</v>
      </c>
      <c r="D2365" s="17" t="s">
        <v>1466</v>
      </c>
      <c r="E2365" s="17" t="s">
        <v>335</v>
      </c>
      <c r="F2365" s="17" t="s">
        <v>26</v>
      </c>
      <c r="G2365" s="17" t="s">
        <v>1467</v>
      </c>
      <c r="H2365" s="18">
        <v>904.36</v>
      </c>
      <c r="I2365" s="18">
        <v>904.36</v>
      </c>
      <c r="J2365" s="7" t="str">
        <f>IFERROR(_xlfn.XLOOKUP(F2365,ccustos!A:A,ccustos!B:B),"Sem termo")</f>
        <v>COLOG</v>
      </c>
    </row>
    <row r="2366" spans="1:10" ht="36.75" customHeight="1" x14ac:dyDescent="0.25">
      <c r="A2366" s="14">
        <v>14137</v>
      </c>
      <c r="B2366" s="7" t="s">
        <v>236</v>
      </c>
      <c r="C2366" s="7" t="s">
        <v>333</v>
      </c>
      <c r="D2366" s="7" t="s">
        <v>1466</v>
      </c>
      <c r="E2366" s="7" t="s">
        <v>335</v>
      </c>
      <c r="F2366" s="7" t="s">
        <v>18</v>
      </c>
      <c r="G2366" s="7" t="s">
        <v>1467</v>
      </c>
      <c r="H2366" s="15">
        <v>904.36</v>
      </c>
      <c r="I2366" s="15">
        <v>904.36</v>
      </c>
      <c r="J2366" s="7" t="str">
        <f>IFERROR(_xlfn.XLOOKUP(F2366,ccustos!A:A,ccustos!B:B),"Sem termo")</f>
        <v>DEINFRA</v>
      </c>
    </row>
    <row r="2367" spans="1:10" ht="36.75" customHeight="1" x14ac:dyDescent="0.25">
      <c r="A2367" s="16">
        <v>14138</v>
      </c>
      <c r="B2367" s="17" t="s">
        <v>236</v>
      </c>
      <c r="C2367" s="17" t="s">
        <v>333</v>
      </c>
      <c r="D2367" s="17" t="s">
        <v>1466</v>
      </c>
      <c r="E2367" s="17" t="s">
        <v>335</v>
      </c>
      <c r="F2367" s="17" t="s">
        <v>211</v>
      </c>
      <c r="G2367" s="17" t="s">
        <v>1467</v>
      </c>
      <c r="H2367" s="18">
        <v>904.36</v>
      </c>
      <c r="I2367" s="18">
        <v>904.36</v>
      </c>
      <c r="J2367" s="7" t="str">
        <f>IFERROR(_xlfn.XLOOKUP(F2367,ccustos!A:A,ccustos!B:B),"Sem termo")</f>
        <v>DIGEO</v>
      </c>
    </row>
    <row r="2368" spans="1:10" ht="36.75" customHeight="1" x14ac:dyDescent="0.25">
      <c r="A2368" s="14">
        <v>14139</v>
      </c>
      <c r="B2368" s="7" t="s">
        <v>236</v>
      </c>
      <c r="C2368" s="7" t="s">
        <v>333</v>
      </c>
      <c r="D2368" s="7" t="s">
        <v>1466</v>
      </c>
      <c r="E2368" s="7" t="s">
        <v>335</v>
      </c>
      <c r="F2368" s="7" t="s">
        <v>213</v>
      </c>
      <c r="G2368" s="7" t="s">
        <v>1467</v>
      </c>
      <c r="H2368" s="15">
        <v>904.36</v>
      </c>
      <c r="I2368" s="15">
        <v>904.36</v>
      </c>
      <c r="J2368" s="7" t="str">
        <f>IFERROR(_xlfn.XLOOKUP(F2368,ccustos!A:A,ccustos!B:B),"Sem termo")</f>
        <v>DIEPG</v>
      </c>
    </row>
    <row r="2369" spans="1:10" ht="36.75" customHeight="1" x14ac:dyDescent="0.25">
      <c r="A2369" s="16">
        <v>14140</v>
      </c>
      <c r="B2369" s="17" t="s">
        <v>236</v>
      </c>
      <c r="C2369" s="17" t="s">
        <v>333</v>
      </c>
      <c r="D2369" s="17" t="s">
        <v>1466</v>
      </c>
      <c r="E2369" s="17" t="s">
        <v>335</v>
      </c>
      <c r="F2369" s="17" t="s">
        <v>185</v>
      </c>
      <c r="G2369" s="17" t="s">
        <v>1467</v>
      </c>
      <c r="H2369" s="18">
        <v>904.36</v>
      </c>
      <c r="I2369" s="18">
        <v>904.36</v>
      </c>
      <c r="J2369" s="7" t="str">
        <f>IFERROR(_xlfn.XLOOKUP(F2369,ccustos!A:A,ccustos!B:B),"Sem termo")</f>
        <v>CGGE</v>
      </c>
    </row>
    <row r="2370" spans="1:10" ht="36.75" customHeight="1" x14ac:dyDescent="0.25">
      <c r="A2370" s="14">
        <v>14141</v>
      </c>
      <c r="B2370" s="7" t="s">
        <v>236</v>
      </c>
      <c r="C2370" s="7" t="s">
        <v>333</v>
      </c>
      <c r="D2370" s="7" t="s">
        <v>1466</v>
      </c>
      <c r="E2370" s="7" t="s">
        <v>335</v>
      </c>
      <c r="F2370" s="7" t="s">
        <v>53</v>
      </c>
      <c r="G2370" s="7" t="s">
        <v>1467</v>
      </c>
      <c r="H2370" s="15">
        <v>904.36</v>
      </c>
      <c r="I2370" s="15">
        <v>904.36</v>
      </c>
      <c r="J2370" s="7" t="str">
        <f>IFERROR(_xlfn.XLOOKUP(F2370,ccustos!A:A,ccustos!B:B),"Sem termo")</f>
        <v>DELIC</v>
      </c>
    </row>
    <row r="2371" spans="1:10" ht="36.75" customHeight="1" x14ac:dyDescent="0.25">
      <c r="A2371" s="16">
        <v>14142</v>
      </c>
      <c r="B2371" s="17" t="s">
        <v>236</v>
      </c>
      <c r="C2371" s="17" t="s">
        <v>333</v>
      </c>
      <c r="D2371" s="17" t="s">
        <v>1466</v>
      </c>
      <c r="E2371" s="17" t="s">
        <v>335</v>
      </c>
      <c r="F2371" s="17" t="s">
        <v>62</v>
      </c>
      <c r="G2371" s="17" t="s">
        <v>1467</v>
      </c>
      <c r="H2371" s="18">
        <v>904.36</v>
      </c>
      <c r="I2371" s="18">
        <v>904.36</v>
      </c>
      <c r="J2371" s="7" t="str">
        <f>IFERROR(_xlfn.XLOOKUP(F2371,ccustos!A:A,ccustos!B:B),"Sem termo")</f>
        <v>SETRAN</v>
      </c>
    </row>
    <row r="2372" spans="1:10" ht="36.75" customHeight="1" x14ac:dyDescent="0.25">
      <c r="A2372" s="14">
        <v>14143</v>
      </c>
      <c r="B2372" s="7" t="s">
        <v>236</v>
      </c>
      <c r="C2372" s="7" t="s">
        <v>333</v>
      </c>
      <c r="D2372" s="7" t="s">
        <v>1466</v>
      </c>
      <c r="E2372" s="7" t="s">
        <v>335</v>
      </c>
      <c r="F2372" s="7" t="s">
        <v>205</v>
      </c>
      <c r="G2372" s="7" t="s">
        <v>1467</v>
      </c>
      <c r="H2372" s="15">
        <v>904.36</v>
      </c>
      <c r="I2372" s="15">
        <v>904.36</v>
      </c>
      <c r="J2372" s="7" t="str">
        <f>IFERROR(_xlfn.XLOOKUP(F2372,ccustos!A:A,ccustos!B:B),"Sem termo")</f>
        <v>CCOM</v>
      </c>
    </row>
    <row r="2373" spans="1:10" ht="36.75" customHeight="1" x14ac:dyDescent="0.25">
      <c r="A2373" s="16">
        <v>14144</v>
      </c>
      <c r="B2373" s="17" t="s">
        <v>236</v>
      </c>
      <c r="C2373" s="17" t="s">
        <v>333</v>
      </c>
      <c r="D2373" s="17" t="s">
        <v>1466</v>
      </c>
      <c r="E2373" s="17" t="s">
        <v>335</v>
      </c>
      <c r="F2373" s="17" t="s">
        <v>185</v>
      </c>
      <c r="G2373" s="17" t="s">
        <v>1467</v>
      </c>
      <c r="H2373" s="18">
        <v>904.36</v>
      </c>
      <c r="I2373" s="18">
        <v>904.36</v>
      </c>
      <c r="J2373" s="7" t="str">
        <f>IFERROR(_xlfn.XLOOKUP(F2373,ccustos!A:A,ccustos!B:B),"Sem termo")</f>
        <v>CGGE</v>
      </c>
    </row>
    <row r="2374" spans="1:10" ht="36.75" customHeight="1" x14ac:dyDescent="0.25">
      <c r="A2374" s="14">
        <v>14145</v>
      </c>
      <c r="B2374" s="7" t="s">
        <v>236</v>
      </c>
      <c r="C2374" s="7" t="s">
        <v>333</v>
      </c>
      <c r="D2374" s="7" t="s">
        <v>1466</v>
      </c>
      <c r="E2374" s="7" t="s">
        <v>335</v>
      </c>
      <c r="F2374" s="7" t="s">
        <v>65</v>
      </c>
      <c r="G2374" s="7" t="s">
        <v>1467</v>
      </c>
      <c r="H2374" s="15">
        <v>904.36</v>
      </c>
      <c r="I2374" s="15">
        <v>904.36</v>
      </c>
      <c r="J2374" s="7" t="str">
        <f>IFERROR(_xlfn.XLOOKUP(F2374,ccustos!A:A,ccustos!B:B),"Sem termo")</f>
        <v>DEINFRA</v>
      </c>
    </row>
    <row r="2375" spans="1:10" ht="25.5" customHeight="1" x14ac:dyDescent="0.25">
      <c r="A2375" s="16">
        <v>14146</v>
      </c>
      <c r="B2375" s="17" t="s">
        <v>236</v>
      </c>
      <c r="C2375" s="17" t="s">
        <v>333</v>
      </c>
      <c r="D2375" s="17" t="s">
        <v>1466</v>
      </c>
      <c r="E2375" s="17" t="s">
        <v>335</v>
      </c>
      <c r="F2375" s="17" t="s">
        <v>22</v>
      </c>
      <c r="G2375" s="17" t="s">
        <v>1467</v>
      </c>
      <c r="H2375" s="18">
        <v>904.36</v>
      </c>
      <c r="I2375" s="18">
        <v>904.36</v>
      </c>
      <c r="J2375" s="7" t="str">
        <f>IFERROR(_xlfn.XLOOKUP(F2375,ccustos!A:A,ccustos!B:B),"Sem termo")</f>
        <v>COTEC</v>
      </c>
    </row>
    <row r="2376" spans="1:10" ht="36.75" customHeight="1" x14ac:dyDescent="0.25">
      <c r="A2376" s="14">
        <v>14147</v>
      </c>
      <c r="B2376" s="7" t="s">
        <v>236</v>
      </c>
      <c r="C2376" s="7" t="s">
        <v>333</v>
      </c>
      <c r="D2376" s="7" t="s">
        <v>1466</v>
      </c>
      <c r="E2376" s="7" t="s">
        <v>335</v>
      </c>
      <c r="F2376" s="7" t="s">
        <v>54</v>
      </c>
      <c r="G2376" s="7" t="s">
        <v>1467</v>
      </c>
      <c r="H2376" s="15">
        <v>904.36</v>
      </c>
      <c r="I2376" s="15">
        <v>904.36</v>
      </c>
      <c r="J2376" s="7" t="str">
        <f>IFERROR(_xlfn.XLOOKUP(F2376,ccustos!A:A,ccustos!B:B),"Sem termo")</f>
        <v>DEFIN</v>
      </c>
    </row>
    <row r="2377" spans="1:10" ht="36.75" customHeight="1" x14ac:dyDescent="0.25">
      <c r="A2377" s="16">
        <v>14148</v>
      </c>
      <c r="B2377" s="17" t="s">
        <v>236</v>
      </c>
      <c r="C2377" s="17" t="s">
        <v>333</v>
      </c>
      <c r="D2377" s="17" t="s">
        <v>1466</v>
      </c>
      <c r="E2377" s="17" t="s">
        <v>335</v>
      </c>
      <c r="F2377" s="17" t="s">
        <v>54</v>
      </c>
      <c r="G2377" s="17" t="s">
        <v>1467</v>
      </c>
      <c r="H2377" s="18">
        <v>904.36</v>
      </c>
      <c r="I2377" s="18">
        <v>904.36</v>
      </c>
      <c r="J2377" s="7" t="str">
        <f>IFERROR(_xlfn.XLOOKUP(F2377,ccustos!A:A,ccustos!B:B),"Sem termo")</f>
        <v>DEFIN</v>
      </c>
    </row>
    <row r="2378" spans="1:10" ht="36.75" customHeight="1" x14ac:dyDescent="0.25">
      <c r="A2378" s="14">
        <v>14149</v>
      </c>
      <c r="B2378" s="7" t="s">
        <v>236</v>
      </c>
      <c r="C2378" s="7" t="s">
        <v>333</v>
      </c>
      <c r="D2378" s="7" t="s">
        <v>1466</v>
      </c>
      <c r="E2378" s="7" t="s">
        <v>335</v>
      </c>
      <c r="F2378" s="7" t="s">
        <v>205</v>
      </c>
      <c r="G2378" s="7" t="s">
        <v>1467</v>
      </c>
      <c r="H2378" s="15">
        <v>904.36</v>
      </c>
      <c r="I2378" s="15">
        <v>904.36</v>
      </c>
      <c r="J2378" s="7" t="str">
        <f>IFERROR(_xlfn.XLOOKUP(F2378,ccustos!A:A,ccustos!B:B),"Sem termo")</f>
        <v>CCOM</v>
      </c>
    </row>
    <row r="2379" spans="1:10" ht="36.75" customHeight="1" x14ac:dyDescent="0.25">
      <c r="A2379" s="16">
        <v>14150</v>
      </c>
      <c r="B2379" s="17" t="s">
        <v>236</v>
      </c>
      <c r="C2379" s="17" t="s">
        <v>333</v>
      </c>
      <c r="D2379" s="17" t="s">
        <v>1466</v>
      </c>
      <c r="E2379" s="17" t="s">
        <v>335</v>
      </c>
      <c r="F2379" s="17" t="s">
        <v>211</v>
      </c>
      <c r="G2379" s="17" t="s">
        <v>1467</v>
      </c>
      <c r="H2379" s="18">
        <v>904.36</v>
      </c>
      <c r="I2379" s="18">
        <v>904.36</v>
      </c>
      <c r="J2379" s="7" t="str">
        <f>IFERROR(_xlfn.XLOOKUP(F2379,ccustos!A:A,ccustos!B:B),"Sem termo")</f>
        <v>DIGEO</v>
      </c>
    </row>
    <row r="2380" spans="1:10" ht="36.75" customHeight="1" x14ac:dyDescent="0.25">
      <c r="A2380" s="14">
        <v>14151</v>
      </c>
      <c r="B2380" s="7" t="s">
        <v>236</v>
      </c>
      <c r="C2380" s="7" t="s">
        <v>333</v>
      </c>
      <c r="D2380" s="7" t="s">
        <v>1466</v>
      </c>
      <c r="E2380" s="7" t="s">
        <v>335</v>
      </c>
      <c r="F2380" s="7" t="s">
        <v>28</v>
      </c>
      <c r="G2380" s="7" t="s">
        <v>1467</v>
      </c>
      <c r="H2380" s="15">
        <v>904.36</v>
      </c>
      <c r="I2380" s="15">
        <v>904.36</v>
      </c>
      <c r="J2380" s="7" t="str">
        <f>IFERROR(_xlfn.XLOOKUP(F2380,ccustos!A:A,ccustos!B:B),"Sem termo")</f>
        <v>COPI</v>
      </c>
    </row>
    <row r="2381" spans="1:10" ht="36.75" customHeight="1" x14ac:dyDescent="0.25">
      <c r="A2381" s="16">
        <v>14152</v>
      </c>
      <c r="B2381" s="17" t="s">
        <v>236</v>
      </c>
      <c r="C2381" s="17" t="s">
        <v>333</v>
      </c>
      <c r="D2381" s="17" t="s">
        <v>1466</v>
      </c>
      <c r="E2381" s="17" t="s">
        <v>335</v>
      </c>
      <c r="F2381" s="17" t="s">
        <v>19</v>
      </c>
      <c r="G2381" s="17" t="s">
        <v>1467</v>
      </c>
      <c r="H2381" s="18">
        <v>904.36</v>
      </c>
      <c r="I2381" s="18">
        <v>904.36</v>
      </c>
      <c r="J2381" s="7" t="str">
        <f>IFERROR(_xlfn.XLOOKUP(F2381,ccustos!A:A,ccustos!B:B),"Sem termo")</f>
        <v>SEGED</v>
      </c>
    </row>
    <row r="2382" spans="1:10" ht="36.75" customHeight="1" x14ac:dyDescent="0.25">
      <c r="A2382" s="14">
        <v>14153</v>
      </c>
      <c r="B2382" s="7" t="s">
        <v>236</v>
      </c>
      <c r="C2382" s="7" t="s">
        <v>333</v>
      </c>
      <c r="D2382" s="7" t="s">
        <v>1466</v>
      </c>
      <c r="E2382" s="7" t="s">
        <v>335</v>
      </c>
      <c r="F2382" s="7" t="s">
        <v>55</v>
      </c>
      <c r="G2382" s="7" t="s">
        <v>1467</v>
      </c>
      <c r="H2382" s="15">
        <v>904.36</v>
      </c>
      <c r="I2382" s="15">
        <v>904.36</v>
      </c>
      <c r="J2382" s="7" t="str">
        <f>IFERROR(_xlfn.XLOOKUP(F2382,ccustos!A:A,ccustos!B:B),"Sem termo")</f>
        <v>DEPAD</v>
      </c>
    </row>
    <row r="2383" spans="1:10" ht="36.75" customHeight="1" x14ac:dyDescent="0.25">
      <c r="A2383" s="16">
        <v>14154</v>
      </c>
      <c r="B2383" s="17" t="s">
        <v>236</v>
      </c>
      <c r="C2383" s="17" t="s">
        <v>333</v>
      </c>
      <c r="D2383" s="17" t="s">
        <v>1466</v>
      </c>
      <c r="E2383" s="17" t="s">
        <v>335</v>
      </c>
      <c r="F2383" s="17" t="s">
        <v>47</v>
      </c>
      <c r="G2383" s="17" t="s">
        <v>1467</v>
      </c>
      <c r="H2383" s="18">
        <v>904.36</v>
      </c>
      <c r="I2383" s="18">
        <v>904.36</v>
      </c>
      <c r="J2383" s="7" t="str">
        <f>IFERROR(_xlfn.XLOOKUP(F2383,ccustos!A:A,ccustos!B:B),"Sem termo")</f>
        <v>CDPROF</v>
      </c>
    </row>
    <row r="2384" spans="1:10" ht="36.75" customHeight="1" x14ac:dyDescent="0.25">
      <c r="A2384" s="14">
        <v>14155</v>
      </c>
      <c r="B2384" s="7" t="s">
        <v>236</v>
      </c>
      <c r="C2384" s="7" t="s">
        <v>1468</v>
      </c>
      <c r="D2384" s="7" t="s">
        <v>1469</v>
      </c>
      <c r="E2384" s="7" t="s">
        <v>250</v>
      </c>
      <c r="F2384" s="7" t="s">
        <v>6</v>
      </c>
      <c r="G2384" s="7" t="s">
        <v>1470</v>
      </c>
      <c r="H2384" s="15">
        <v>3120</v>
      </c>
      <c r="I2384" s="15">
        <v>3120</v>
      </c>
      <c r="J2384" s="7" t="str">
        <f>IFERROR(_xlfn.XLOOKUP(F2384,ccustos!A:A,ccustos!B:B),"Sem termo")</f>
        <v>SEPAT</v>
      </c>
    </row>
    <row r="2385" spans="1:10" ht="36.75" customHeight="1" x14ac:dyDescent="0.25">
      <c r="A2385" s="16">
        <v>14156</v>
      </c>
      <c r="B2385" s="17" t="s">
        <v>236</v>
      </c>
      <c r="C2385" s="17" t="s">
        <v>1468</v>
      </c>
      <c r="D2385" s="17" t="s">
        <v>1469</v>
      </c>
      <c r="E2385" s="17" t="s">
        <v>250</v>
      </c>
      <c r="F2385" s="17" t="s">
        <v>6</v>
      </c>
      <c r="G2385" s="17" t="s">
        <v>1470</v>
      </c>
      <c r="H2385" s="18">
        <v>3120</v>
      </c>
      <c r="I2385" s="18">
        <v>3120</v>
      </c>
      <c r="J2385" s="7" t="str">
        <f>IFERROR(_xlfn.XLOOKUP(F2385,ccustos!A:A,ccustos!B:B),"Sem termo")</f>
        <v>SEPAT</v>
      </c>
    </row>
    <row r="2386" spans="1:10" ht="36.75" customHeight="1" x14ac:dyDescent="0.25">
      <c r="A2386" s="14">
        <v>14157</v>
      </c>
      <c r="B2386" s="7" t="s">
        <v>236</v>
      </c>
      <c r="C2386" s="7" t="s">
        <v>1468</v>
      </c>
      <c r="D2386" s="7" t="s">
        <v>1469</v>
      </c>
      <c r="E2386" s="7" t="s">
        <v>250</v>
      </c>
      <c r="F2386" s="7" t="s">
        <v>6</v>
      </c>
      <c r="G2386" s="7" t="s">
        <v>1470</v>
      </c>
      <c r="H2386" s="15">
        <v>3120</v>
      </c>
      <c r="I2386" s="15">
        <v>3120</v>
      </c>
      <c r="J2386" s="7" t="str">
        <f>IFERROR(_xlfn.XLOOKUP(F2386,ccustos!A:A,ccustos!B:B),"Sem termo")</f>
        <v>SEPAT</v>
      </c>
    </row>
    <row r="2387" spans="1:10" ht="36.75" customHeight="1" x14ac:dyDescent="0.25">
      <c r="A2387" s="16">
        <v>14158</v>
      </c>
      <c r="B2387" s="17" t="s">
        <v>236</v>
      </c>
      <c r="C2387" s="17" t="s">
        <v>1468</v>
      </c>
      <c r="D2387" s="17" t="s">
        <v>1469</v>
      </c>
      <c r="E2387" s="17" t="s">
        <v>250</v>
      </c>
      <c r="F2387" s="17" t="s">
        <v>6</v>
      </c>
      <c r="G2387" s="17" t="s">
        <v>1470</v>
      </c>
      <c r="H2387" s="18">
        <v>3120</v>
      </c>
      <c r="I2387" s="18">
        <v>3120</v>
      </c>
      <c r="J2387" s="7" t="str">
        <f>IFERROR(_xlfn.XLOOKUP(F2387,ccustos!A:A,ccustos!B:B),"Sem termo")</f>
        <v>SEPAT</v>
      </c>
    </row>
    <row r="2388" spans="1:10" ht="36.75" customHeight="1" x14ac:dyDescent="0.25">
      <c r="A2388" s="14">
        <v>14159</v>
      </c>
      <c r="B2388" s="7" t="s">
        <v>236</v>
      </c>
      <c r="C2388" s="7" t="s">
        <v>1468</v>
      </c>
      <c r="D2388" s="7" t="s">
        <v>1469</v>
      </c>
      <c r="E2388" s="7" t="s">
        <v>250</v>
      </c>
      <c r="F2388" s="7" t="s">
        <v>256</v>
      </c>
      <c r="G2388" s="7" t="s">
        <v>1470</v>
      </c>
      <c r="H2388" s="15">
        <v>3120</v>
      </c>
      <c r="I2388" s="15">
        <v>3120</v>
      </c>
      <c r="J2388" s="7" t="str">
        <f>IFERROR(_xlfn.XLOOKUP(F2388,ccustos!A:A,ccustos!B:B),"Sem termo")</f>
        <v>Sem termo</v>
      </c>
    </row>
    <row r="2389" spans="1:10" ht="36.75" customHeight="1" x14ac:dyDescent="0.25">
      <c r="A2389" s="16">
        <v>14160</v>
      </c>
      <c r="B2389" s="17" t="s">
        <v>236</v>
      </c>
      <c r="C2389" s="17" t="s">
        <v>1468</v>
      </c>
      <c r="D2389" s="17" t="s">
        <v>1469</v>
      </c>
      <c r="E2389" s="17" t="s">
        <v>250</v>
      </c>
      <c r="F2389" s="17" t="s">
        <v>6</v>
      </c>
      <c r="G2389" s="17" t="s">
        <v>1470</v>
      </c>
      <c r="H2389" s="18">
        <v>3120</v>
      </c>
      <c r="I2389" s="18">
        <v>3120</v>
      </c>
      <c r="J2389" s="7" t="str">
        <f>IFERROR(_xlfn.XLOOKUP(F2389,ccustos!A:A,ccustos!B:B),"Sem termo")</f>
        <v>SEPAT</v>
      </c>
    </row>
    <row r="2390" spans="1:10" ht="36.75" customHeight="1" x14ac:dyDescent="0.25">
      <c r="A2390" s="14">
        <v>14161</v>
      </c>
      <c r="B2390" s="7" t="s">
        <v>236</v>
      </c>
      <c r="C2390" s="7" t="s">
        <v>1468</v>
      </c>
      <c r="D2390" s="7" t="s">
        <v>1469</v>
      </c>
      <c r="E2390" s="7" t="s">
        <v>250</v>
      </c>
      <c r="F2390" s="7" t="s">
        <v>63</v>
      </c>
      <c r="G2390" s="7" t="s">
        <v>1470</v>
      </c>
      <c r="H2390" s="15">
        <v>3120</v>
      </c>
      <c r="I2390" s="15">
        <v>3120</v>
      </c>
      <c r="J2390" s="7" t="str">
        <f>IFERROR(_xlfn.XLOOKUP(F2390,ccustos!A:A,ccustos!B:B),"Sem termo")</f>
        <v>SEPAT</v>
      </c>
    </row>
    <row r="2391" spans="1:10" ht="25.5" customHeight="1" x14ac:dyDescent="0.25">
      <c r="A2391" s="16">
        <v>14162</v>
      </c>
      <c r="B2391" s="17" t="s">
        <v>236</v>
      </c>
      <c r="C2391" s="17" t="s">
        <v>1468</v>
      </c>
      <c r="D2391" s="17" t="s">
        <v>1469</v>
      </c>
      <c r="E2391" s="17" t="s">
        <v>250</v>
      </c>
      <c r="F2391" s="17" t="s">
        <v>6</v>
      </c>
      <c r="G2391" s="17" t="s">
        <v>1470</v>
      </c>
      <c r="H2391" s="18">
        <v>3120</v>
      </c>
      <c r="I2391" s="18">
        <v>3120</v>
      </c>
      <c r="J2391" s="7" t="str">
        <f>IFERROR(_xlfn.XLOOKUP(F2391,ccustos!A:A,ccustos!B:B),"Sem termo")</f>
        <v>SEPAT</v>
      </c>
    </row>
    <row r="2392" spans="1:10" ht="25.5" customHeight="1" x14ac:dyDescent="0.25">
      <c r="A2392" s="14">
        <v>14163</v>
      </c>
      <c r="B2392" s="7" t="s">
        <v>236</v>
      </c>
      <c r="C2392" s="7" t="s">
        <v>1468</v>
      </c>
      <c r="D2392" s="7" t="s">
        <v>1469</v>
      </c>
      <c r="E2392" s="7" t="s">
        <v>250</v>
      </c>
      <c r="F2392" s="7" t="s">
        <v>14</v>
      </c>
      <c r="G2392" s="7" t="s">
        <v>1470</v>
      </c>
      <c r="H2392" s="15">
        <v>3120</v>
      </c>
      <c r="I2392" s="15">
        <v>3120</v>
      </c>
      <c r="J2392" s="7" t="str">
        <f>IFERROR(_xlfn.XLOOKUP(F2392,ccustos!A:A,ccustos!B:B),"Sem termo")</f>
        <v>SEPAT</v>
      </c>
    </row>
    <row r="2393" spans="1:10" ht="36.75" customHeight="1" x14ac:dyDescent="0.25">
      <c r="A2393" s="16">
        <v>14164</v>
      </c>
      <c r="B2393" s="17" t="s">
        <v>236</v>
      </c>
      <c r="C2393" s="17" t="s">
        <v>1468</v>
      </c>
      <c r="D2393" s="17" t="s">
        <v>1469</v>
      </c>
      <c r="E2393" s="17" t="s">
        <v>250</v>
      </c>
      <c r="F2393" s="17" t="s">
        <v>63</v>
      </c>
      <c r="G2393" s="17" t="s">
        <v>1470</v>
      </c>
      <c r="H2393" s="18">
        <v>3120</v>
      </c>
      <c r="I2393" s="18">
        <v>3120</v>
      </c>
      <c r="J2393" s="7" t="str">
        <f>IFERROR(_xlfn.XLOOKUP(F2393,ccustos!A:A,ccustos!B:B),"Sem termo")</f>
        <v>SEPAT</v>
      </c>
    </row>
    <row r="2394" spans="1:10" ht="36.75" customHeight="1" x14ac:dyDescent="0.25">
      <c r="A2394" s="14">
        <v>14166</v>
      </c>
      <c r="B2394" s="7" t="s">
        <v>236</v>
      </c>
      <c r="C2394" s="7" t="s">
        <v>1131</v>
      </c>
      <c r="D2394" s="7" t="s">
        <v>1471</v>
      </c>
      <c r="E2394" s="7" t="s">
        <v>250</v>
      </c>
      <c r="F2394" s="7" t="s">
        <v>59</v>
      </c>
      <c r="G2394" s="7" t="s">
        <v>1472</v>
      </c>
      <c r="H2394" s="15">
        <v>1990</v>
      </c>
      <c r="I2394" s="15">
        <v>1990</v>
      </c>
      <c r="J2394" s="7" t="str">
        <f>IFERROR(_xlfn.XLOOKUP(F2394,ccustos!A:A,ccustos!B:B),"Sem termo")</f>
        <v>SEPAT</v>
      </c>
    </row>
    <row r="2395" spans="1:10" ht="25.5" customHeight="1" x14ac:dyDescent="0.25">
      <c r="A2395" s="16">
        <v>14169</v>
      </c>
      <c r="B2395" s="17" t="s">
        <v>236</v>
      </c>
      <c r="C2395" s="17" t="s">
        <v>1473</v>
      </c>
      <c r="D2395" s="17" t="s">
        <v>1474</v>
      </c>
      <c r="E2395" s="17" t="s">
        <v>335</v>
      </c>
      <c r="F2395" s="17" t="s">
        <v>20</v>
      </c>
      <c r="G2395" s="17" t="s">
        <v>1475</v>
      </c>
      <c r="H2395" s="18">
        <v>305000</v>
      </c>
      <c r="I2395" s="18">
        <v>305000</v>
      </c>
      <c r="J2395" s="7" t="str">
        <f>IFERROR(_xlfn.XLOOKUP(F2395,ccustos!A:A,ccustos!B:B),"Sem termo")</f>
        <v>CGTI</v>
      </c>
    </row>
    <row r="2396" spans="1:10" ht="36.75" customHeight="1" x14ac:dyDescent="0.25">
      <c r="A2396" s="14">
        <v>14170</v>
      </c>
      <c r="B2396" s="7" t="s">
        <v>236</v>
      </c>
      <c r="C2396" s="7" t="s">
        <v>1473</v>
      </c>
      <c r="D2396" s="7" t="s">
        <v>1476</v>
      </c>
      <c r="E2396" s="7" t="s">
        <v>335</v>
      </c>
      <c r="F2396" s="7" t="s">
        <v>20</v>
      </c>
      <c r="G2396" s="7" t="s">
        <v>1475</v>
      </c>
      <c r="H2396" s="15">
        <v>109619.82</v>
      </c>
      <c r="I2396" s="15">
        <v>109619.82</v>
      </c>
      <c r="J2396" s="7" t="str">
        <f>IFERROR(_xlfn.XLOOKUP(F2396,ccustos!A:A,ccustos!B:B),"Sem termo")</f>
        <v>CGTI</v>
      </c>
    </row>
    <row r="2397" spans="1:10" ht="36.75" customHeight="1" x14ac:dyDescent="0.25">
      <c r="A2397" s="16">
        <v>14191</v>
      </c>
      <c r="B2397" s="17" t="s">
        <v>236</v>
      </c>
      <c r="C2397" s="17" t="s">
        <v>1203</v>
      </c>
      <c r="D2397" s="17" t="s">
        <v>1477</v>
      </c>
      <c r="E2397" s="17" t="s">
        <v>250</v>
      </c>
      <c r="F2397" s="17" t="s">
        <v>56</v>
      </c>
      <c r="G2397" s="17" t="s">
        <v>1478</v>
      </c>
      <c r="H2397" s="18">
        <v>7490</v>
      </c>
      <c r="I2397" s="18">
        <v>7490</v>
      </c>
      <c r="J2397" s="7" t="str">
        <f>IFERROR(_xlfn.XLOOKUP(F2397,ccustos!A:A,ccustos!B:B),"Sem termo")</f>
        <v>SEPROT</v>
      </c>
    </row>
    <row r="2398" spans="1:10" ht="25.5" customHeight="1" x14ac:dyDescent="0.25">
      <c r="A2398" s="14">
        <v>14192</v>
      </c>
      <c r="B2398" s="7" t="s">
        <v>236</v>
      </c>
      <c r="C2398" s="7" t="s">
        <v>612</v>
      </c>
      <c r="D2398" s="7" t="s">
        <v>1479</v>
      </c>
      <c r="E2398" s="7" t="s">
        <v>335</v>
      </c>
      <c r="F2398" s="7" t="s">
        <v>47</v>
      </c>
      <c r="G2398" s="7" t="s">
        <v>1480</v>
      </c>
      <c r="H2398" s="15">
        <v>1170</v>
      </c>
      <c r="I2398" s="15">
        <v>1170</v>
      </c>
      <c r="J2398" s="7" t="str">
        <f>IFERROR(_xlfn.XLOOKUP(F2398,ccustos!A:A,ccustos!B:B),"Sem termo")</f>
        <v>CDPROF</v>
      </c>
    </row>
    <row r="2399" spans="1:10" ht="25.5" customHeight="1" x14ac:dyDescent="0.25">
      <c r="A2399" s="16">
        <v>14193</v>
      </c>
      <c r="B2399" s="17" t="s">
        <v>236</v>
      </c>
      <c r="C2399" s="17" t="s">
        <v>612</v>
      </c>
      <c r="D2399" s="17" t="s">
        <v>1481</v>
      </c>
      <c r="E2399" s="17" t="s">
        <v>335</v>
      </c>
      <c r="F2399" s="17" t="s">
        <v>18</v>
      </c>
      <c r="G2399" s="17" t="s">
        <v>1480</v>
      </c>
      <c r="H2399" s="18">
        <v>1170</v>
      </c>
      <c r="I2399" s="18">
        <v>1170</v>
      </c>
      <c r="J2399" s="7" t="str">
        <f>IFERROR(_xlfn.XLOOKUP(F2399,ccustos!A:A,ccustos!B:B),"Sem termo")</f>
        <v>DEINFRA</v>
      </c>
    </row>
    <row r="2400" spans="1:10" ht="36.75" customHeight="1" x14ac:dyDescent="0.25">
      <c r="A2400" s="14">
        <v>14194</v>
      </c>
      <c r="B2400" s="7" t="s">
        <v>236</v>
      </c>
      <c r="C2400" s="7" t="s">
        <v>612</v>
      </c>
      <c r="D2400" s="7" t="s">
        <v>1482</v>
      </c>
      <c r="E2400" s="7" t="s">
        <v>335</v>
      </c>
      <c r="F2400" s="7" t="s">
        <v>47</v>
      </c>
      <c r="G2400" s="7" t="s">
        <v>1480</v>
      </c>
      <c r="H2400" s="15">
        <v>1170</v>
      </c>
      <c r="I2400" s="15">
        <v>1170</v>
      </c>
      <c r="J2400" s="7" t="str">
        <f>IFERROR(_xlfn.XLOOKUP(F2400,ccustos!A:A,ccustos!B:B),"Sem termo")</f>
        <v>CDPROF</v>
      </c>
    </row>
    <row r="2401" spans="1:10" ht="25.5" customHeight="1" x14ac:dyDescent="0.25">
      <c r="A2401" s="16">
        <v>14195</v>
      </c>
      <c r="B2401" s="17" t="s">
        <v>236</v>
      </c>
      <c r="C2401" s="17" t="s">
        <v>612</v>
      </c>
      <c r="D2401" s="17" t="s">
        <v>1483</v>
      </c>
      <c r="E2401" s="17" t="s">
        <v>335</v>
      </c>
      <c r="F2401" s="17" t="s">
        <v>47</v>
      </c>
      <c r="G2401" s="17" t="s">
        <v>1480</v>
      </c>
      <c r="H2401" s="18">
        <v>1170</v>
      </c>
      <c r="I2401" s="18">
        <v>1170</v>
      </c>
      <c r="J2401" s="7" t="str">
        <f>IFERROR(_xlfn.XLOOKUP(F2401,ccustos!A:A,ccustos!B:B),"Sem termo")</f>
        <v>CDPROF</v>
      </c>
    </row>
    <row r="2402" spans="1:10" ht="25.5" customHeight="1" x14ac:dyDescent="0.25">
      <c r="A2402" s="14">
        <v>14196</v>
      </c>
      <c r="B2402" s="7" t="s">
        <v>236</v>
      </c>
      <c r="C2402" s="7" t="s">
        <v>612</v>
      </c>
      <c r="D2402" s="7" t="s">
        <v>1484</v>
      </c>
      <c r="E2402" s="7" t="s">
        <v>335</v>
      </c>
      <c r="F2402" s="7" t="s">
        <v>47</v>
      </c>
      <c r="G2402" s="7" t="s">
        <v>1480</v>
      </c>
      <c r="H2402" s="15">
        <v>1170</v>
      </c>
      <c r="I2402" s="15">
        <v>1170</v>
      </c>
      <c r="J2402" s="7" t="str">
        <f>IFERROR(_xlfn.XLOOKUP(F2402,ccustos!A:A,ccustos!B:B),"Sem termo")</f>
        <v>CDPROF</v>
      </c>
    </row>
    <row r="2403" spans="1:10" ht="36.75" customHeight="1" x14ac:dyDescent="0.25">
      <c r="A2403" s="16">
        <v>14197</v>
      </c>
      <c r="B2403" s="17" t="s">
        <v>236</v>
      </c>
      <c r="C2403" s="17" t="s">
        <v>612</v>
      </c>
      <c r="D2403" s="17" t="s">
        <v>1485</v>
      </c>
      <c r="E2403" s="17" t="s">
        <v>335</v>
      </c>
      <c r="F2403" s="17" t="s">
        <v>13</v>
      </c>
      <c r="G2403" s="17" t="s">
        <v>1480</v>
      </c>
      <c r="H2403" s="18">
        <v>1170</v>
      </c>
      <c r="I2403" s="18">
        <v>1170</v>
      </c>
      <c r="J2403" s="7" t="str">
        <f>IFERROR(_xlfn.XLOOKUP(F2403,ccustos!A:A,ccustos!B:B),"Sem termo")</f>
        <v>SEPROT</v>
      </c>
    </row>
    <row r="2404" spans="1:10" ht="25.5" customHeight="1" x14ac:dyDescent="0.25">
      <c r="A2404" s="14">
        <v>14198</v>
      </c>
      <c r="B2404" s="7" t="s">
        <v>236</v>
      </c>
      <c r="C2404" s="7" t="s">
        <v>612</v>
      </c>
      <c r="D2404" s="7" t="s">
        <v>1486</v>
      </c>
      <c r="E2404" s="7" t="s">
        <v>335</v>
      </c>
      <c r="F2404" s="7" t="s">
        <v>13</v>
      </c>
      <c r="G2404" s="7" t="s">
        <v>1480</v>
      </c>
      <c r="H2404" s="15">
        <v>1170</v>
      </c>
      <c r="I2404" s="15">
        <v>1170</v>
      </c>
      <c r="J2404" s="7" t="str">
        <f>IFERROR(_xlfn.XLOOKUP(F2404,ccustos!A:A,ccustos!B:B),"Sem termo")</f>
        <v>SEPROT</v>
      </c>
    </row>
    <row r="2405" spans="1:10" ht="25.5" customHeight="1" x14ac:dyDescent="0.25">
      <c r="A2405" s="16">
        <v>14199</v>
      </c>
      <c r="B2405" s="17" t="s">
        <v>236</v>
      </c>
      <c r="C2405" s="17" t="s">
        <v>612</v>
      </c>
      <c r="D2405" s="17" t="s">
        <v>1487</v>
      </c>
      <c r="E2405" s="17" t="s">
        <v>335</v>
      </c>
      <c r="F2405" s="17" t="s">
        <v>13</v>
      </c>
      <c r="G2405" s="17" t="s">
        <v>1480</v>
      </c>
      <c r="H2405" s="18">
        <v>1170</v>
      </c>
      <c r="I2405" s="18">
        <v>1170</v>
      </c>
      <c r="J2405" s="7" t="str">
        <f>IFERROR(_xlfn.XLOOKUP(F2405,ccustos!A:A,ccustos!B:B),"Sem termo")</f>
        <v>SEPROT</v>
      </c>
    </row>
    <row r="2406" spans="1:10" ht="25.5" customHeight="1" x14ac:dyDescent="0.25">
      <c r="A2406" s="14">
        <v>14200</v>
      </c>
      <c r="B2406" s="7" t="s">
        <v>236</v>
      </c>
      <c r="C2406" s="7" t="s">
        <v>612</v>
      </c>
      <c r="D2406" s="7" t="s">
        <v>1488</v>
      </c>
      <c r="E2406" s="7" t="s">
        <v>335</v>
      </c>
      <c r="F2406" s="7" t="s">
        <v>47</v>
      </c>
      <c r="G2406" s="7" t="s">
        <v>1480</v>
      </c>
      <c r="H2406" s="15">
        <v>1170</v>
      </c>
      <c r="I2406" s="15">
        <v>1170</v>
      </c>
      <c r="J2406" s="7" t="str">
        <f>IFERROR(_xlfn.XLOOKUP(F2406,ccustos!A:A,ccustos!B:B),"Sem termo")</f>
        <v>CDPROF</v>
      </c>
    </row>
    <row r="2407" spans="1:10" ht="25.5" customHeight="1" x14ac:dyDescent="0.25">
      <c r="A2407" s="16">
        <v>14201</v>
      </c>
      <c r="B2407" s="17" t="s">
        <v>236</v>
      </c>
      <c r="C2407" s="17" t="s">
        <v>612</v>
      </c>
      <c r="D2407" s="17" t="s">
        <v>1489</v>
      </c>
      <c r="E2407" s="17" t="s">
        <v>335</v>
      </c>
      <c r="F2407" s="17" t="s">
        <v>47</v>
      </c>
      <c r="G2407" s="17" t="s">
        <v>1480</v>
      </c>
      <c r="H2407" s="18">
        <v>1170</v>
      </c>
      <c r="I2407" s="18">
        <v>1170</v>
      </c>
      <c r="J2407" s="7" t="str">
        <f>IFERROR(_xlfn.XLOOKUP(F2407,ccustos!A:A,ccustos!B:B),"Sem termo")</f>
        <v>CDPROF</v>
      </c>
    </row>
    <row r="2408" spans="1:10" ht="25.5" customHeight="1" x14ac:dyDescent="0.25">
      <c r="A2408" s="14">
        <v>14202</v>
      </c>
      <c r="B2408" s="7" t="s">
        <v>236</v>
      </c>
      <c r="C2408" s="7" t="s">
        <v>1290</v>
      </c>
      <c r="D2408" s="7" t="s">
        <v>1490</v>
      </c>
      <c r="E2408" s="7" t="s">
        <v>250</v>
      </c>
      <c r="F2408" s="7" t="s">
        <v>26</v>
      </c>
      <c r="G2408" s="7" t="s">
        <v>1491</v>
      </c>
      <c r="H2408" s="15">
        <v>278.13</v>
      </c>
      <c r="I2408" s="15">
        <v>278.13</v>
      </c>
      <c r="J2408" s="7" t="str">
        <f>IFERROR(_xlfn.XLOOKUP(F2408,ccustos!A:A,ccustos!B:B),"Sem termo")</f>
        <v>COLOG</v>
      </c>
    </row>
    <row r="2409" spans="1:10" ht="25.5" customHeight="1" x14ac:dyDescent="0.25">
      <c r="A2409" s="16">
        <v>14203</v>
      </c>
      <c r="B2409" s="17" t="s">
        <v>236</v>
      </c>
      <c r="C2409" s="17" t="s">
        <v>1290</v>
      </c>
      <c r="D2409" s="17" t="s">
        <v>1490</v>
      </c>
      <c r="E2409" s="17" t="s">
        <v>250</v>
      </c>
      <c r="F2409" s="17" t="s">
        <v>26</v>
      </c>
      <c r="G2409" s="17" t="s">
        <v>1491</v>
      </c>
      <c r="H2409" s="18">
        <v>278.13</v>
      </c>
      <c r="I2409" s="18">
        <v>278.13</v>
      </c>
      <c r="J2409" s="7" t="str">
        <f>IFERROR(_xlfn.XLOOKUP(F2409,ccustos!A:A,ccustos!B:B),"Sem termo")</f>
        <v>COLOG</v>
      </c>
    </row>
    <row r="2410" spans="1:10" ht="36.75" customHeight="1" x14ac:dyDescent="0.25">
      <c r="A2410" s="14">
        <v>14204</v>
      </c>
      <c r="B2410" s="7" t="s">
        <v>236</v>
      </c>
      <c r="C2410" s="7" t="s">
        <v>1290</v>
      </c>
      <c r="D2410" s="7" t="s">
        <v>1490</v>
      </c>
      <c r="E2410" s="7" t="s">
        <v>250</v>
      </c>
      <c r="F2410" s="7" t="s">
        <v>26</v>
      </c>
      <c r="G2410" s="7" t="s">
        <v>1491</v>
      </c>
      <c r="H2410" s="15">
        <v>278.13</v>
      </c>
      <c r="I2410" s="15">
        <v>278.13</v>
      </c>
      <c r="J2410" s="7" t="str">
        <f>IFERROR(_xlfn.XLOOKUP(F2410,ccustos!A:A,ccustos!B:B),"Sem termo")</f>
        <v>COLOG</v>
      </c>
    </row>
    <row r="2411" spans="1:10" ht="36.75" customHeight="1" x14ac:dyDescent="0.25">
      <c r="A2411" s="16">
        <v>14205</v>
      </c>
      <c r="B2411" s="17" t="s">
        <v>236</v>
      </c>
      <c r="C2411" s="17" t="s">
        <v>1290</v>
      </c>
      <c r="D2411" s="17" t="s">
        <v>1490</v>
      </c>
      <c r="E2411" s="17" t="s">
        <v>250</v>
      </c>
      <c r="F2411" s="17" t="s">
        <v>26</v>
      </c>
      <c r="G2411" s="17" t="s">
        <v>1491</v>
      </c>
      <c r="H2411" s="18">
        <v>278.13</v>
      </c>
      <c r="I2411" s="18">
        <v>278.13</v>
      </c>
      <c r="J2411" s="7" t="str">
        <f>IFERROR(_xlfn.XLOOKUP(F2411,ccustos!A:A,ccustos!B:B),"Sem termo")</f>
        <v>COLOG</v>
      </c>
    </row>
    <row r="2412" spans="1:10" ht="36.75" customHeight="1" x14ac:dyDescent="0.25">
      <c r="A2412" s="14">
        <v>14206</v>
      </c>
      <c r="B2412" s="7" t="s">
        <v>236</v>
      </c>
      <c r="C2412" s="7" t="s">
        <v>1290</v>
      </c>
      <c r="D2412" s="7" t="s">
        <v>1490</v>
      </c>
      <c r="E2412" s="7" t="s">
        <v>250</v>
      </c>
      <c r="F2412" s="7" t="s">
        <v>26</v>
      </c>
      <c r="G2412" s="7" t="s">
        <v>1491</v>
      </c>
      <c r="H2412" s="15">
        <v>278.13</v>
      </c>
      <c r="I2412" s="15">
        <v>278.13</v>
      </c>
      <c r="J2412" s="7" t="str">
        <f>IFERROR(_xlfn.XLOOKUP(F2412,ccustos!A:A,ccustos!B:B),"Sem termo")</f>
        <v>COLOG</v>
      </c>
    </row>
    <row r="2413" spans="1:10" ht="36.75" customHeight="1" x14ac:dyDescent="0.25">
      <c r="A2413" s="16">
        <v>14207</v>
      </c>
      <c r="B2413" s="17" t="s">
        <v>236</v>
      </c>
      <c r="C2413" s="17" t="s">
        <v>1290</v>
      </c>
      <c r="D2413" s="17" t="s">
        <v>1490</v>
      </c>
      <c r="E2413" s="17" t="s">
        <v>250</v>
      </c>
      <c r="F2413" s="17" t="s">
        <v>26</v>
      </c>
      <c r="G2413" s="17" t="s">
        <v>1491</v>
      </c>
      <c r="H2413" s="18">
        <v>278.13</v>
      </c>
      <c r="I2413" s="18">
        <v>278.13</v>
      </c>
      <c r="J2413" s="7" t="str">
        <f>IFERROR(_xlfn.XLOOKUP(F2413,ccustos!A:A,ccustos!B:B),"Sem termo")</f>
        <v>COLOG</v>
      </c>
    </row>
    <row r="2414" spans="1:10" ht="36.75" customHeight="1" x14ac:dyDescent="0.25">
      <c r="A2414" s="14">
        <v>14208</v>
      </c>
      <c r="B2414" s="7" t="s">
        <v>236</v>
      </c>
      <c r="C2414" s="7" t="s">
        <v>1290</v>
      </c>
      <c r="D2414" s="7" t="s">
        <v>1490</v>
      </c>
      <c r="E2414" s="7" t="s">
        <v>250</v>
      </c>
      <c r="F2414" s="7" t="s">
        <v>26</v>
      </c>
      <c r="G2414" s="7" t="s">
        <v>1491</v>
      </c>
      <c r="H2414" s="15">
        <v>278.13</v>
      </c>
      <c r="I2414" s="15">
        <v>278.13</v>
      </c>
      <c r="J2414" s="7" t="str">
        <f>IFERROR(_xlfn.XLOOKUP(F2414,ccustos!A:A,ccustos!B:B),"Sem termo")</f>
        <v>COLOG</v>
      </c>
    </row>
    <row r="2415" spans="1:10" ht="36.75" customHeight="1" x14ac:dyDescent="0.25">
      <c r="A2415" s="16">
        <v>14209</v>
      </c>
      <c r="B2415" s="17" t="s">
        <v>236</v>
      </c>
      <c r="C2415" s="17" t="s">
        <v>1290</v>
      </c>
      <c r="D2415" s="17" t="s">
        <v>1490</v>
      </c>
      <c r="E2415" s="17" t="s">
        <v>250</v>
      </c>
      <c r="F2415" s="17" t="s">
        <v>26</v>
      </c>
      <c r="G2415" s="17" t="s">
        <v>1491</v>
      </c>
      <c r="H2415" s="18">
        <v>278.13</v>
      </c>
      <c r="I2415" s="18">
        <v>278.13</v>
      </c>
      <c r="J2415" s="7" t="str">
        <f>IFERROR(_xlfn.XLOOKUP(F2415,ccustos!A:A,ccustos!B:B),"Sem termo")</f>
        <v>COLOG</v>
      </c>
    </row>
    <row r="2416" spans="1:10" ht="36.75" customHeight="1" x14ac:dyDescent="0.25">
      <c r="A2416" s="14">
        <v>14210</v>
      </c>
      <c r="B2416" s="7" t="s">
        <v>236</v>
      </c>
      <c r="C2416" s="7" t="s">
        <v>1290</v>
      </c>
      <c r="D2416" s="7" t="s">
        <v>1490</v>
      </c>
      <c r="E2416" s="7" t="s">
        <v>250</v>
      </c>
      <c r="F2416" s="7" t="s">
        <v>26</v>
      </c>
      <c r="G2416" s="7" t="s">
        <v>1491</v>
      </c>
      <c r="H2416" s="15">
        <v>278.13</v>
      </c>
      <c r="I2416" s="15">
        <v>278.13</v>
      </c>
      <c r="J2416" s="7" t="str">
        <f>IFERROR(_xlfn.XLOOKUP(F2416,ccustos!A:A,ccustos!B:B),"Sem termo")</f>
        <v>COLOG</v>
      </c>
    </row>
    <row r="2417" spans="1:10" ht="36.75" customHeight="1" x14ac:dyDescent="0.25">
      <c r="A2417" s="16">
        <v>14211</v>
      </c>
      <c r="B2417" s="17" t="s">
        <v>236</v>
      </c>
      <c r="C2417" s="17" t="s">
        <v>1290</v>
      </c>
      <c r="D2417" s="17" t="s">
        <v>1490</v>
      </c>
      <c r="E2417" s="17" t="s">
        <v>250</v>
      </c>
      <c r="F2417" s="17" t="s">
        <v>26</v>
      </c>
      <c r="G2417" s="17" t="s">
        <v>1491</v>
      </c>
      <c r="H2417" s="18">
        <v>278.13</v>
      </c>
      <c r="I2417" s="18">
        <v>278.13</v>
      </c>
      <c r="J2417" s="7" t="str">
        <f>IFERROR(_xlfn.XLOOKUP(F2417,ccustos!A:A,ccustos!B:B),"Sem termo")</f>
        <v>COLOG</v>
      </c>
    </row>
    <row r="2418" spans="1:10" ht="36.75" customHeight="1" x14ac:dyDescent="0.25">
      <c r="A2418" s="14">
        <v>14212</v>
      </c>
      <c r="B2418" s="7" t="s">
        <v>236</v>
      </c>
      <c r="C2418" s="7" t="s">
        <v>1290</v>
      </c>
      <c r="D2418" s="7" t="s">
        <v>1490</v>
      </c>
      <c r="E2418" s="7" t="s">
        <v>250</v>
      </c>
      <c r="F2418" s="7" t="s">
        <v>26</v>
      </c>
      <c r="G2418" s="7" t="s">
        <v>1491</v>
      </c>
      <c r="H2418" s="15">
        <v>278.13</v>
      </c>
      <c r="I2418" s="15">
        <v>278.13</v>
      </c>
      <c r="J2418" s="7" t="str">
        <f>IFERROR(_xlfn.XLOOKUP(F2418,ccustos!A:A,ccustos!B:B),"Sem termo")</f>
        <v>COLOG</v>
      </c>
    </row>
    <row r="2419" spans="1:10" ht="36.75" customHeight="1" x14ac:dyDescent="0.25">
      <c r="A2419" s="16">
        <v>14213</v>
      </c>
      <c r="B2419" s="17" t="s">
        <v>236</v>
      </c>
      <c r="C2419" s="17" t="s">
        <v>1290</v>
      </c>
      <c r="D2419" s="17" t="s">
        <v>1490</v>
      </c>
      <c r="E2419" s="17" t="s">
        <v>250</v>
      </c>
      <c r="F2419" s="17" t="s">
        <v>26</v>
      </c>
      <c r="G2419" s="17" t="s">
        <v>1491</v>
      </c>
      <c r="H2419" s="18">
        <v>278.13</v>
      </c>
      <c r="I2419" s="18">
        <v>278.13</v>
      </c>
      <c r="J2419" s="7" t="str">
        <f>IFERROR(_xlfn.XLOOKUP(F2419,ccustos!A:A,ccustos!B:B),"Sem termo")</f>
        <v>COLOG</v>
      </c>
    </row>
    <row r="2420" spans="1:10" ht="36.75" customHeight="1" x14ac:dyDescent="0.25">
      <c r="A2420" s="14">
        <v>14214</v>
      </c>
      <c r="B2420" s="7" t="s">
        <v>236</v>
      </c>
      <c r="C2420" s="7" t="s">
        <v>1290</v>
      </c>
      <c r="D2420" s="7" t="s">
        <v>1490</v>
      </c>
      <c r="E2420" s="7" t="s">
        <v>250</v>
      </c>
      <c r="F2420" s="7" t="s">
        <v>26</v>
      </c>
      <c r="G2420" s="7" t="s">
        <v>1491</v>
      </c>
      <c r="H2420" s="15">
        <v>278.13</v>
      </c>
      <c r="I2420" s="15">
        <v>278.13</v>
      </c>
      <c r="J2420" s="7" t="str">
        <f>IFERROR(_xlfn.XLOOKUP(F2420,ccustos!A:A,ccustos!B:B),"Sem termo")</f>
        <v>COLOG</v>
      </c>
    </row>
    <row r="2421" spans="1:10" ht="36.75" customHeight="1" x14ac:dyDescent="0.25">
      <c r="A2421" s="16">
        <v>14215</v>
      </c>
      <c r="B2421" s="17" t="s">
        <v>236</v>
      </c>
      <c r="C2421" s="17" t="s">
        <v>1290</v>
      </c>
      <c r="D2421" s="17" t="s">
        <v>1490</v>
      </c>
      <c r="E2421" s="17" t="s">
        <v>250</v>
      </c>
      <c r="F2421" s="17" t="s">
        <v>26</v>
      </c>
      <c r="G2421" s="17" t="s">
        <v>1491</v>
      </c>
      <c r="H2421" s="18">
        <v>278.13</v>
      </c>
      <c r="I2421" s="18">
        <v>278.13</v>
      </c>
      <c r="J2421" s="7" t="str">
        <f>IFERROR(_xlfn.XLOOKUP(F2421,ccustos!A:A,ccustos!B:B),"Sem termo")</f>
        <v>COLOG</v>
      </c>
    </row>
    <row r="2422" spans="1:10" ht="36.75" customHeight="1" x14ac:dyDescent="0.25">
      <c r="A2422" s="14">
        <v>14216</v>
      </c>
      <c r="B2422" s="7" t="s">
        <v>236</v>
      </c>
      <c r="C2422" s="7" t="s">
        <v>1290</v>
      </c>
      <c r="D2422" s="7" t="s">
        <v>1490</v>
      </c>
      <c r="E2422" s="7" t="s">
        <v>250</v>
      </c>
      <c r="F2422" s="7" t="s">
        <v>26</v>
      </c>
      <c r="G2422" s="7" t="s">
        <v>1491</v>
      </c>
      <c r="H2422" s="15">
        <v>278.13</v>
      </c>
      <c r="I2422" s="15">
        <v>278.13</v>
      </c>
      <c r="J2422" s="7" t="str">
        <f>IFERROR(_xlfn.XLOOKUP(F2422,ccustos!A:A,ccustos!B:B),"Sem termo")</f>
        <v>COLOG</v>
      </c>
    </row>
    <row r="2423" spans="1:10" ht="36.75" customHeight="1" x14ac:dyDescent="0.25">
      <c r="A2423" s="16">
        <v>14218</v>
      </c>
      <c r="B2423" s="17" t="s">
        <v>236</v>
      </c>
      <c r="C2423" s="17" t="s">
        <v>831</v>
      </c>
      <c r="D2423" s="17" t="s">
        <v>1492</v>
      </c>
      <c r="E2423" s="17" t="s">
        <v>335</v>
      </c>
      <c r="F2423" s="17" t="s">
        <v>48</v>
      </c>
      <c r="G2423" s="17" t="s">
        <v>1493</v>
      </c>
      <c r="H2423" s="18">
        <v>4355</v>
      </c>
      <c r="I2423" s="18">
        <v>4355</v>
      </c>
      <c r="J2423" s="7" t="str">
        <f>IFERROR(_xlfn.XLOOKUP(F2423,ccustos!A:A,ccustos!B:B),"Sem termo")</f>
        <v>DEPES</v>
      </c>
    </row>
    <row r="2424" spans="1:10" ht="36.75" customHeight="1" x14ac:dyDescent="0.25">
      <c r="A2424" s="14">
        <v>14219</v>
      </c>
      <c r="B2424" s="7" t="s">
        <v>236</v>
      </c>
      <c r="C2424" s="7" t="s">
        <v>831</v>
      </c>
      <c r="D2424" s="7" t="s">
        <v>1492</v>
      </c>
      <c r="E2424" s="7" t="s">
        <v>335</v>
      </c>
      <c r="F2424" s="7" t="s">
        <v>20</v>
      </c>
      <c r="G2424" s="7" t="s">
        <v>1493</v>
      </c>
      <c r="H2424" s="15">
        <v>4355</v>
      </c>
      <c r="I2424" s="15">
        <v>4355</v>
      </c>
      <c r="J2424" s="7" t="str">
        <f>IFERROR(_xlfn.XLOOKUP(F2424,ccustos!A:A,ccustos!B:B),"Sem termo")</f>
        <v>CGTI</v>
      </c>
    </row>
    <row r="2425" spans="1:10" ht="25.5" customHeight="1" x14ac:dyDescent="0.25">
      <c r="A2425" s="16">
        <v>14220</v>
      </c>
      <c r="B2425" s="17" t="s">
        <v>236</v>
      </c>
      <c r="C2425" s="17" t="s">
        <v>831</v>
      </c>
      <c r="D2425" s="17" t="s">
        <v>1492</v>
      </c>
      <c r="E2425" s="17" t="s">
        <v>335</v>
      </c>
      <c r="F2425" s="17" t="s">
        <v>20</v>
      </c>
      <c r="G2425" s="17" t="s">
        <v>1493</v>
      </c>
      <c r="H2425" s="18">
        <v>4355</v>
      </c>
      <c r="I2425" s="18">
        <v>4355</v>
      </c>
      <c r="J2425" s="7" t="str">
        <f>IFERROR(_xlfn.XLOOKUP(F2425,ccustos!A:A,ccustos!B:B),"Sem termo")</f>
        <v>CGTI</v>
      </c>
    </row>
    <row r="2426" spans="1:10" ht="25.5" customHeight="1" x14ac:dyDescent="0.25">
      <c r="A2426" s="14">
        <v>14221</v>
      </c>
      <c r="B2426" s="7" t="s">
        <v>236</v>
      </c>
      <c r="C2426" s="7" t="s">
        <v>831</v>
      </c>
      <c r="D2426" s="7" t="s">
        <v>1492</v>
      </c>
      <c r="E2426" s="7" t="s">
        <v>335</v>
      </c>
      <c r="F2426" s="7" t="s">
        <v>20</v>
      </c>
      <c r="G2426" s="7" t="s">
        <v>1493</v>
      </c>
      <c r="H2426" s="15">
        <v>4355</v>
      </c>
      <c r="I2426" s="15">
        <v>4355</v>
      </c>
      <c r="J2426" s="7" t="str">
        <f>IFERROR(_xlfn.XLOOKUP(F2426,ccustos!A:A,ccustos!B:B),"Sem termo")</f>
        <v>CGTI</v>
      </c>
    </row>
    <row r="2427" spans="1:10" ht="36.75" customHeight="1" x14ac:dyDescent="0.25">
      <c r="A2427" s="16">
        <v>14222</v>
      </c>
      <c r="B2427" s="17" t="s">
        <v>236</v>
      </c>
      <c r="C2427" s="17" t="s">
        <v>831</v>
      </c>
      <c r="D2427" s="17" t="s">
        <v>1492</v>
      </c>
      <c r="E2427" s="17" t="s">
        <v>335</v>
      </c>
      <c r="F2427" s="17" t="s">
        <v>22</v>
      </c>
      <c r="G2427" s="17" t="s">
        <v>1493</v>
      </c>
      <c r="H2427" s="18">
        <v>4355</v>
      </c>
      <c r="I2427" s="18">
        <v>4355</v>
      </c>
      <c r="J2427" s="7" t="str">
        <f>IFERROR(_xlfn.XLOOKUP(F2427,ccustos!A:A,ccustos!B:B),"Sem termo")</f>
        <v>COTEC</v>
      </c>
    </row>
    <row r="2428" spans="1:10" ht="36.75" customHeight="1" x14ac:dyDescent="0.25">
      <c r="A2428" s="14">
        <v>14223</v>
      </c>
      <c r="B2428" s="7" t="s">
        <v>236</v>
      </c>
      <c r="C2428" s="7" t="s">
        <v>831</v>
      </c>
      <c r="D2428" s="7" t="s">
        <v>1492</v>
      </c>
      <c r="E2428" s="7" t="s">
        <v>335</v>
      </c>
      <c r="F2428" s="7" t="s">
        <v>22</v>
      </c>
      <c r="G2428" s="7" t="s">
        <v>1493</v>
      </c>
      <c r="H2428" s="15">
        <v>4355</v>
      </c>
      <c r="I2428" s="15">
        <v>4355</v>
      </c>
      <c r="J2428" s="7" t="str">
        <f>IFERROR(_xlfn.XLOOKUP(F2428,ccustos!A:A,ccustos!B:B),"Sem termo")</f>
        <v>COTEC</v>
      </c>
    </row>
    <row r="2429" spans="1:10" ht="36.75" customHeight="1" x14ac:dyDescent="0.25">
      <c r="A2429" s="16">
        <v>14224</v>
      </c>
      <c r="B2429" s="17" t="s">
        <v>236</v>
      </c>
      <c r="C2429" s="17" t="s">
        <v>831</v>
      </c>
      <c r="D2429" s="17" t="s">
        <v>1492</v>
      </c>
      <c r="E2429" s="17" t="s">
        <v>335</v>
      </c>
      <c r="F2429" s="17" t="s">
        <v>37</v>
      </c>
      <c r="G2429" s="17" t="s">
        <v>1493</v>
      </c>
      <c r="H2429" s="18">
        <v>4355</v>
      </c>
      <c r="I2429" s="18">
        <v>4355</v>
      </c>
      <c r="J2429" s="7" t="str">
        <f>IFERROR(_xlfn.XLOOKUP(F2429,ccustos!A:A,ccustos!B:B),"Sem termo")</f>
        <v>PROJUR</v>
      </c>
    </row>
    <row r="2430" spans="1:10" ht="36.75" customHeight="1" x14ac:dyDescent="0.25">
      <c r="A2430" s="14">
        <v>14225</v>
      </c>
      <c r="B2430" s="7" t="s">
        <v>236</v>
      </c>
      <c r="C2430" s="7" t="s">
        <v>831</v>
      </c>
      <c r="D2430" s="7" t="s">
        <v>1492</v>
      </c>
      <c r="E2430" s="7" t="s">
        <v>335</v>
      </c>
      <c r="F2430" s="7" t="s">
        <v>213</v>
      </c>
      <c r="G2430" s="7" t="s">
        <v>1493</v>
      </c>
      <c r="H2430" s="15">
        <v>4355</v>
      </c>
      <c r="I2430" s="15">
        <v>4355</v>
      </c>
      <c r="J2430" s="7" t="str">
        <f>IFERROR(_xlfn.XLOOKUP(F2430,ccustos!A:A,ccustos!B:B),"Sem termo")</f>
        <v>DIEPG</v>
      </c>
    </row>
    <row r="2431" spans="1:10" ht="36.75" customHeight="1" x14ac:dyDescent="0.25">
      <c r="A2431" s="16">
        <v>14226</v>
      </c>
      <c r="B2431" s="17" t="s">
        <v>236</v>
      </c>
      <c r="C2431" s="17" t="s">
        <v>831</v>
      </c>
      <c r="D2431" s="17" t="s">
        <v>1492</v>
      </c>
      <c r="E2431" s="17" t="s">
        <v>335</v>
      </c>
      <c r="F2431" s="17" t="s">
        <v>47</v>
      </c>
      <c r="G2431" s="17" t="s">
        <v>1493</v>
      </c>
      <c r="H2431" s="18">
        <v>4355</v>
      </c>
      <c r="I2431" s="18">
        <v>4355</v>
      </c>
      <c r="J2431" s="7" t="str">
        <f>IFERROR(_xlfn.XLOOKUP(F2431,ccustos!A:A,ccustos!B:B),"Sem termo")</f>
        <v>CDPROF</v>
      </c>
    </row>
    <row r="2432" spans="1:10" ht="36.75" customHeight="1" x14ac:dyDescent="0.25">
      <c r="A2432" s="14">
        <v>14227</v>
      </c>
      <c r="B2432" s="7" t="s">
        <v>236</v>
      </c>
      <c r="C2432" s="7" t="s">
        <v>831</v>
      </c>
      <c r="D2432" s="7" t="s">
        <v>1492</v>
      </c>
      <c r="E2432" s="7" t="s">
        <v>335</v>
      </c>
      <c r="F2432" s="7" t="s">
        <v>83</v>
      </c>
      <c r="G2432" s="7" t="s">
        <v>1493</v>
      </c>
      <c r="H2432" s="15">
        <v>4355</v>
      </c>
      <c r="I2432" s="15">
        <v>4355</v>
      </c>
      <c r="J2432" s="7" t="str">
        <f>IFERROR(_xlfn.XLOOKUP(F2432,ccustos!A:A,ccustos!B:B),"Sem termo")</f>
        <v>GABIN</v>
      </c>
    </row>
    <row r="2433" spans="1:10" ht="36.75" customHeight="1" x14ac:dyDescent="0.25">
      <c r="A2433" s="16">
        <v>14228</v>
      </c>
      <c r="B2433" s="17" t="s">
        <v>236</v>
      </c>
      <c r="C2433" s="17" t="s">
        <v>831</v>
      </c>
      <c r="D2433" s="17" t="s">
        <v>1492</v>
      </c>
      <c r="E2433" s="17" t="s">
        <v>335</v>
      </c>
      <c r="F2433" s="17" t="s">
        <v>20</v>
      </c>
      <c r="G2433" s="17" t="s">
        <v>1493</v>
      </c>
      <c r="H2433" s="18">
        <v>4355</v>
      </c>
      <c r="I2433" s="18">
        <v>4355</v>
      </c>
      <c r="J2433" s="7" t="str">
        <f>IFERROR(_xlfn.XLOOKUP(F2433,ccustos!A:A,ccustos!B:B),"Sem termo")</f>
        <v>CGTI</v>
      </c>
    </row>
    <row r="2434" spans="1:10" ht="36.75" customHeight="1" x14ac:dyDescent="0.25">
      <c r="A2434" s="14">
        <v>14229</v>
      </c>
      <c r="B2434" s="7" t="s">
        <v>236</v>
      </c>
      <c r="C2434" s="7" t="s">
        <v>831</v>
      </c>
      <c r="D2434" s="7" t="s">
        <v>1492</v>
      </c>
      <c r="E2434" s="7" t="s">
        <v>335</v>
      </c>
      <c r="F2434" s="7" t="s">
        <v>185</v>
      </c>
      <c r="G2434" s="7" t="s">
        <v>1493</v>
      </c>
      <c r="H2434" s="15">
        <v>4355</v>
      </c>
      <c r="I2434" s="15">
        <v>4355</v>
      </c>
      <c r="J2434" s="7" t="str">
        <f>IFERROR(_xlfn.XLOOKUP(F2434,ccustos!A:A,ccustos!B:B),"Sem termo")</f>
        <v>CGGE</v>
      </c>
    </row>
    <row r="2435" spans="1:10" ht="36.75" customHeight="1" x14ac:dyDescent="0.25">
      <c r="A2435" s="16">
        <v>14230</v>
      </c>
      <c r="B2435" s="17" t="s">
        <v>236</v>
      </c>
      <c r="C2435" s="17" t="s">
        <v>831</v>
      </c>
      <c r="D2435" s="17" t="s">
        <v>1492</v>
      </c>
      <c r="E2435" s="17" t="s">
        <v>335</v>
      </c>
      <c r="F2435" s="17" t="s">
        <v>26</v>
      </c>
      <c r="G2435" s="17" t="s">
        <v>1493</v>
      </c>
      <c r="H2435" s="18">
        <v>4355</v>
      </c>
      <c r="I2435" s="18">
        <v>4355</v>
      </c>
      <c r="J2435" s="7" t="str">
        <f>IFERROR(_xlfn.XLOOKUP(F2435,ccustos!A:A,ccustos!B:B),"Sem termo")</f>
        <v>COLOG</v>
      </c>
    </row>
    <row r="2436" spans="1:10" ht="36.75" customHeight="1" x14ac:dyDescent="0.25">
      <c r="A2436" s="14">
        <v>14231</v>
      </c>
      <c r="B2436" s="7" t="s">
        <v>236</v>
      </c>
      <c r="C2436" s="7" t="s">
        <v>831</v>
      </c>
      <c r="D2436" s="7" t="s">
        <v>1492</v>
      </c>
      <c r="E2436" s="7" t="s">
        <v>335</v>
      </c>
      <c r="F2436" s="7" t="s">
        <v>26</v>
      </c>
      <c r="G2436" s="7" t="s">
        <v>1493</v>
      </c>
      <c r="H2436" s="15">
        <v>4355</v>
      </c>
      <c r="I2436" s="15">
        <v>4355</v>
      </c>
      <c r="J2436" s="7" t="str">
        <f>IFERROR(_xlfn.XLOOKUP(F2436,ccustos!A:A,ccustos!B:B),"Sem termo")</f>
        <v>COLOG</v>
      </c>
    </row>
    <row r="2437" spans="1:10" ht="36.75" customHeight="1" x14ac:dyDescent="0.25">
      <c r="A2437" s="16">
        <v>14232</v>
      </c>
      <c r="B2437" s="17" t="s">
        <v>236</v>
      </c>
      <c r="C2437" s="17" t="s">
        <v>831</v>
      </c>
      <c r="D2437" s="17" t="s">
        <v>1492</v>
      </c>
      <c r="E2437" s="17" t="s">
        <v>335</v>
      </c>
      <c r="F2437" s="17" t="s">
        <v>81</v>
      </c>
      <c r="G2437" s="17" t="s">
        <v>1493</v>
      </c>
      <c r="H2437" s="18">
        <v>4355</v>
      </c>
      <c r="I2437" s="18">
        <v>4355</v>
      </c>
      <c r="J2437" s="7" t="str">
        <f>IFERROR(_xlfn.XLOOKUP(F2437,ccustos!A:A,ccustos!B:B),"Sem termo")</f>
        <v>SEPAT</v>
      </c>
    </row>
    <row r="2438" spans="1:10" ht="36.75" customHeight="1" x14ac:dyDescent="0.25">
      <c r="A2438" s="14">
        <v>14233</v>
      </c>
      <c r="B2438" s="7" t="s">
        <v>236</v>
      </c>
      <c r="C2438" s="7" t="s">
        <v>831</v>
      </c>
      <c r="D2438" s="7" t="s">
        <v>1492</v>
      </c>
      <c r="E2438" s="7" t="s">
        <v>335</v>
      </c>
      <c r="F2438" s="7" t="s">
        <v>185</v>
      </c>
      <c r="G2438" s="7" t="s">
        <v>1493</v>
      </c>
      <c r="H2438" s="15">
        <v>4355</v>
      </c>
      <c r="I2438" s="15">
        <v>4355</v>
      </c>
      <c r="J2438" s="7" t="str">
        <f>IFERROR(_xlfn.XLOOKUP(F2438,ccustos!A:A,ccustos!B:B),"Sem termo")</f>
        <v>CGGE</v>
      </c>
    </row>
    <row r="2439" spans="1:10" ht="36.75" customHeight="1" x14ac:dyDescent="0.25">
      <c r="A2439" s="16">
        <v>14234</v>
      </c>
      <c r="B2439" s="17" t="s">
        <v>236</v>
      </c>
      <c r="C2439" s="17" t="s">
        <v>831</v>
      </c>
      <c r="D2439" s="17" t="s">
        <v>1492</v>
      </c>
      <c r="E2439" s="17" t="s">
        <v>335</v>
      </c>
      <c r="F2439" s="17" t="s">
        <v>83</v>
      </c>
      <c r="G2439" s="17" t="s">
        <v>1493</v>
      </c>
      <c r="H2439" s="18">
        <v>4355</v>
      </c>
      <c r="I2439" s="18">
        <v>4355</v>
      </c>
      <c r="J2439" s="7" t="str">
        <f>IFERROR(_xlfn.XLOOKUP(F2439,ccustos!A:A,ccustos!B:B),"Sem termo")</f>
        <v>GABIN</v>
      </c>
    </row>
    <row r="2440" spans="1:10" ht="36.75" customHeight="1" x14ac:dyDescent="0.25">
      <c r="A2440" s="14">
        <v>14235</v>
      </c>
      <c r="B2440" s="7" t="s">
        <v>236</v>
      </c>
      <c r="C2440" s="7" t="s">
        <v>831</v>
      </c>
      <c r="D2440" s="7" t="s">
        <v>1492</v>
      </c>
      <c r="E2440" s="7" t="s">
        <v>335</v>
      </c>
      <c r="F2440" s="7" t="s">
        <v>20</v>
      </c>
      <c r="G2440" s="7" t="s">
        <v>1493</v>
      </c>
      <c r="H2440" s="15">
        <v>4355</v>
      </c>
      <c r="I2440" s="15">
        <v>4355</v>
      </c>
      <c r="J2440" s="7" t="str">
        <f>IFERROR(_xlfn.XLOOKUP(F2440,ccustos!A:A,ccustos!B:B),"Sem termo")</f>
        <v>CGTI</v>
      </c>
    </row>
    <row r="2441" spans="1:10" ht="36.75" customHeight="1" x14ac:dyDescent="0.25">
      <c r="A2441" s="16">
        <v>14236</v>
      </c>
      <c r="B2441" s="17" t="s">
        <v>236</v>
      </c>
      <c r="C2441" s="17" t="s">
        <v>831</v>
      </c>
      <c r="D2441" s="17" t="s">
        <v>1492</v>
      </c>
      <c r="E2441" s="17" t="s">
        <v>335</v>
      </c>
      <c r="F2441" s="17" t="s">
        <v>32</v>
      </c>
      <c r="G2441" s="17" t="s">
        <v>1493</v>
      </c>
      <c r="H2441" s="18">
        <v>4355</v>
      </c>
      <c r="I2441" s="18">
        <v>4355</v>
      </c>
      <c r="J2441" s="7" t="str">
        <f>IFERROR(_xlfn.XLOOKUP(F2441,ccustos!A:A,ccustos!B:B),"Sem termo")</f>
        <v>DECONT</v>
      </c>
    </row>
    <row r="2442" spans="1:10" ht="36.75" customHeight="1" x14ac:dyDescent="0.25">
      <c r="A2442" s="14">
        <v>14237</v>
      </c>
      <c r="B2442" s="7" t="s">
        <v>236</v>
      </c>
      <c r="C2442" s="7" t="s">
        <v>831</v>
      </c>
      <c r="D2442" s="7" t="s">
        <v>1492</v>
      </c>
      <c r="E2442" s="7" t="s">
        <v>335</v>
      </c>
      <c r="F2442" s="7" t="s">
        <v>22</v>
      </c>
      <c r="G2442" s="7" t="s">
        <v>1493</v>
      </c>
      <c r="H2442" s="15">
        <v>4355</v>
      </c>
      <c r="I2442" s="15">
        <v>4355</v>
      </c>
      <c r="J2442" s="7" t="str">
        <f>IFERROR(_xlfn.XLOOKUP(F2442,ccustos!A:A,ccustos!B:B),"Sem termo")</f>
        <v>COTEC</v>
      </c>
    </row>
    <row r="2443" spans="1:10" ht="36.75" customHeight="1" x14ac:dyDescent="0.25">
      <c r="A2443" s="16">
        <v>14238</v>
      </c>
      <c r="B2443" s="17" t="s">
        <v>236</v>
      </c>
      <c r="C2443" s="17" t="s">
        <v>831</v>
      </c>
      <c r="D2443" s="17" t="s">
        <v>1492</v>
      </c>
      <c r="E2443" s="17" t="s">
        <v>335</v>
      </c>
      <c r="F2443" s="17" t="s">
        <v>20</v>
      </c>
      <c r="G2443" s="17" t="s">
        <v>1493</v>
      </c>
      <c r="H2443" s="18">
        <v>4355</v>
      </c>
      <c r="I2443" s="18">
        <v>4355</v>
      </c>
      <c r="J2443" s="7" t="str">
        <f>IFERROR(_xlfn.XLOOKUP(F2443,ccustos!A:A,ccustos!B:B),"Sem termo")</f>
        <v>CGTI</v>
      </c>
    </row>
    <row r="2444" spans="1:10" ht="25.5" customHeight="1" x14ac:dyDescent="0.25">
      <c r="A2444" s="14">
        <v>14239</v>
      </c>
      <c r="B2444" s="7" t="s">
        <v>236</v>
      </c>
      <c r="C2444" s="7" t="s">
        <v>831</v>
      </c>
      <c r="D2444" s="7" t="s">
        <v>1492</v>
      </c>
      <c r="E2444" s="7" t="s">
        <v>335</v>
      </c>
      <c r="F2444" s="7" t="s">
        <v>55</v>
      </c>
      <c r="G2444" s="7" t="s">
        <v>1493</v>
      </c>
      <c r="H2444" s="15">
        <v>4355</v>
      </c>
      <c r="I2444" s="15">
        <v>4355</v>
      </c>
      <c r="J2444" s="7" t="str">
        <f>IFERROR(_xlfn.XLOOKUP(F2444,ccustos!A:A,ccustos!B:B),"Sem termo")</f>
        <v>DEPAD</v>
      </c>
    </row>
    <row r="2445" spans="1:10" ht="25.5" customHeight="1" x14ac:dyDescent="0.25">
      <c r="A2445" s="16">
        <v>14240</v>
      </c>
      <c r="B2445" s="17" t="s">
        <v>236</v>
      </c>
      <c r="C2445" s="17" t="s">
        <v>831</v>
      </c>
      <c r="D2445" s="17" t="s">
        <v>1492</v>
      </c>
      <c r="E2445" s="17" t="s">
        <v>335</v>
      </c>
      <c r="F2445" s="17" t="s">
        <v>29</v>
      </c>
      <c r="G2445" s="17" t="s">
        <v>1493</v>
      </c>
      <c r="H2445" s="18">
        <v>4355</v>
      </c>
      <c r="I2445" s="18">
        <v>4355</v>
      </c>
      <c r="J2445" s="7" t="str">
        <f>IFERROR(_xlfn.XLOOKUP(F2445,ccustos!A:A,ccustos!B:B),"Sem termo")</f>
        <v>COAD</v>
      </c>
    </row>
    <row r="2446" spans="1:10" ht="25.5" customHeight="1" x14ac:dyDescent="0.25">
      <c r="A2446" s="14">
        <v>14241</v>
      </c>
      <c r="B2446" s="7" t="s">
        <v>236</v>
      </c>
      <c r="C2446" s="7" t="s">
        <v>831</v>
      </c>
      <c r="D2446" s="7" t="s">
        <v>1492</v>
      </c>
      <c r="E2446" s="7" t="s">
        <v>335</v>
      </c>
      <c r="F2446" s="7" t="s">
        <v>37</v>
      </c>
      <c r="G2446" s="7" t="s">
        <v>1493</v>
      </c>
      <c r="H2446" s="15">
        <v>4355</v>
      </c>
      <c r="I2446" s="15">
        <v>4355</v>
      </c>
      <c r="J2446" s="7" t="str">
        <f>IFERROR(_xlfn.XLOOKUP(F2446,ccustos!A:A,ccustos!B:B),"Sem termo")</f>
        <v>PROJUR</v>
      </c>
    </row>
    <row r="2447" spans="1:10" ht="25.5" customHeight="1" x14ac:dyDescent="0.25">
      <c r="A2447" s="16">
        <v>14242</v>
      </c>
      <c r="B2447" s="17" t="s">
        <v>236</v>
      </c>
      <c r="C2447" s="17" t="s">
        <v>831</v>
      </c>
      <c r="D2447" s="17" t="s">
        <v>1492</v>
      </c>
      <c r="E2447" s="17" t="s">
        <v>335</v>
      </c>
      <c r="F2447" s="17" t="s">
        <v>53</v>
      </c>
      <c r="G2447" s="17" t="s">
        <v>1493</v>
      </c>
      <c r="H2447" s="18">
        <v>4355</v>
      </c>
      <c r="I2447" s="18">
        <v>4355</v>
      </c>
      <c r="J2447" s="7" t="str">
        <f>IFERROR(_xlfn.XLOOKUP(F2447,ccustos!A:A,ccustos!B:B),"Sem termo")</f>
        <v>DELIC</v>
      </c>
    </row>
    <row r="2448" spans="1:10" ht="25.5" customHeight="1" x14ac:dyDescent="0.25">
      <c r="A2448" s="14">
        <v>14243</v>
      </c>
      <c r="B2448" s="7" t="s">
        <v>236</v>
      </c>
      <c r="C2448" s="7" t="s">
        <v>831</v>
      </c>
      <c r="D2448" s="7" t="s">
        <v>1492</v>
      </c>
      <c r="E2448" s="7" t="s">
        <v>335</v>
      </c>
      <c r="F2448" s="7" t="s">
        <v>26</v>
      </c>
      <c r="G2448" s="7" t="s">
        <v>1493</v>
      </c>
      <c r="H2448" s="15">
        <v>4355</v>
      </c>
      <c r="I2448" s="15">
        <v>4355</v>
      </c>
      <c r="J2448" s="7" t="str">
        <f>IFERROR(_xlfn.XLOOKUP(F2448,ccustos!A:A,ccustos!B:B),"Sem termo")</f>
        <v>COLOG</v>
      </c>
    </row>
    <row r="2449" spans="1:10" ht="36.75" customHeight="1" x14ac:dyDescent="0.25">
      <c r="A2449" s="16">
        <v>14244</v>
      </c>
      <c r="B2449" s="17" t="s">
        <v>236</v>
      </c>
      <c r="C2449" s="17" t="s">
        <v>831</v>
      </c>
      <c r="D2449" s="17" t="s">
        <v>1492</v>
      </c>
      <c r="E2449" s="17" t="s">
        <v>335</v>
      </c>
      <c r="F2449" s="17" t="s">
        <v>48</v>
      </c>
      <c r="G2449" s="17" t="s">
        <v>1493</v>
      </c>
      <c r="H2449" s="18">
        <v>4355</v>
      </c>
      <c r="I2449" s="18">
        <v>4355</v>
      </c>
      <c r="J2449" s="7" t="str">
        <f>IFERROR(_xlfn.XLOOKUP(F2449,ccustos!A:A,ccustos!B:B),"Sem termo")</f>
        <v>DEPES</v>
      </c>
    </row>
    <row r="2450" spans="1:10" ht="36.75" customHeight="1" x14ac:dyDescent="0.25">
      <c r="A2450" s="14">
        <v>14245</v>
      </c>
      <c r="B2450" s="7" t="s">
        <v>236</v>
      </c>
      <c r="C2450" s="7" t="s">
        <v>831</v>
      </c>
      <c r="D2450" s="7" t="s">
        <v>1492</v>
      </c>
      <c r="E2450" s="7" t="s">
        <v>335</v>
      </c>
      <c r="F2450" s="7" t="s">
        <v>205</v>
      </c>
      <c r="G2450" s="7" t="s">
        <v>1493</v>
      </c>
      <c r="H2450" s="15">
        <v>4355</v>
      </c>
      <c r="I2450" s="15">
        <v>4355</v>
      </c>
      <c r="J2450" s="7" t="str">
        <f>IFERROR(_xlfn.XLOOKUP(F2450,ccustos!A:A,ccustos!B:B),"Sem termo")</f>
        <v>CCOM</v>
      </c>
    </row>
    <row r="2451" spans="1:10" ht="36.75" customHeight="1" x14ac:dyDescent="0.25">
      <c r="A2451" s="16">
        <v>14246</v>
      </c>
      <c r="B2451" s="17" t="s">
        <v>236</v>
      </c>
      <c r="C2451" s="17" t="s">
        <v>831</v>
      </c>
      <c r="D2451" s="17" t="s">
        <v>1492</v>
      </c>
      <c r="E2451" s="17" t="s">
        <v>335</v>
      </c>
      <c r="F2451" s="17" t="s">
        <v>37</v>
      </c>
      <c r="G2451" s="17" t="s">
        <v>1493</v>
      </c>
      <c r="H2451" s="18">
        <v>4355</v>
      </c>
      <c r="I2451" s="18">
        <v>4355</v>
      </c>
      <c r="J2451" s="7" t="str">
        <f>IFERROR(_xlfn.XLOOKUP(F2451,ccustos!A:A,ccustos!B:B),"Sem termo")</f>
        <v>PROJUR</v>
      </c>
    </row>
    <row r="2452" spans="1:10" ht="36.75" customHeight="1" x14ac:dyDescent="0.25">
      <c r="A2452" s="14">
        <v>14247</v>
      </c>
      <c r="B2452" s="7" t="s">
        <v>236</v>
      </c>
      <c r="C2452" s="7" t="s">
        <v>831</v>
      </c>
      <c r="D2452" s="7" t="s">
        <v>1492</v>
      </c>
      <c r="E2452" s="7" t="s">
        <v>335</v>
      </c>
      <c r="F2452" s="7" t="s">
        <v>211</v>
      </c>
      <c r="G2452" s="7" t="s">
        <v>1493</v>
      </c>
      <c r="H2452" s="15">
        <v>4355</v>
      </c>
      <c r="I2452" s="15">
        <v>4355</v>
      </c>
      <c r="J2452" s="7" t="str">
        <f>IFERROR(_xlfn.XLOOKUP(F2452,ccustos!A:A,ccustos!B:B),"Sem termo")</f>
        <v>DIGEO</v>
      </c>
    </row>
    <row r="2453" spans="1:10" ht="36.75" customHeight="1" x14ac:dyDescent="0.25">
      <c r="A2453" s="16">
        <v>14248</v>
      </c>
      <c r="B2453" s="17" t="s">
        <v>236</v>
      </c>
      <c r="C2453" s="17" t="s">
        <v>831</v>
      </c>
      <c r="D2453" s="17" t="s">
        <v>1492</v>
      </c>
      <c r="E2453" s="17" t="s">
        <v>335</v>
      </c>
      <c r="F2453" s="17" t="s">
        <v>26</v>
      </c>
      <c r="G2453" s="17" t="s">
        <v>1493</v>
      </c>
      <c r="H2453" s="18">
        <v>4355</v>
      </c>
      <c r="I2453" s="18">
        <v>4355</v>
      </c>
      <c r="J2453" s="7" t="str">
        <f>IFERROR(_xlfn.XLOOKUP(F2453,ccustos!A:A,ccustos!B:B),"Sem termo")</f>
        <v>COLOG</v>
      </c>
    </row>
    <row r="2454" spans="1:10" ht="36.75" customHeight="1" x14ac:dyDescent="0.25">
      <c r="A2454" s="14">
        <v>14249</v>
      </c>
      <c r="B2454" s="7" t="s">
        <v>236</v>
      </c>
      <c r="C2454" s="7" t="s">
        <v>831</v>
      </c>
      <c r="D2454" s="7" t="s">
        <v>1492</v>
      </c>
      <c r="E2454" s="7" t="s">
        <v>335</v>
      </c>
      <c r="F2454" s="7" t="s">
        <v>211</v>
      </c>
      <c r="G2454" s="7" t="s">
        <v>1493</v>
      </c>
      <c r="H2454" s="15">
        <v>4355</v>
      </c>
      <c r="I2454" s="15">
        <v>4355</v>
      </c>
      <c r="J2454" s="7" t="str">
        <f>IFERROR(_xlfn.XLOOKUP(F2454,ccustos!A:A,ccustos!B:B),"Sem termo")</f>
        <v>DIGEO</v>
      </c>
    </row>
    <row r="2455" spans="1:10" ht="36.75" customHeight="1" x14ac:dyDescent="0.25">
      <c r="A2455" s="16">
        <v>14250</v>
      </c>
      <c r="B2455" s="17" t="s">
        <v>236</v>
      </c>
      <c r="C2455" s="17" t="s">
        <v>831</v>
      </c>
      <c r="D2455" s="17" t="s">
        <v>1492</v>
      </c>
      <c r="E2455" s="17" t="s">
        <v>335</v>
      </c>
      <c r="F2455" s="17" t="s">
        <v>39</v>
      </c>
      <c r="G2455" s="17" t="s">
        <v>1493</v>
      </c>
      <c r="H2455" s="18">
        <v>4355</v>
      </c>
      <c r="I2455" s="18">
        <v>4355</v>
      </c>
      <c r="J2455" s="7" t="str">
        <f>IFERROR(_xlfn.XLOOKUP(F2455,ccustos!A:A,ccustos!B:B),"Sem termo")</f>
        <v>COREG</v>
      </c>
    </row>
    <row r="2456" spans="1:10" ht="36.75" customHeight="1" x14ac:dyDescent="0.25">
      <c r="A2456" s="14">
        <v>14251</v>
      </c>
      <c r="B2456" s="7" t="s">
        <v>236</v>
      </c>
      <c r="C2456" s="7" t="s">
        <v>831</v>
      </c>
      <c r="D2456" s="7" t="s">
        <v>1492</v>
      </c>
      <c r="E2456" s="7" t="s">
        <v>335</v>
      </c>
      <c r="F2456" s="7" t="s">
        <v>32</v>
      </c>
      <c r="G2456" s="7" t="s">
        <v>1493</v>
      </c>
      <c r="H2456" s="15">
        <v>4355</v>
      </c>
      <c r="I2456" s="15">
        <v>4355</v>
      </c>
      <c r="J2456" s="7" t="str">
        <f>IFERROR(_xlfn.XLOOKUP(F2456,ccustos!A:A,ccustos!B:B),"Sem termo")</f>
        <v>DECONT</v>
      </c>
    </row>
    <row r="2457" spans="1:10" ht="36.75" customHeight="1" x14ac:dyDescent="0.25">
      <c r="A2457" s="16">
        <v>14252</v>
      </c>
      <c r="B2457" s="17" t="s">
        <v>236</v>
      </c>
      <c r="C2457" s="17" t="s">
        <v>831</v>
      </c>
      <c r="D2457" s="17" t="s">
        <v>1492</v>
      </c>
      <c r="E2457" s="17" t="s">
        <v>335</v>
      </c>
      <c r="F2457" s="17" t="s">
        <v>37</v>
      </c>
      <c r="G2457" s="17" t="s">
        <v>1493</v>
      </c>
      <c r="H2457" s="18">
        <v>4355</v>
      </c>
      <c r="I2457" s="18">
        <v>4355</v>
      </c>
      <c r="J2457" s="7" t="str">
        <f>IFERROR(_xlfn.XLOOKUP(F2457,ccustos!A:A,ccustos!B:B),"Sem termo")</f>
        <v>PROJUR</v>
      </c>
    </row>
    <row r="2458" spans="1:10" ht="36.75" customHeight="1" x14ac:dyDescent="0.25">
      <c r="A2458" s="14">
        <v>14253</v>
      </c>
      <c r="B2458" s="7" t="s">
        <v>236</v>
      </c>
      <c r="C2458" s="7" t="s">
        <v>831</v>
      </c>
      <c r="D2458" s="7" t="s">
        <v>1492</v>
      </c>
      <c r="E2458" s="7" t="s">
        <v>335</v>
      </c>
      <c r="F2458" s="7" t="s">
        <v>20</v>
      </c>
      <c r="G2458" s="7" t="s">
        <v>1493</v>
      </c>
      <c r="H2458" s="15">
        <v>4355</v>
      </c>
      <c r="I2458" s="15">
        <v>4355</v>
      </c>
      <c r="J2458" s="7" t="str">
        <f>IFERROR(_xlfn.XLOOKUP(F2458,ccustos!A:A,ccustos!B:B),"Sem termo")</f>
        <v>CGTI</v>
      </c>
    </row>
    <row r="2459" spans="1:10" ht="36.75" customHeight="1" x14ac:dyDescent="0.25">
      <c r="A2459" s="16">
        <v>14254</v>
      </c>
      <c r="B2459" s="17" t="s">
        <v>236</v>
      </c>
      <c r="C2459" s="17" t="s">
        <v>831</v>
      </c>
      <c r="D2459" s="17" t="s">
        <v>1492</v>
      </c>
      <c r="E2459" s="17" t="s">
        <v>335</v>
      </c>
      <c r="F2459" s="17" t="s">
        <v>213</v>
      </c>
      <c r="G2459" s="17" t="s">
        <v>1493</v>
      </c>
      <c r="H2459" s="18">
        <v>4355</v>
      </c>
      <c r="I2459" s="18">
        <v>4355</v>
      </c>
      <c r="J2459" s="7" t="str">
        <f>IFERROR(_xlfn.XLOOKUP(F2459,ccustos!A:A,ccustos!B:B),"Sem termo")</f>
        <v>DIEPG</v>
      </c>
    </row>
    <row r="2460" spans="1:10" ht="36.75" customHeight="1" x14ac:dyDescent="0.25">
      <c r="A2460" s="14">
        <v>14255</v>
      </c>
      <c r="B2460" s="7" t="s">
        <v>236</v>
      </c>
      <c r="C2460" s="7" t="s">
        <v>831</v>
      </c>
      <c r="D2460" s="7" t="s">
        <v>1492</v>
      </c>
      <c r="E2460" s="7" t="s">
        <v>335</v>
      </c>
      <c r="F2460" s="7" t="s">
        <v>20</v>
      </c>
      <c r="G2460" s="7" t="s">
        <v>1493</v>
      </c>
      <c r="H2460" s="15">
        <v>4355</v>
      </c>
      <c r="I2460" s="15">
        <v>4355</v>
      </c>
      <c r="J2460" s="7" t="str">
        <f>IFERROR(_xlfn.XLOOKUP(F2460,ccustos!A:A,ccustos!B:B),"Sem termo")</f>
        <v>CGTI</v>
      </c>
    </row>
    <row r="2461" spans="1:10" ht="36.75" customHeight="1" x14ac:dyDescent="0.25">
      <c r="A2461" s="16">
        <v>14256</v>
      </c>
      <c r="B2461" s="17" t="s">
        <v>236</v>
      </c>
      <c r="C2461" s="17" t="s">
        <v>831</v>
      </c>
      <c r="D2461" s="17" t="s">
        <v>1492</v>
      </c>
      <c r="E2461" s="17" t="s">
        <v>335</v>
      </c>
      <c r="F2461" s="17" t="s">
        <v>19</v>
      </c>
      <c r="G2461" s="17" t="s">
        <v>1493</v>
      </c>
      <c r="H2461" s="18">
        <v>4355</v>
      </c>
      <c r="I2461" s="18">
        <v>4355</v>
      </c>
      <c r="J2461" s="7" t="str">
        <f>IFERROR(_xlfn.XLOOKUP(F2461,ccustos!A:A,ccustos!B:B),"Sem termo")</f>
        <v>SEGED</v>
      </c>
    </row>
    <row r="2462" spans="1:10" ht="36.75" customHeight="1" x14ac:dyDescent="0.25">
      <c r="A2462" s="14">
        <v>14257</v>
      </c>
      <c r="B2462" s="7" t="s">
        <v>236</v>
      </c>
      <c r="C2462" s="7" t="s">
        <v>831</v>
      </c>
      <c r="D2462" s="7" t="s">
        <v>1492</v>
      </c>
      <c r="E2462" s="7" t="s">
        <v>335</v>
      </c>
      <c r="F2462" s="7" t="s">
        <v>185</v>
      </c>
      <c r="G2462" s="7" t="s">
        <v>1493</v>
      </c>
      <c r="H2462" s="15">
        <v>4355</v>
      </c>
      <c r="I2462" s="15">
        <v>4355</v>
      </c>
      <c r="J2462" s="7" t="str">
        <f>IFERROR(_xlfn.XLOOKUP(F2462,ccustos!A:A,ccustos!B:B),"Sem termo")</f>
        <v>CGGE</v>
      </c>
    </row>
    <row r="2463" spans="1:10" ht="36.75" customHeight="1" x14ac:dyDescent="0.25">
      <c r="A2463" s="16">
        <v>14258</v>
      </c>
      <c r="B2463" s="17" t="s">
        <v>236</v>
      </c>
      <c r="C2463" s="17" t="s">
        <v>831</v>
      </c>
      <c r="D2463" s="17" t="s">
        <v>1492</v>
      </c>
      <c r="E2463" s="17" t="s">
        <v>335</v>
      </c>
      <c r="F2463" s="17" t="s">
        <v>185</v>
      </c>
      <c r="G2463" s="17" t="s">
        <v>1493</v>
      </c>
      <c r="H2463" s="18">
        <v>4355</v>
      </c>
      <c r="I2463" s="18">
        <v>4355</v>
      </c>
      <c r="J2463" s="7" t="str">
        <f>IFERROR(_xlfn.XLOOKUP(F2463,ccustos!A:A,ccustos!B:B),"Sem termo")</f>
        <v>CGGE</v>
      </c>
    </row>
    <row r="2464" spans="1:10" ht="36.75" customHeight="1" x14ac:dyDescent="0.25">
      <c r="A2464" s="14">
        <v>14259</v>
      </c>
      <c r="B2464" s="7" t="s">
        <v>236</v>
      </c>
      <c r="C2464" s="7" t="s">
        <v>831</v>
      </c>
      <c r="D2464" s="7" t="s">
        <v>1492</v>
      </c>
      <c r="E2464" s="7" t="s">
        <v>335</v>
      </c>
      <c r="F2464" s="7" t="s">
        <v>211</v>
      </c>
      <c r="G2464" s="7" t="s">
        <v>1493</v>
      </c>
      <c r="H2464" s="15">
        <v>4355</v>
      </c>
      <c r="I2464" s="15">
        <v>4355</v>
      </c>
      <c r="J2464" s="7" t="str">
        <f>IFERROR(_xlfn.XLOOKUP(F2464,ccustos!A:A,ccustos!B:B),"Sem termo")</f>
        <v>DIGEO</v>
      </c>
    </row>
    <row r="2465" spans="1:10" ht="36.75" customHeight="1" x14ac:dyDescent="0.25">
      <c r="A2465" s="16">
        <v>14260</v>
      </c>
      <c r="B2465" s="17" t="s">
        <v>236</v>
      </c>
      <c r="C2465" s="17" t="s">
        <v>831</v>
      </c>
      <c r="D2465" s="17" t="s">
        <v>1492</v>
      </c>
      <c r="E2465" s="17" t="s">
        <v>335</v>
      </c>
      <c r="F2465" s="17" t="s">
        <v>28</v>
      </c>
      <c r="G2465" s="17" t="s">
        <v>1493</v>
      </c>
      <c r="H2465" s="18">
        <v>4355</v>
      </c>
      <c r="I2465" s="18">
        <v>4355</v>
      </c>
      <c r="J2465" s="7" t="str">
        <f>IFERROR(_xlfn.XLOOKUP(F2465,ccustos!A:A,ccustos!B:B),"Sem termo")</f>
        <v>COPI</v>
      </c>
    </row>
    <row r="2466" spans="1:10" ht="36.75" customHeight="1" x14ac:dyDescent="0.25">
      <c r="A2466" s="14">
        <v>14261</v>
      </c>
      <c r="B2466" s="7" t="s">
        <v>236</v>
      </c>
      <c r="C2466" s="7" t="s">
        <v>831</v>
      </c>
      <c r="D2466" s="7" t="s">
        <v>1492</v>
      </c>
      <c r="E2466" s="7" t="s">
        <v>335</v>
      </c>
      <c r="F2466" s="7" t="s">
        <v>14</v>
      </c>
      <c r="G2466" s="7" t="s">
        <v>1493</v>
      </c>
      <c r="H2466" s="15">
        <v>4355</v>
      </c>
      <c r="I2466" s="15">
        <v>4355</v>
      </c>
      <c r="J2466" s="7" t="str">
        <f>IFERROR(_xlfn.XLOOKUP(F2466,ccustos!A:A,ccustos!B:B),"Sem termo")</f>
        <v>SEPAT</v>
      </c>
    </row>
    <row r="2467" spans="1:10" ht="36.75" customHeight="1" x14ac:dyDescent="0.25">
      <c r="A2467" s="16">
        <v>14262</v>
      </c>
      <c r="B2467" s="17" t="s">
        <v>236</v>
      </c>
      <c r="C2467" s="17" t="s">
        <v>831</v>
      </c>
      <c r="D2467" s="17" t="s">
        <v>1492</v>
      </c>
      <c r="E2467" s="17" t="s">
        <v>335</v>
      </c>
      <c r="F2467" s="17" t="s">
        <v>30</v>
      </c>
      <c r="G2467" s="17" t="s">
        <v>1493</v>
      </c>
      <c r="H2467" s="18">
        <v>4355</v>
      </c>
      <c r="I2467" s="18">
        <v>4355</v>
      </c>
      <c r="J2467" s="7" t="str">
        <f>IFERROR(_xlfn.XLOOKUP(F2467,ccustos!A:A,ccustos!B:B),"Sem termo")</f>
        <v>COFIS</v>
      </c>
    </row>
    <row r="2468" spans="1:10" ht="36.75" customHeight="1" x14ac:dyDescent="0.25">
      <c r="A2468" s="14">
        <v>14263</v>
      </c>
      <c r="B2468" s="7" t="s">
        <v>236</v>
      </c>
      <c r="C2468" s="7" t="s">
        <v>831</v>
      </c>
      <c r="D2468" s="7" t="s">
        <v>1492</v>
      </c>
      <c r="E2468" s="7" t="s">
        <v>335</v>
      </c>
      <c r="F2468" s="7" t="s">
        <v>205</v>
      </c>
      <c r="G2468" s="7" t="s">
        <v>1493</v>
      </c>
      <c r="H2468" s="15">
        <v>4355</v>
      </c>
      <c r="I2468" s="15">
        <v>4355</v>
      </c>
      <c r="J2468" s="7" t="str">
        <f>IFERROR(_xlfn.XLOOKUP(F2468,ccustos!A:A,ccustos!B:B),"Sem termo")</f>
        <v>CCOM</v>
      </c>
    </row>
    <row r="2469" spans="1:10" ht="36.75" customHeight="1" x14ac:dyDescent="0.25">
      <c r="A2469" s="16">
        <v>14264</v>
      </c>
      <c r="B2469" s="17" t="s">
        <v>236</v>
      </c>
      <c r="C2469" s="17" t="s">
        <v>831</v>
      </c>
      <c r="D2469" s="17" t="s">
        <v>1492</v>
      </c>
      <c r="E2469" s="17" t="s">
        <v>335</v>
      </c>
      <c r="F2469" s="17" t="s">
        <v>205</v>
      </c>
      <c r="G2469" s="17" t="s">
        <v>1493</v>
      </c>
      <c r="H2469" s="18">
        <v>4355</v>
      </c>
      <c r="I2469" s="18">
        <v>4355</v>
      </c>
      <c r="J2469" s="7" t="str">
        <f>IFERROR(_xlfn.XLOOKUP(F2469,ccustos!A:A,ccustos!B:B),"Sem termo")</f>
        <v>CCOM</v>
      </c>
    </row>
    <row r="2470" spans="1:10" ht="25.5" customHeight="1" x14ac:dyDescent="0.25">
      <c r="A2470" s="14">
        <v>14265</v>
      </c>
      <c r="B2470" s="7" t="s">
        <v>236</v>
      </c>
      <c r="C2470" s="7" t="s">
        <v>831</v>
      </c>
      <c r="D2470" s="7" t="s">
        <v>1492</v>
      </c>
      <c r="E2470" s="7" t="s">
        <v>335</v>
      </c>
      <c r="F2470" s="7" t="s">
        <v>20</v>
      </c>
      <c r="G2470" s="7" t="s">
        <v>1493</v>
      </c>
      <c r="H2470" s="15">
        <v>4355</v>
      </c>
      <c r="I2470" s="15">
        <v>4355</v>
      </c>
      <c r="J2470" s="7" t="str">
        <f>IFERROR(_xlfn.XLOOKUP(F2470,ccustos!A:A,ccustos!B:B),"Sem termo")</f>
        <v>CGTI</v>
      </c>
    </row>
    <row r="2471" spans="1:10" ht="25.5" customHeight="1" x14ac:dyDescent="0.25">
      <c r="A2471" s="16">
        <v>14266</v>
      </c>
      <c r="B2471" s="17" t="s">
        <v>236</v>
      </c>
      <c r="C2471" s="17" t="s">
        <v>831</v>
      </c>
      <c r="D2471" s="17" t="s">
        <v>1492</v>
      </c>
      <c r="E2471" s="17" t="s">
        <v>335</v>
      </c>
      <c r="F2471" s="17" t="s">
        <v>47</v>
      </c>
      <c r="G2471" s="17" t="s">
        <v>1493</v>
      </c>
      <c r="H2471" s="18">
        <v>4355</v>
      </c>
      <c r="I2471" s="18">
        <v>4355</v>
      </c>
      <c r="J2471" s="7" t="str">
        <f>IFERROR(_xlfn.XLOOKUP(F2471,ccustos!A:A,ccustos!B:B),"Sem termo")</f>
        <v>CDPROF</v>
      </c>
    </row>
    <row r="2472" spans="1:10" ht="25.5" customHeight="1" x14ac:dyDescent="0.25">
      <c r="A2472" s="14">
        <v>14267</v>
      </c>
      <c r="B2472" s="7" t="s">
        <v>236</v>
      </c>
      <c r="C2472" s="7" t="s">
        <v>831</v>
      </c>
      <c r="D2472" s="7" t="s">
        <v>1492</v>
      </c>
      <c r="E2472" s="7" t="s">
        <v>335</v>
      </c>
      <c r="F2472" s="7" t="s">
        <v>70</v>
      </c>
      <c r="G2472" s="7" t="s">
        <v>1493</v>
      </c>
      <c r="H2472" s="15">
        <v>4355</v>
      </c>
      <c r="I2472" s="15">
        <v>4355</v>
      </c>
      <c r="J2472" s="7" t="str">
        <f>IFERROR(_xlfn.XLOOKUP(F2472,ccustos!A:A,ccustos!B:B),"Sem termo")</f>
        <v>SEBIB</v>
      </c>
    </row>
    <row r="2473" spans="1:10" ht="25.5" customHeight="1" x14ac:dyDescent="0.25">
      <c r="A2473" s="16">
        <v>14268</v>
      </c>
      <c r="B2473" s="17" t="s">
        <v>236</v>
      </c>
      <c r="C2473" s="17" t="s">
        <v>831</v>
      </c>
      <c r="D2473" s="17" t="s">
        <v>1492</v>
      </c>
      <c r="E2473" s="17" t="s">
        <v>335</v>
      </c>
      <c r="F2473" s="17" t="s">
        <v>205</v>
      </c>
      <c r="G2473" s="17" t="s">
        <v>1493</v>
      </c>
      <c r="H2473" s="18">
        <v>4355</v>
      </c>
      <c r="I2473" s="18">
        <v>4355</v>
      </c>
      <c r="J2473" s="7" t="str">
        <f>IFERROR(_xlfn.XLOOKUP(F2473,ccustos!A:A,ccustos!B:B),"Sem termo")</f>
        <v>CCOM</v>
      </c>
    </row>
    <row r="2474" spans="1:10" ht="36.75" customHeight="1" x14ac:dyDescent="0.25">
      <c r="A2474" s="14">
        <v>14269</v>
      </c>
      <c r="B2474" s="7" t="s">
        <v>236</v>
      </c>
      <c r="C2474" s="7" t="s">
        <v>831</v>
      </c>
      <c r="D2474" s="7" t="s">
        <v>1492</v>
      </c>
      <c r="E2474" s="7" t="s">
        <v>335</v>
      </c>
      <c r="F2474" s="7" t="s">
        <v>54</v>
      </c>
      <c r="G2474" s="7" t="s">
        <v>1493</v>
      </c>
      <c r="H2474" s="15">
        <v>4355</v>
      </c>
      <c r="I2474" s="15">
        <v>4355</v>
      </c>
      <c r="J2474" s="7" t="str">
        <f>IFERROR(_xlfn.XLOOKUP(F2474,ccustos!A:A,ccustos!B:B),"Sem termo")</f>
        <v>DEFIN</v>
      </c>
    </row>
    <row r="2475" spans="1:10" ht="36.75" customHeight="1" x14ac:dyDescent="0.25">
      <c r="A2475" s="16">
        <v>14270</v>
      </c>
      <c r="B2475" s="17" t="s">
        <v>236</v>
      </c>
      <c r="C2475" s="17" t="s">
        <v>831</v>
      </c>
      <c r="D2475" s="17" t="s">
        <v>1492</v>
      </c>
      <c r="E2475" s="17" t="s">
        <v>335</v>
      </c>
      <c r="F2475" s="17" t="s">
        <v>205</v>
      </c>
      <c r="G2475" s="17" t="s">
        <v>1493</v>
      </c>
      <c r="H2475" s="18">
        <v>4355</v>
      </c>
      <c r="I2475" s="18">
        <v>4355</v>
      </c>
      <c r="J2475" s="7" t="str">
        <f>IFERROR(_xlfn.XLOOKUP(F2475,ccustos!A:A,ccustos!B:B),"Sem termo")</f>
        <v>CCOM</v>
      </c>
    </row>
    <row r="2476" spans="1:10" ht="36.75" customHeight="1" x14ac:dyDescent="0.25">
      <c r="A2476" s="14">
        <v>14271</v>
      </c>
      <c r="B2476" s="7" t="s">
        <v>236</v>
      </c>
      <c r="C2476" s="7" t="s">
        <v>831</v>
      </c>
      <c r="D2476" s="7" t="s">
        <v>1492</v>
      </c>
      <c r="E2476" s="7" t="s">
        <v>335</v>
      </c>
      <c r="F2476" s="7" t="s">
        <v>27</v>
      </c>
      <c r="G2476" s="7" t="s">
        <v>1493</v>
      </c>
      <c r="H2476" s="15">
        <v>4355</v>
      </c>
      <c r="I2476" s="15">
        <v>4355</v>
      </c>
      <c r="J2476" s="7" t="str">
        <f>IFERROR(_xlfn.XLOOKUP(F2476,ccustos!A:A,ccustos!B:B),"Sem termo")</f>
        <v>CCI</v>
      </c>
    </row>
    <row r="2477" spans="1:10" ht="36.75" customHeight="1" x14ac:dyDescent="0.25">
      <c r="A2477" s="16">
        <v>14272</v>
      </c>
      <c r="B2477" s="17" t="s">
        <v>236</v>
      </c>
      <c r="C2477" s="17" t="s">
        <v>831</v>
      </c>
      <c r="D2477" s="17" t="s">
        <v>1492</v>
      </c>
      <c r="E2477" s="17" t="s">
        <v>335</v>
      </c>
      <c r="F2477" s="17" t="s">
        <v>205</v>
      </c>
      <c r="G2477" s="17" t="s">
        <v>1493</v>
      </c>
      <c r="H2477" s="18">
        <v>4355</v>
      </c>
      <c r="I2477" s="18">
        <v>4355</v>
      </c>
      <c r="J2477" s="7" t="str">
        <f>IFERROR(_xlfn.XLOOKUP(F2477,ccustos!A:A,ccustos!B:B),"Sem termo")</f>
        <v>CCOM</v>
      </c>
    </row>
    <row r="2478" spans="1:10" ht="36.75" customHeight="1" x14ac:dyDescent="0.25">
      <c r="A2478" s="14">
        <v>14273</v>
      </c>
      <c r="B2478" s="7" t="s">
        <v>236</v>
      </c>
      <c r="C2478" s="7" t="s">
        <v>831</v>
      </c>
      <c r="D2478" s="7" t="s">
        <v>1492</v>
      </c>
      <c r="E2478" s="7" t="s">
        <v>335</v>
      </c>
      <c r="F2478" s="7" t="s">
        <v>185</v>
      </c>
      <c r="G2478" s="7" t="s">
        <v>1493</v>
      </c>
      <c r="H2478" s="15">
        <v>4355</v>
      </c>
      <c r="I2478" s="15">
        <v>4355</v>
      </c>
      <c r="J2478" s="7" t="str">
        <f>IFERROR(_xlfn.XLOOKUP(F2478,ccustos!A:A,ccustos!B:B),"Sem termo")</f>
        <v>CGGE</v>
      </c>
    </row>
    <row r="2479" spans="1:10" ht="36.75" customHeight="1" x14ac:dyDescent="0.25">
      <c r="A2479" s="16">
        <v>14274</v>
      </c>
      <c r="B2479" s="17" t="s">
        <v>236</v>
      </c>
      <c r="C2479" s="17" t="s">
        <v>831</v>
      </c>
      <c r="D2479" s="17" t="s">
        <v>1492</v>
      </c>
      <c r="E2479" s="17" t="s">
        <v>335</v>
      </c>
      <c r="F2479" s="17" t="s">
        <v>47</v>
      </c>
      <c r="G2479" s="17" t="s">
        <v>1493</v>
      </c>
      <c r="H2479" s="18">
        <v>4355</v>
      </c>
      <c r="I2479" s="18">
        <v>4355</v>
      </c>
      <c r="J2479" s="7" t="str">
        <f>IFERROR(_xlfn.XLOOKUP(F2479,ccustos!A:A,ccustos!B:B),"Sem termo")</f>
        <v>CDPROF</v>
      </c>
    </row>
    <row r="2480" spans="1:10" ht="36.75" customHeight="1" x14ac:dyDescent="0.25">
      <c r="A2480" s="14">
        <v>14275</v>
      </c>
      <c r="B2480" s="7" t="s">
        <v>236</v>
      </c>
      <c r="C2480" s="7" t="s">
        <v>831</v>
      </c>
      <c r="D2480" s="7" t="s">
        <v>1492</v>
      </c>
      <c r="E2480" s="7" t="s">
        <v>335</v>
      </c>
      <c r="F2480" s="7" t="s">
        <v>47</v>
      </c>
      <c r="G2480" s="7" t="s">
        <v>1493</v>
      </c>
      <c r="H2480" s="15">
        <v>4355</v>
      </c>
      <c r="I2480" s="15">
        <v>4355</v>
      </c>
      <c r="J2480" s="7" t="str">
        <f>IFERROR(_xlfn.XLOOKUP(F2480,ccustos!A:A,ccustos!B:B),"Sem termo")</f>
        <v>CDPROF</v>
      </c>
    </row>
    <row r="2481" spans="1:10" ht="36.75" customHeight="1" x14ac:dyDescent="0.25">
      <c r="A2481" s="16">
        <v>14276</v>
      </c>
      <c r="B2481" s="17" t="s">
        <v>236</v>
      </c>
      <c r="C2481" s="17" t="s">
        <v>831</v>
      </c>
      <c r="D2481" s="17" t="s">
        <v>1492</v>
      </c>
      <c r="E2481" s="17" t="s">
        <v>335</v>
      </c>
      <c r="F2481" s="17" t="s">
        <v>28</v>
      </c>
      <c r="G2481" s="17" t="s">
        <v>1493</v>
      </c>
      <c r="H2481" s="18">
        <v>4355</v>
      </c>
      <c r="I2481" s="18">
        <v>4355</v>
      </c>
      <c r="J2481" s="7" t="str">
        <f>IFERROR(_xlfn.XLOOKUP(F2481,ccustos!A:A,ccustos!B:B),"Sem termo")</f>
        <v>COPI</v>
      </c>
    </row>
    <row r="2482" spans="1:10" ht="36.75" customHeight="1" x14ac:dyDescent="0.25">
      <c r="A2482" s="14">
        <v>14277</v>
      </c>
      <c r="B2482" s="7" t="s">
        <v>236</v>
      </c>
      <c r="C2482" s="7" t="s">
        <v>831</v>
      </c>
      <c r="D2482" s="7" t="s">
        <v>1492</v>
      </c>
      <c r="E2482" s="7" t="s">
        <v>335</v>
      </c>
      <c r="F2482" s="7" t="s">
        <v>30</v>
      </c>
      <c r="G2482" s="7" t="s">
        <v>1493</v>
      </c>
      <c r="H2482" s="15">
        <v>4355</v>
      </c>
      <c r="I2482" s="15">
        <v>4355</v>
      </c>
      <c r="J2482" s="7" t="str">
        <f>IFERROR(_xlfn.XLOOKUP(F2482,ccustos!A:A,ccustos!B:B),"Sem termo")</f>
        <v>COFIS</v>
      </c>
    </row>
    <row r="2483" spans="1:10" ht="36.75" customHeight="1" x14ac:dyDescent="0.25">
      <c r="A2483" s="16">
        <v>14278</v>
      </c>
      <c r="B2483" s="17" t="s">
        <v>236</v>
      </c>
      <c r="C2483" s="17" t="s">
        <v>831</v>
      </c>
      <c r="D2483" s="17" t="s">
        <v>1492</v>
      </c>
      <c r="E2483" s="17" t="s">
        <v>335</v>
      </c>
      <c r="F2483" s="17" t="s">
        <v>20</v>
      </c>
      <c r="G2483" s="17" t="s">
        <v>1493</v>
      </c>
      <c r="H2483" s="18">
        <v>4355</v>
      </c>
      <c r="I2483" s="18">
        <v>4355</v>
      </c>
      <c r="J2483" s="7" t="str">
        <f>IFERROR(_xlfn.XLOOKUP(F2483,ccustos!A:A,ccustos!B:B),"Sem termo")</f>
        <v>CGTI</v>
      </c>
    </row>
    <row r="2484" spans="1:10" ht="36.75" customHeight="1" x14ac:dyDescent="0.25">
      <c r="A2484" s="14">
        <v>14279</v>
      </c>
      <c r="B2484" s="7" t="s">
        <v>236</v>
      </c>
      <c r="C2484" s="7" t="s">
        <v>831</v>
      </c>
      <c r="D2484" s="7" t="s">
        <v>1492</v>
      </c>
      <c r="E2484" s="7" t="s">
        <v>335</v>
      </c>
      <c r="F2484" s="7" t="s">
        <v>32</v>
      </c>
      <c r="G2484" s="7" t="s">
        <v>1493</v>
      </c>
      <c r="H2484" s="15">
        <v>4355</v>
      </c>
      <c r="I2484" s="15">
        <v>4355</v>
      </c>
      <c r="J2484" s="7" t="str">
        <f>IFERROR(_xlfn.XLOOKUP(F2484,ccustos!A:A,ccustos!B:B),"Sem termo")</f>
        <v>DECONT</v>
      </c>
    </row>
    <row r="2485" spans="1:10" ht="36.75" customHeight="1" x14ac:dyDescent="0.25">
      <c r="A2485" s="16">
        <v>14280</v>
      </c>
      <c r="B2485" s="17" t="s">
        <v>236</v>
      </c>
      <c r="C2485" s="17" t="s">
        <v>831</v>
      </c>
      <c r="D2485" s="17" t="s">
        <v>1492</v>
      </c>
      <c r="E2485" s="17" t="s">
        <v>335</v>
      </c>
      <c r="F2485" s="17" t="s">
        <v>83</v>
      </c>
      <c r="G2485" s="17" t="s">
        <v>1493</v>
      </c>
      <c r="H2485" s="18">
        <v>4355</v>
      </c>
      <c r="I2485" s="18">
        <v>4355</v>
      </c>
      <c r="J2485" s="7" t="str">
        <f>IFERROR(_xlfn.XLOOKUP(F2485,ccustos!A:A,ccustos!B:B),"Sem termo")</f>
        <v>GABIN</v>
      </c>
    </row>
    <row r="2486" spans="1:10" ht="36.75" customHeight="1" x14ac:dyDescent="0.25">
      <c r="A2486" s="14">
        <v>14281</v>
      </c>
      <c r="B2486" s="7" t="s">
        <v>236</v>
      </c>
      <c r="C2486" s="7" t="s">
        <v>831</v>
      </c>
      <c r="D2486" s="7" t="s">
        <v>1492</v>
      </c>
      <c r="E2486" s="7" t="s">
        <v>335</v>
      </c>
      <c r="F2486" s="7" t="s">
        <v>30</v>
      </c>
      <c r="G2486" s="7" t="s">
        <v>1493</v>
      </c>
      <c r="H2486" s="15">
        <v>4355</v>
      </c>
      <c r="I2486" s="15">
        <v>4355</v>
      </c>
      <c r="J2486" s="7" t="str">
        <f>IFERROR(_xlfn.XLOOKUP(F2486,ccustos!A:A,ccustos!B:B),"Sem termo")</f>
        <v>COFIS</v>
      </c>
    </row>
    <row r="2487" spans="1:10" ht="36.75" customHeight="1" x14ac:dyDescent="0.25">
      <c r="A2487" s="16">
        <v>14282</v>
      </c>
      <c r="B2487" s="17" t="s">
        <v>236</v>
      </c>
      <c r="C2487" s="17" t="s">
        <v>831</v>
      </c>
      <c r="D2487" s="17" t="s">
        <v>1492</v>
      </c>
      <c r="E2487" s="17" t="s">
        <v>335</v>
      </c>
      <c r="F2487" s="17" t="s">
        <v>60</v>
      </c>
      <c r="G2487" s="17" t="s">
        <v>1493</v>
      </c>
      <c r="H2487" s="18">
        <v>4355</v>
      </c>
      <c r="I2487" s="18">
        <v>4355</v>
      </c>
      <c r="J2487" s="7" t="str">
        <f>IFERROR(_xlfn.XLOOKUP(F2487,ccustos!A:A,ccustos!B:B),"Sem termo")</f>
        <v>DEGEP</v>
      </c>
    </row>
    <row r="2488" spans="1:10" ht="36.75" customHeight="1" x14ac:dyDescent="0.25">
      <c r="A2488" s="14">
        <v>14283</v>
      </c>
      <c r="B2488" s="7" t="s">
        <v>236</v>
      </c>
      <c r="C2488" s="7" t="s">
        <v>831</v>
      </c>
      <c r="D2488" s="7" t="s">
        <v>1492</v>
      </c>
      <c r="E2488" s="7" t="s">
        <v>335</v>
      </c>
      <c r="F2488" s="7" t="s">
        <v>39</v>
      </c>
      <c r="G2488" s="7" t="s">
        <v>1493</v>
      </c>
      <c r="H2488" s="15">
        <v>4355</v>
      </c>
      <c r="I2488" s="15">
        <v>4355</v>
      </c>
      <c r="J2488" s="7" t="str">
        <f>IFERROR(_xlfn.XLOOKUP(F2488,ccustos!A:A,ccustos!B:B),"Sem termo")</f>
        <v>COREG</v>
      </c>
    </row>
    <row r="2489" spans="1:10" ht="36.75" customHeight="1" x14ac:dyDescent="0.25">
      <c r="A2489" s="16">
        <v>14284</v>
      </c>
      <c r="B2489" s="17" t="s">
        <v>236</v>
      </c>
      <c r="C2489" s="17" t="s">
        <v>333</v>
      </c>
      <c r="D2489" s="17" t="s">
        <v>1494</v>
      </c>
      <c r="E2489" s="17" t="s">
        <v>335</v>
      </c>
      <c r="F2489" s="17" t="s">
        <v>48</v>
      </c>
      <c r="G2489" s="17" t="s">
        <v>1493</v>
      </c>
      <c r="H2489" s="18">
        <v>1200</v>
      </c>
      <c r="I2489" s="18">
        <v>1200</v>
      </c>
      <c r="J2489" s="7" t="str">
        <f>IFERROR(_xlfn.XLOOKUP(F2489,ccustos!A:A,ccustos!B:B),"Sem termo")</f>
        <v>DEPES</v>
      </c>
    </row>
    <row r="2490" spans="1:10" ht="36.75" customHeight="1" x14ac:dyDescent="0.25">
      <c r="A2490" s="14">
        <v>14285</v>
      </c>
      <c r="B2490" s="7" t="s">
        <v>236</v>
      </c>
      <c r="C2490" s="7" t="s">
        <v>333</v>
      </c>
      <c r="D2490" s="7" t="s">
        <v>1494</v>
      </c>
      <c r="E2490" s="7" t="s">
        <v>335</v>
      </c>
      <c r="F2490" s="7" t="s">
        <v>20</v>
      </c>
      <c r="G2490" s="7" t="s">
        <v>1493</v>
      </c>
      <c r="H2490" s="15">
        <v>1200</v>
      </c>
      <c r="I2490" s="15">
        <v>1200</v>
      </c>
      <c r="J2490" s="7" t="str">
        <f>IFERROR(_xlfn.XLOOKUP(F2490,ccustos!A:A,ccustos!B:B),"Sem termo")</f>
        <v>CGTI</v>
      </c>
    </row>
    <row r="2491" spans="1:10" ht="36.75" customHeight="1" x14ac:dyDescent="0.25">
      <c r="A2491" s="16">
        <v>14286</v>
      </c>
      <c r="B2491" s="17" t="s">
        <v>236</v>
      </c>
      <c r="C2491" s="17" t="s">
        <v>333</v>
      </c>
      <c r="D2491" s="17" t="s">
        <v>1494</v>
      </c>
      <c r="E2491" s="17" t="s">
        <v>335</v>
      </c>
      <c r="F2491" s="17" t="s">
        <v>20</v>
      </c>
      <c r="G2491" s="17" t="s">
        <v>1493</v>
      </c>
      <c r="H2491" s="18">
        <v>1200</v>
      </c>
      <c r="I2491" s="18">
        <v>1200</v>
      </c>
      <c r="J2491" s="7" t="str">
        <f>IFERROR(_xlfn.XLOOKUP(F2491,ccustos!A:A,ccustos!B:B),"Sem termo")</f>
        <v>CGTI</v>
      </c>
    </row>
    <row r="2492" spans="1:10" ht="36.75" customHeight="1" x14ac:dyDescent="0.25">
      <c r="A2492" s="14">
        <v>14287</v>
      </c>
      <c r="B2492" s="7" t="s">
        <v>236</v>
      </c>
      <c r="C2492" s="7" t="s">
        <v>333</v>
      </c>
      <c r="D2492" s="7" t="s">
        <v>1494</v>
      </c>
      <c r="E2492" s="7" t="s">
        <v>335</v>
      </c>
      <c r="F2492" s="7" t="s">
        <v>29</v>
      </c>
      <c r="G2492" s="7" t="s">
        <v>1493</v>
      </c>
      <c r="H2492" s="15">
        <v>1200</v>
      </c>
      <c r="I2492" s="15">
        <v>1200</v>
      </c>
      <c r="J2492" s="7" t="str">
        <f>IFERROR(_xlfn.XLOOKUP(F2492,ccustos!A:A,ccustos!B:B),"Sem termo")</f>
        <v>COAD</v>
      </c>
    </row>
    <row r="2493" spans="1:10" ht="36.75" customHeight="1" x14ac:dyDescent="0.25">
      <c r="A2493" s="16">
        <v>14288</v>
      </c>
      <c r="B2493" s="17" t="s">
        <v>236</v>
      </c>
      <c r="C2493" s="17" t="s">
        <v>333</v>
      </c>
      <c r="D2493" s="17" t="s">
        <v>1494</v>
      </c>
      <c r="E2493" s="17" t="s">
        <v>335</v>
      </c>
      <c r="F2493" s="17" t="s">
        <v>22</v>
      </c>
      <c r="G2493" s="17" t="s">
        <v>1493</v>
      </c>
      <c r="H2493" s="18">
        <v>1200</v>
      </c>
      <c r="I2493" s="18">
        <v>1200</v>
      </c>
      <c r="J2493" s="7" t="str">
        <f>IFERROR(_xlfn.XLOOKUP(F2493,ccustos!A:A,ccustos!B:B),"Sem termo")</f>
        <v>COTEC</v>
      </c>
    </row>
    <row r="2494" spans="1:10" ht="36.75" customHeight="1" x14ac:dyDescent="0.25">
      <c r="A2494" s="14">
        <v>14289</v>
      </c>
      <c r="B2494" s="7" t="s">
        <v>236</v>
      </c>
      <c r="C2494" s="7" t="s">
        <v>333</v>
      </c>
      <c r="D2494" s="7" t="s">
        <v>1494</v>
      </c>
      <c r="E2494" s="7" t="s">
        <v>335</v>
      </c>
      <c r="F2494" s="7" t="s">
        <v>20</v>
      </c>
      <c r="G2494" s="7" t="s">
        <v>1493</v>
      </c>
      <c r="H2494" s="15">
        <v>1200</v>
      </c>
      <c r="I2494" s="15">
        <v>1200</v>
      </c>
      <c r="J2494" s="7" t="str">
        <f>IFERROR(_xlfn.XLOOKUP(F2494,ccustos!A:A,ccustos!B:B),"Sem termo")</f>
        <v>CGTI</v>
      </c>
    </row>
    <row r="2495" spans="1:10" ht="36.75" customHeight="1" x14ac:dyDescent="0.25">
      <c r="A2495" s="16">
        <v>14290</v>
      </c>
      <c r="B2495" s="17" t="s">
        <v>236</v>
      </c>
      <c r="C2495" s="17" t="s">
        <v>333</v>
      </c>
      <c r="D2495" s="17" t="s">
        <v>1494</v>
      </c>
      <c r="E2495" s="17" t="s">
        <v>335</v>
      </c>
      <c r="F2495" s="17" t="s">
        <v>37</v>
      </c>
      <c r="G2495" s="17" t="s">
        <v>1493</v>
      </c>
      <c r="H2495" s="18">
        <v>1200</v>
      </c>
      <c r="I2495" s="18">
        <v>1200</v>
      </c>
      <c r="J2495" s="7" t="str">
        <f>IFERROR(_xlfn.XLOOKUP(F2495,ccustos!A:A,ccustos!B:B),"Sem termo")</f>
        <v>PROJUR</v>
      </c>
    </row>
    <row r="2496" spans="1:10" ht="36.75" customHeight="1" x14ac:dyDescent="0.25">
      <c r="A2496" s="14">
        <v>14291</v>
      </c>
      <c r="B2496" s="7" t="s">
        <v>236</v>
      </c>
      <c r="C2496" s="7" t="s">
        <v>333</v>
      </c>
      <c r="D2496" s="7" t="s">
        <v>1494</v>
      </c>
      <c r="E2496" s="7" t="s">
        <v>335</v>
      </c>
      <c r="F2496" s="7" t="s">
        <v>213</v>
      </c>
      <c r="G2496" s="7" t="s">
        <v>1493</v>
      </c>
      <c r="H2496" s="15">
        <v>1200</v>
      </c>
      <c r="I2496" s="15">
        <v>1200</v>
      </c>
      <c r="J2496" s="7" t="str">
        <f>IFERROR(_xlfn.XLOOKUP(F2496,ccustos!A:A,ccustos!B:B),"Sem termo")</f>
        <v>DIEPG</v>
      </c>
    </row>
    <row r="2497" spans="1:10" ht="36.75" customHeight="1" x14ac:dyDescent="0.25">
      <c r="A2497" s="16">
        <v>14292</v>
      </c>
      <c r="B2497" s="17" t="s">
        <v>236</v>
      </c>
      <c r="C2497" s="17" t="s">
        <v>333</v>
      </c>
      <c r="D2497" s="17" t="s">
        <v>1494</v>
      </c>
      <c r="E2497" s="17" t="s">
        <v>335</v>
      </c>
      <c r="F2497" s="17" t="s">
        <v>83</v>
      </c>
      <c r="G2497" s="17" t="s">
        <v>1493</v>
      </c>
      <c r="H2497" s="18">
        <v>1200</v>
      </c>
      <c r="I2497" s="18">
        <v>1200</v>
      </c>
      <c r="J2497" s="7" t="str">
        <f>IFERROR(_xlfn.XLOOKUP(F2497,ccustos!A:A,ccustos!B:B),"Sem termo")</f>
        <v>GABIN</v>
      </c>
    </row>
    <row r="2498" spans="1:10" ht="36.75" customHeight="1" x14ac:dyDescent="0.25">
      <c r="A2498" s="14">
        <v>14293</v>
      </c>
      <c r="B2498" s="7" t="s">
        <v>236</v>
      </c>
      <c r="C2498" s="7" t="s">
        <v>333</v>
      </c>
      <c r="D2498" s="7" t="s">
        <v>1494</v>
      </c>
      <c r="E2498" s="7" t="s">
        <v>335</v>
      </c>
      <c r="F2498" s="7" t="s">
        <v>83</v>
      </c>
      <c r="G2498" s="7" t="s">
        <v>1493</v>
      </c>
      <c r="H2498" s="15">
        <v>1200</v>
      </c>
      <c r="I2498" s="15">
        <v>1200</v>
      </c>
      <c r="J2498" s="7" t="str">
        <f>IFERROR(_xlfn.XLOOKUP(F2498,ccustos!A:A,ccustos!B:B),"Sem termo")</f>
        <v>GABIN</v>
      </c>
    </row>
    <row r="2499" spans="1:10" ht="36.75" customHeight="1" x14ac:dyDescent="0.25">
      <c r="A2499" s="16">
        <v>14294</v>
      </c>
      <c r="B2499" s="17" t="s">
        <v>236</v>
      </c>
      <c r="C2499" s="17" t="s">
        <v>333</v>
      </c>
      <c r="D2499" s="17" t="s">
        <v>1494</v>
      </c>
      <c r="E2499" s="17" t="s">
        <v>335</v>
      </c>
      <c r="F2499" s="17" t="s">
        <v>185</v>
      </c>
      <c r="G2499" s="17" t="s">
        <v>1493</v>
      </c>
      <c r="H2499" s="18">
        <v>1200</v>
      </c>
      <c r="I2499" s="18">
        <v>1200</v>
      </c>
      <c r="J2499" s="7" t="str">
        <f>IFERROR(_xlfn.XLOOKUP(F2499,ccustos!A:A,ccustos!B:B),"Sem termo")</f>
        <v>CGGE</v>
      </c>
    </row>
    <row r="2500" spans="1:10" ht="36.75" customHeight="1" x14ac:dyDescent="0.25">
      <c r="A2500" s="14">
        <v>14296</v>
      </c>
      <c r="B2500" s="7" t="s">
        <v>236</v>
      </c>
      <c r="C2500" s="7" t="s">
        <v>333</v>
      </c>
      <c r="D2500" s="7" t="s">
        <v>1494</v>
      </c>
      <c r="E2500" s="7" t="s">
        <v>335</v>
      </c>
      <c r="F2500" s="7" t="s">
        <v>211</v>
      </c>
      <c r="G2500" s="7" t="s">
        <v>1493</v>
      </c>
      <c r="H2500" s="15">
        <v>1200</v>
      </c>
      <c r="I2500" s="15">
        <v>1200</v>
      </c>
      <c r="J2500" s="7" t="str">
        <f>IFERROR(_xlfn.XLOOKUP(F2500,ccustos!A:A,ccustos!B:B),"Sem termo")</f>
        <v>DIGEO</v>
      </c>
    </row>
    <row r="2501" spans="1:10" ht="36.75" customHeight="1" x14ac:dyDescent="0.25">
      <c r="A2501" s="16">
        <v>14297</v>
      </c>
      <c r="B2501" s="17" t="s">
        <v>236</v>
      </c>
      <c r="C2501" s="17" t="s">
        <v>333</v>
      </c>
      <c r="D2501" s="17" t="s">
        <v>1494</v>
      </c>
      <c r="E2501" s="17" t="s">
        <v>335</v>
      </c>
      <c r="F2501" s="17" t="s">
        <v>47</v>
      </c>
      <c r="G2501" s="17" t="s">
        <v>1493</v>
      </c>
      <c r="H2501" s="18">
        <v>1200</v>
      </c>
      <c r="I2501" s="18">
        <v>1200</v>
      </c>
      <c r="J2501" s="7" t="str">
        <f>IFERROR(_xlfn.XLOOKUP(F2501,ccustos!A:A,ccustos!B:B),"Sem termo")</f>
        <v>CDPROF</v>
      </c>
    </row>
    <row r="2502" spans="1:10" ht="36.75" customHeight="1" x14ac:dyDescent="0.25">
      <c r="A2502" s="14">
        <v>14298</v>
      </c>
      <c r="B2502" s="7" t="s">
        <v>236</v>
      </c>
      <c r="C2502" s="7" t="s">
        <v>333</v>
      </c>
      <c r="D2502" s="7" t="s">
        <v>1494</v>
      </c>
      <c r="E2502" s="7" t="s">
        <v>335</v>
      </c>
      <c r="F2502" s="7" t="s">
        <v>213</v>
      </c>
      <c r="G2502" s="7" t="s">
        <v>1493</v>
      </c>
      <c r="H2502" s="15">
        <v>1200</v>
      </c>
      <c r="I2502" s="15">
        <v>1200</v>
      </c>
      <c r="J2502" s="7" t="str">
        <f>IFERROR(_xlfn.XLOOKUP(F2502,ccustos!A:A,ccustos!B:B),"Sem termo")</f>
        <v>DIEPG</v>
      </c>
    </row>
    <row r="2503" spans="1:10" ht="36.75" customHeight="1" x14ac:dyDescent="0.25">
      <c r="A2503" s="16">
        <v>14299</v>
      </c>
      <c r="B2503" s="17" t="s">
        <v>236</v>
      </c>
      <c r="C2503" s="17" t="s">
        <v>333</v>
      </c>
      <c r="D2503" s="17" t="s">
        <v>1494</v>
      </c>
      <c r="E2503" s="17" t="s">
        <v>335</v>
      </c>
      <c r="F2503" s="17" t="s">
        <v>26</v>
      </c>
      <c r="G2503" s="17" t="s">
        <v>1493</v>
      </c>
      <c r="H2503" s="18">
        <v>1200</v>
      </c>
      <c r="I2503" s="18">
        <v>1200</v>
      </c>
      <c r="J2503" s="7" t="str">
        <f>IFERROR(_xlfn.XLOOKUP(F2503,ccustos!A:A,ccustos!B:B),"Sem termo")</f>
        <v>COLOG</v>
      </c>
    </row>
    <row r="2504" spans="1:10" ht="36.75" customHeight="1" x14ac:dyDescent="0.25">
      <c r="A2504" s="14">
        <v>14300</v>
      </c>
      <c r="B2504" s="7" t="s">
        <v>236</v>
      </c>
      <c r="C2504" s="7" t="s">
        <v>333</v>
      </c>
      <c r="D2504" s="7" t="s">
        <v>1494</v>
      </c>
      <c r="E2504" s="7" t="s">
        <v>335</v>
      </c>
      <c r="F2504" s="7" t="s">
        <v>26</v>
      </c>
      <c r="G2504" s="7" t="s">
        <v>1493</v>
      </c>
      <c r="H2504" s="15">
        <v>1200</v>
      </c>
      <c r="I2504" s="15">
        <v>1200</v>
      </c>
      <c r="J2504" s="7" t="str">
        <f>IFERROR(_xlfn.XLOOKUP(F2504,ccustos!A:A,ccustos!B:B),"Sem termo")</f>
        <v>COLOG</v>
      </c>
    </row>
    <row r="2505" spans="1:10" ht="36.75" customHeight="1" x14ac:dyDescent="0.25">
      <c r="A2505" s="16">
        <v>14301</v>
      </c>
      <c r="B2505" s="17" t="s">
        <v>236</v>
      </c>
      <c r="C2505" s="17" t="s">
        <v>333</v>
      </c>
      <c r="D2505" s="17" t="s">
        <v>1494</v>
      </c>
      <c r="E2505" s="17" t="s">
        <v>335</v>
      </c>
      <c r="F2505" s="17" t="s">
        <v>20</v>
      </c>
      <c r="G2505" s="17" t="s">
        <v>1493</v>
      </c>
      <c r="H2505" s="18">
        <v>1200</v>
      </c>
      <c r="I2505" s="18">
        <v>1200</v>
      </c>
      <c r="J2505" s="7" t="str">
        <f>IFERROR(_xlfn.XLOOKUP(F2505,ccustos!A:A,ccustos!B:B),"Sem termo")</f>
        <v>CGTI</v>
      </c>
    </row>
    <row r="2506" spans="1:10" ht="36.75" customHeight="1" x14ac:dyDescent="0.25">
      <c r="A2506" s="14">
        <v>14302</v>
      </c>
      <c r="B2506" s="7" t="s">
        <v>236</v>
      </c>
      <c r="C2506" s="7" t="s">
        <v>333</v>
      </c>
      <c r="D2506" s="7" t="s">
        <v>1494</v>
      </c>
      <c r="E2506" s="7" t="s">
        <v>335</v>
      </c>
      <c r="F2506" s="7" t="s">
        <v>205</v>
      </c>
      <c r="G2506" s="7" t="s">
        <v>1493</v>
      </c>
      <c r="H2506" s="15">
        <v>1200</v>
      </c>
      <c r="I2506" s="15">
        <v>1200</v>
      </c>
      <c r="J2506" s="7" t="str">
        <f>IFERROR(_xlfn.XLOOKUP(F2506,ccustos!A:A,ccustos!B:B),"Sem termo")</f>
        <v>CCOM</v>
      </c>
    </row>
    <row r="2507" spans="1:10" ht="36.75" customHeight="1" x14ac:dyDescent="0.25">
      <c r="A2507" s="16">
        <v>14303</v>
      </c>
      <c r="B2507" s="17" t="s">
        <v>236</v>
      </c>
      <c r="C2507" s="17" t="s">
        <v>333</v>
      </c>
      <c r="D2507" s="17" t="s">
        <v>1494</v>
      </c>
      <c r="E2507" s="17" t="s">
        <v>335</v>
      </c>
      <c r="F2507" s="17" t="s">
        <v>47</v>
      </c>
      <c r="G2507" s="17" t="s">
        <v>1493</v>
      </c>
      <c r="H2507" s="18">
        <v>1200</v>
      </c>
      <c r="I2507" s="18">
        <v>1200</v>
      </c>
      <c r="J2507" s="7" t="str">
        <f>IFERROR(_xlfn.XLOOKUP(F2507,ccustos!A:A,ccustos!B:B),"Sem termo")</f>
        <v>CDPROF</v>
      </c>
    </row>
    <row r="2508" spans="1:10" ht="36.75" customHeight="1" x14ac:dyDescent="0.25">
      <c r="A2508" s="14">
        <v>14304</v>
      </c>
      <c r="B2508" s="7" t="s">
        <v>236</v>
      </c>
      <c r="C2508" s="7" t="s">
        <v>333</v>
      </c>
      <c r="D2508" s="7" t="s">
        <v>1494</v>
      </c>
      <c r="E2508" s="7" t="s">
        <v>335</v>
      </c>
      <c r="F2508" s="7" t="s">
        <v>30</v>
      </c>
      <c r="G2508" s="7" t="s">
        <v>1493</v>
      </c>
      <c r="H2508" s="15">
        <v>1200</v>
      </c>
      <c r="I2508" s="15">
        <v>1200</v>
      </c>
      <c r="J2508" s="7" t="str">
        <f>IFERROR(_xlfn.XLOOKUP(F2508,ccustos!A:A,ccustos!B:B),"Sem termo")</f>
        <v>COFIS</v>
      </c>
    </row>
    <row r="2509" spans="1:10" ht="36.75" customHeight="1" x14ac:dyDescent="0.25">
      <c r="A2509" s="16">
        <v>14305</v>
      </c>
      <c r="B2509" s="17" t="s">
        <v>236</v>
      </c>
      <c r="C2509" s="17" t="s">
        <v>333</v>
      </c>
      <c r="D2509" s="17" t="s">
        <v>1494</v>
      </c>
      <c r="E2509" s="17" t="s">
        <v>335</v>
      </c>
      <c r="F2509" s="17" t="s">
        <v>20</v>
      </c>
      <c r="G2509" s="17" t="s">
        <v>1493</v>
      </c>
      <c r="H2509" s="18">
        <v>1200</v>
      </c>
      <c r="I2509" s="18">
        <v>1200</v>
      </c>
      <c r="J2509" s="7" t="str">
        <f>IFERROR(_xlfn.XLOOKUP(F2509,ccustos!A:A,ccustos!B:B),"Sem termo")</f>
        <v>CGTI</v>
      </c>
    </row>
    <row r="2510" spans="1:10" ht="36.75" customHeight="1" x14ac:dyDescent="0.25">
      <c r="A2510" s="14">
        <v>14306</v>
      </c>
      <c r="B2510" s="7" t="s">
        <v>236</v>
      </c>
      <c r="C2510" s="7" t="s">
        <v>333</v>
      </c>
      <c r="D2510" s="7" t="s">
        <v>1494</v>
      </c>
      <c r="E2510" s="7" t="s">
        <v>335</v>
      </c>
      <c r="F2510" s="7" t="s">
        <v>70</v>
      </c>
      <c r="G2510" s="7" t="s">
        <v>1493</v>
      </c>
      <c r="H2510" s="15">
        <v>1200</v>
      </c>
      <c r="I2510" s="15">
        <v>1200</v>
      </c>
      <c r="J2510" s="7" t="str">
        <f>IFERROR(_xlfn.XLOOKUP(F2510,ccustos!A:A,ccustos!B:B),"Sem termo")</f>
        <v>SEBIB</v>
      </c>
    </row>
    <row r="2511" spans="1:10" ht="36.75" customHeight="1" x14ac:dyDescent="0.25">
      <c r="A2511" s="16">
        <v>14307</v>
      </c>
      <c r="B2511" s="17" t="s">
        <v>236</v>
      </c>
      <c r="C2511" s="17" t="s">
        <v>333</v>
      </c>
      <c r="D2511" s="17" t="s">
        <v>1494</v>
      </c>
      <c r="E2511" s="17" t="s">
        <v>335</v>
      </c>
      <c r="F2511" s="17" t="s">
        <v>29</v>
      </c>
      <c r="G2511" s="17" t="s">
        <v>1493</v>
      </c>
      <c r="H2511" s="18">
        <v>1200</v>
      </c>
      <c r="I2511" s="18">
        <v>1200</v>
      </c>
      <c r="J2511" s="7" t="str">
        <f>IFERROR(_xlfn.XLOOKUP(F2511,ccustos!A:A,ccustos!B:B),"Sem termo")</f>
        <v>COAD</v>
      </c>
    </row>
    <row r="2512" spans="1:10" ht="25.5" customHeight="1" x14ac:dyDescent="0.25">
      <c r="A2512" s="14">
        <v>14308</v>
      </c>
      <c r="B2512" s="7" t="s">
        <v>236</v>
      </c>
      <c r="C2512" s="7" t="s">
        <v>333</v>
      </c>
      <c r="D2512" s="7" t="s">
        <v>1494</v>
      </c>
      <c r="E2512" s="7" t="s">
        <v>335</v>
      </c>
      <c r="F2512" s="7" t="s">
        <v>20</v>
      </c>
      <c r="G2512" s="7" t="s">
        <v>1493</v>
      </c>
      <c r="H2512" s="15">
        <v>1200</v>
      </c>
      <c r="I2512" s="15">
        <v>1200</v>
      </c>
      <c r="J2512" s="7" t="str">
        <f>IFERROR(_xlfn.XLOOKUP(F2512,ccustos!A:A,ccustos!B:B),"Sem termo")</f>
        <v>CGTI</v>
      </c>
    </row>
    <row r="2513" spans="1:10" ht="25.5" customHeight="1" x14ac:dyDescent="0.25">
      <c r="A2513" s="16">
        <v>14309</v>
      </c>
      <c r="B2513" s="17" t="s">
        <v>236</v>
      </c>
      <c r="C2513" s="17" t="s">
        <v>333</v>
      </c>
      <c r="D2513" s="17" t="s">
        <v>1494</v>
      </c>
      <c r="E2513" s="17" t="s">
        <v>335</v>
      </c>
      <c r="F2513" s="17" t="s">
        <v>205</v>
      </c>
      <c r="G2513" s="17" t="s">
        <v>1493</v>
      </c>
      <c r="H2513" s="18">
        <v>1200</v>
      </c>
      <c r="I2513" s="18">
        <v>1200</v>
      </c>
      <c r="J2513" s="7" t="str">
        <f>IFERROR(_xlfn.XLOOKUP(F2513,ccustos!A:A,ccustos!B:B),"Sem termo")</f>
        <v>CCOM</v>
      </c>
    </row>
    <row r="2514" spans="1:10" ht="25.5" customHeight="1" x14ac:dyDescent="0.25">
      <c r="A2514" s="14">
        <v>14310</v>
      </c>
      <c r="B2514" s="7" t="s">
        <v>236</v>
      </c>
      <c r="C2514" s="7" t="s">
        <v>333</v>
      </c>
      <c r="D2514" s="7" t="s">
        <v>1494</v>
      </c>
      <c r="E2514" s="7" t="s">
        <v>335</v>
      </c>
      <c r="F2514" s="7" t="s">
        <v>28</v>
      </c>
      <c r="G2514" s="7" t="s">
        <v>1493</v>
      </c>
      <c r="H2514" s="15">
        <v>1200</v>
      </c>
      <c r="I2514" s="15">
        <v>1200</v>
      </c>
      <c r="J2514" s="7" t="str">
        <f>IFERROR(_xlfn.XLOOKUP(F2514,ccustos!A:A,ccustos!B:B),"Sem termo")</f>
        <v>COPI</v>
      </c>
    </row>
    <row r="2515" spans="1:10" ht="25.5" customHeight="1" x14ac:dyDescent="0.25">
      <c r="A2515" s="16">
        <v>14311</v>
      </c>
      <c r="B2515" s="17" t="s">
        <v>236</v>
      </c>
      <c r="C2515" s="17" t="s">
        <v>333</v>
      </c>
      <c r="D2515" s="17" t="s">
        <v>1494</v>
      </c>
      <c r="E2515" s="17" t="s">
        <v>335</v>
      </c>
      <c r="F2515" s="17" t="s">
        <v>256</v>
      </c>
      <c r="G2515" s="17" t="s">
        <v>1493</v>
      </c>
      <c r="H2515" s="18">
        <v>1200</v>
      </c>
      <c r="I2515" s="18">
        <v>1200</v>
      </c>
      <c r="J2515" s="7" t="str">
        <f>IFERROR(_xlfn.XLOOKUP(F2515,ccustos!A:A,ccustos!B:B),"Sem termo")</f>
        <v>Sem termo</v>
      </c>
    </row>
    <row r="2516" spans="1:10" ht="25.5" customHeight="1" x14ac:dyDescent="0.25">
      <c r="A2516" s="14">
        <v>14312</v>
      </c>
      <c r="B2516" s="7" t="s">
        <v>236</v>
      </c>
      <c r="C2516" s="7" t="s">
        <v>333</v>
      </c>
      <c r="D2516" s="7" t="s">
        <v>1494</v>
      </c>
      <c r="E2516" s="7" t="s">
        <v>335</v>
      </c>
      <c r="F2516" s="7" t="s">
        <v>30</v>
      </c>
      <c r="G2516" s="7" t="s">
        <v>1493</v>
      </c>
      <c r="H2516" s="15">
        <v>1200</v>
      </c>
      <c r="I2516" s="15">
        <v>1200</v>
      </c>
      <c r="J2516" s="7" t="str">
        <f>IFERROR(_xlfn.XLOOKUP(F2516,ccustos!A:A,ccustos!B:B),"Sem termo")</f>
        <v>COFIS</v>
      </c>
    </row>
    <row r="2517" spans="1:10" ht="25.5" customHeight="1" x14ac:dyDescent="0.25">
      <c r="A2517" s="16">
        <v>14313</v>
      </c>
      <c r="B2517" s="17" t="s">
        <v>236</v>
      </c>
      <c r="C2517" s="17" t="s">
        <v>333</v>
      </c>
      <c r="D2517" s="17" t="s">
        <v>1494</v>
      </c>
      <c r="E2517" s="17" t="s">
        <v>335</v>
      </c>
      <c r="F2517" s="17" t="s">
        <v>83</v>
      </c>
      <c r="G2517" s="17" t="s">
        <v>1493</v>
      </c>
      <c r="H2517" s="18">
        <v>1200</v>
      </c>
      <c r="I2517" s="18">
        <v>1200</v>
      </c>
      <c r="J2517" s="7" t="str">
        <f>IFERROR(_xlfn.XLOOKUP(F2517,ccustos!A:A,ccustos!B:B),"Sem termo")</f>
        <v>GABIN</v>
      </c>
    </row>
    <row r="2518" spans="1:10" ht="25.5" customHeight="1" x14ac:dyDescent="0.25">
      <c r="A2518" s="14">
        <v>14314</v>
      </c>
      <c r="B2518" s="7" t="s">
        <v>236</v>
      </c>
      <c r="C2518" s="7" t="s">
        <v>333</v>
      </c>
      <c r="D2518" s="7" t="s">
        <v>1494</v>
      </c>
      <c r="E2518" s="7" t="s">
        <v>335</v>
      </c>
      <c r="F2518" s="7" t="s">
        <v>205</v>
      </c>
      <c r="G2518" s="7" t="s">
        <v>1493</v>
      </c>
      <c r="H2518" s="15">
        <v>1200</v>
      </c>
      <c r="I2518" s="15">
        <v>1200</v>
      </c>
      <c r="J2518" s="7" t="str">
        <f>IFERROR(_xlfn.XLOOKUP(F2518,ccustos!A:A,ccustos!B:B),"Sem termo")</f>
        <v>CCOM</v>
      </c>
    </row>
    <row r="2519" spans="1:10" ht="25.5" customHeight="1" x14ac:dyDescent="0.25">
      <c r="A2519" s="16">
        <v>14315</v>
      </c>
      <c r="B2519" s="17" t="s">
        <v>236</v>
      </c>
      <c r="C2519" s="17" t="s">
        <v>333</v>
      </c>
      <c r="D2519" s="17" t="s">
        <v>1494</v>
      </c>
      <c r="E2519" s="17" t="s">
        <v>335</v>
      </c>
      <c r="F2519" s="17" t="s">
        <v>28</v>
      </c>
      <c r="G2519" s="17" t="s">
        <v>1493</v>
      </c>
      <c r="H2519" s="18">
        <v>1200</v>
      </c>
      <c r="I2519" s="18">
        <v>1200</v>
      </c>
      <c r="J2519" s="7" t="str">
        <f>IFERROR(_xlfn.XLOOKUP(F2519,ccustos!A:A,ccustos!B:B),"Sem termo")</f>
        <v>COPI</v>
      </c>
    </row>
    <row r="2520" spans="1:10" ht="25.5" customHeight="1" x14ac:dyDescent="0.25">
      <c r="A2520" s="14">
        <v>14316</v>
      </c>
      <c r="B2520" s="7" t="s">
        <v>236</v>
      </c>
      <c r="C2520" s="7" t="s">
        <v>333</v>
      </c>
      <c r="D2520" s="7" t="s">
        <v>1494</v>
      </c>
      <c r="E2520" s="7" t="s">
        <v>335</v>
      </c>
      <c r="F2520" s="7" t="s">
        <v>30</v>
      </c>
      <c r="G2520" s="7" t="s">
        <v>1493</v>
      </c>
      <c r="H2520" s="15">
        <v>1200</v>
      </c>
      <c r="I2520" s="15">
        <v>1200</v>
      </c>
      <c r="J2520" s="7" t="str">
        <f>IFERROR(_xlfn.XLOOKUP(F2520,ccustos!A:A,ccustos!B:B),"Sem termo")</f>
        <v>COFIS</v>
      </c>
    </row>
    <row r="2521" spans="1:10" ht="25.5" customHeight="1" x14ac:dyDescent="0.25">
      <c r="A2521" s="16">
        <v>14317</v>
      </c>
      <c r="B2521" s="17" t="s">
        <v>236</v>
      </c>
      <c r="C2521" s="17" t="s">
        <v>333</v>
      </c>
      <c r="D2521" s="17" t="s">
        <v>1494</v>
      </c>
      <c r="E2521" s="17" t="s">
        <v>335</v>
      </c>
      <c r="F2521" s="17" t="s">
        <v>185</v>
      </c>
      <c r="G2521" s="17" t="s">
        <v>1493</v>
      </c>
      <c r="H2521" s="18">
        <v>1200</v>
      </c>
      <c r="I2521" s="18">
        <v>1200</v>
      </c>
      <c r="J2521" s="7" t="str">
        <f>IFERROR(_xlfn.XLOOKUP(F2521,ccustos!A:A,ccustos!B:B),"Sem termo")</f>
        <v>CGGE</v>
      </c>
    </row>
    <row r="2522" spans="1:10" ht="25.5" customHeight="1" x14ac:dyDescent="0.25">
      <c r="A2522" s="14">
        <v>14318</v>
      </c>
      <c r="B2522" s="7" t="s">
        <v>236</v>
      </c>
      <c r="C2522" s="7" t="s">
        <v>333</v>
      </c>
      <c r="D2522" s="7" t="s">
        <v>1494</v>
      </c>
      <c r="E2522" s="7" t="s">
        <v>335</v>
      </c>
      <c r="F2522" s="7" t="s">
        <v>205</v>
      </c>
      <c r="G2522" s="7" t="s">
        <v>1493</v>
      </c>
      <c r="H2522" s="15">
        <v>1200</v>
      </c>
      <c r="I2522" s="15">
        <v>1200</v>
      </c>
      <c r="J2522" s="7" t="str">
        <f>IFERROR(_xlfn.XLOOKUP(F2522,ccustos!A:A,ccustos!B:B),"Sem termo")</f>
        <v>CCOM</v>
      </c>
    </row>
    <row r="2523" spans="1:10" ht="25.5" customHeight="1" x14ac:dyDescent="0.25">
      <c r="A2523" s="16">
        <v>14319</v>
      </c>
      <c r="B2523" s="17" t="s">
        <v>236</v>
      </c>
      <c r="C2523" s="17" t="s">
        <v>333</v>
      </c>
      <c r="D2523" s="17" t="s">
        <v>1494</v>
      </c>
      <c r="E2523" s="17" t="s">
        <v>335</v>
      </c>
      <c r="F2523" s="17" t="s">
        <v>32</v>
      </c>
      <c r="G2523" s="17" t="s">
        <v>1493</v>
      </c>
      <c r="H2523" s="18">
        <v>1200</v>
      </c>
      <c r="I2523" s="18">
        <v>1200</v>
      </c>
      <c r="J2523" s="7" t="str">
        <f>IFERROR(_xlfn.XLOOKUP(F2523,ccustos!A:A,ccustos!B:B),"Sem termo")</f>
        <v>DECONT</v>
      </c>
    </row>
    <row r="2524" spans="1:10" ht="25.5" customHeight="1" x14ac:dyDescent="0.25">
      <c r="A2524" s="14">
        <v>14320</v>
      </c>
      <c r="B2524" s="7" t="s">
        <v>236</v>
      </c>
      <c r="C2524" s="7" t="s">
        <v>333</v>
      </c>
      <c r="D2524" s="7" t="s">
        <v>1494</v>
      </c>
      <c r="E2524" s="7" t="s">
        <v>335</v>
      </c>
      <c r="F2524" s="7" t="s">
        <v>185</v>
      </c>
      <c r="G2524" s="7" t="s">
        <v>1493</v>
      </c>
      <c r="H2524" s="15">
        <v>1200</v>
      </c>
      <c r="I2524" s="15">
        <v>1200</v>
      </c>
      <c r="J2524" s="7" t="str">
        <f>IFERROR(_xlfn.XLOOKUP(F2524,ccustos!A:A,ccustos!B:B),"Sem termo")</f>
        <v>CGGE</v>
      </c>
    </row>
    <row r="2525" spans="1:10" ht="25.5" customHeight="1" x14ac:dyDescent="0.25">
      <c r="A2525" s="16">
        <v>14321</v>
      </c>
      <c r="B2525" s="17" t="s">
        <v>236</v>
      </c>
      <c r="C2525" s="17" t="s">
        <v>333</v>
      </c>
      <c r="D2525" s="17" t="s">
        <v>1494</v>
      </c>
      <c r="E2525" s="17" t="s">
        <v>335</v>
      </c>
      <c r="F2525" s="17" t="s">
        <v>54</v>
      </c>
      <c r="G2525" s="17" t="s">
        <v>1493</v>
      </c>
      <c r="H2525" s="18">
        <v>1200</v>
      </c>
      <c r="I2525" s="18">
        <v>1200</v>
      </c>
      <c r="J2525" s="7" t="str">
        <f>IFERROR(_xlfn.XLOOKUP(F2525,ccustos!A:A,ccustos!B:B),"Sem termo")</f>
        <v>DEFIN</v>
      </c>
    </row>
    <row r="2526" spans="1:10" ht="25.5" customHeight="1" x14ac:dyDescent="0.25">
      <c r="A2526" s="14">
        <v>14322</v>
      </c>
      <c r="B2526" s="7" t="s">
        <v>236</v>
      </c>
      <c r="C2526" s="7" t="s">
        <v>333</v>
      </c>
      <c r="D2526" s="7" t="s">
        <v>1494</v>
      </c>
      <c r="E2526" s="7" t="s">
        <v>335</v>
      </c>
      <c r="F2526" s="7" t="s">
        <v>205</v>
      </c>
      <c r="G2526" s="7" t="s">
        <v>1493</v>
      </c>
      <c r="H2526" s="15">
        <v>1200</v>
      </c>
      <c r="I2526" s="15">
        <v>1200</v>
      </c>
      <c r="J2526" s="7" t="str">
        <f>IFERROR(_xlfn.XLOOKUP(F2526,ccustos!A:A,ccustos!B:B),"Sem termo")</f>
        <v>CCOM</v>
      </c>
    </row>
    <row r="2527" spans="1:10" ht="25.5" customHeight="1" x14ac:dyDescent="0.25">
      <c r="A2527" s="16">
        <v>14323</v>
      </c>
      <c r="B2527" s="17" t="s">
        <v>236</v>
      </c>
      <c r="C2527" s="17" t="s">
        <v>333</v>
      </c>
      <c r="D2527" s="17" t="s">
        <v>1494</v>
      </c>
      <c r="E2527" s="17" t="s">
        <v>335</v>
      </c>
      <c r="F2527" s="17" t="s">
        <v>20</v>
      </c>
      <c r="G2527" s="17" t="s">
        <v>1493</v>
      </c>
      <c r="H2527" s="18">
        <v>1200</v>
      </c>
      <c r="I2527" s="18">
        <v>1200</v>
      </c>
      <c r="J2527" s="7" t="str">
        <f>IFERROR(_xlfn.XLOOKUP(F2527,ccustos!A:A,ccustos!B:B),"Sem termo")</f>
        <v>CGTI</v>
      </c>
    </row>
    <row r="2528" spans="1:10" ht="25.5" customHeight="1" x14ac:dyDescent="0.25">
      <c r="A2528" s="14">
        <v>14324</v>
      </c>
      <c r="B2528" s="7" t="s">
        <v>236</v>
      </c>
      <c r="C2528" s="7" t="s">
        <v>333</v>
      </c>
      <c r="D2528" s="7" t="s">
        <v>1494</v>
      </c>
      <c r="E2528" s="7" t="s">
        <v>335</v>
      </c>
      <c r="F2528" s="7" t="s">
        <v>20</v>
      </c>
      <c r="G2528" s="7" t="s">
        <v>1493</v>
      </c>
      <c r="H2528" s="15">
        <v>1200</v>
      </c>
      <c r="I2528" s="15">
        <v>1200</v>
      </c>
      <c r="J2528" s="7" t="str">
        <f>IFERROR(_xlfn.XLOOKUP(F2528,ccustos!A:A,ccustos!B:B),"Sem termo")</f>
        <v>CGTI</v>
      </c>
    </row>
    <row r="2529" spans="1:10" ht="25.5" customHeight="1" x14ac:dyDescent="0.25">
      <c r="A2529" s="16">
        <v>14325</v>
      </c>
      <c r="B2529" s="17" t="s">
        <v>236</v>
      </c>
      <c r="C2529" s="17" t="s">
        <v>333</v>
      </c>
      <c r="D2529" s="17" t="s">
        <v>1494</v>
      </c>
      <c r="E2529" s="17" t="s">
        <v>335</v>
      </c>
      <c r="F2529" s="17" t="s">
        <v>37</v>
      </c>
      <c r="G2529" s="17" t="s">
        <v>1493</v>
      </c>
      <c r="H2529" s="18">
        <v>1200</v>
      </c>
      <c r="I2529" s="18">
        <v>1200</v>
      </c>
      <c r="J2529" s="7" t="str">
        <f>IFERROR(_xlfn.XLOOKUP(F2529,ccustos!A:A,ccustos!B:B),"Sem termo")</f>
        <v>PROJUR</v>
      </c>
    </row>
    <row r="2530" spans="1:10" ht="25.5" customHeight="1" x14ac:dyDescent="0.25">
      <c r="A2530" s="14">
        <v>14326</v>
      </c>
      <c r="B2530" s="7" t="s">
        <v>236</v>
      </c>
      <c r="C2530" s="7" t="s">
        <v>333</v>
      </c>
      <c r="D2530" s="7" t="s">
        <v>1494</v>
      </c>
      <c r="E2530" s="7" t="s">
        <v>335</v>
      </c>
      <c r="F2530" s="7" t="s">
        <v>32</v>
      </c>
      <c r="G2530" s="7" t="s">
        <v>1493</v>
      </c>
      <c r="H2530" s="15">
        <v>1200</v>
      </c>
      <c r="I2530" s="15">
        <v>1200</v>
      </c>
      <c r="J2530" s="7" t="str">
        <f>IFERROR(_xlfn.XLOOKUP(F2530,ccustos!A:A,ccustos!B:B),"Sem termo")</f>
        <v>DECONT</v>
      </c>
    </row>
    <row r="2531" spans="1:10" ht="25.5" customHeight="1" x14ac:dyDescent="0.25">
      <c r="A2531" s="16">
        <v>14327</v>
      </c>
      <c r="B2531" s="17" t="s">
        <v>236</v>
      </c>
      <c r="C2531" s="17" t="s">
        <v>333</v>
      </c>
      <c r="D2531" s="17" t="s">
        <v>1494</v>
      </c>
      <c r="E2531" s="17" t="s">
        <v>335</v>
      </c>
      <c r="F2531" s="17" t="s">
        <v>205</v>
      </c>
      <c r="G2531" s="17" t="s">
        <v>1493</v>
      </c>
      <c r="H2531" s="18">
        <v>1200</v>
      </c>
      <c r="I2531" s="18">
        <v>1200</v>
      </c>
      <c r="J2531" s="7" t="str">
        <f>IFERROR(_xlfn.XLOOKUP(F2531,ccustos!A:A,ccustos!B:B),"Sem termo")</f>
        <v>CCOM</v>
      </c>
    </row>
    <row r="2532" spans="1:10" ht="25.5" customHeight="1" x14ac:dyDescent="0.25">
      <c r="A2532" s="14">
        <v>14328</v>
      </c>
      <c r="B2532" s="7" t="s">
        <v>236</v>
      </c>
      <c r="C2532" s="7" t="s">
        <v>333</v>
      </c>
      <c r="D2532" s="7" t="s">
        <v>1494</v>
      </c>
      <c r="E2532" s="7" t="s">
        <v>335</v>
      </c>
      <c r="F2532" s="7" t="s">
        <v>37</v>
      </c>
      <c r="G2532" s="7" t="s">
        <v>1493</v>
      </c>
      <c r="H2532" s="15">
        <v>1200</v>
      </c>
      <c r="I2532" s="15">
        <v>1200</v>
      </c>
      <c r="J2532" s="7" t="str">
        <f>IFERROR(_xlfn.XLOOKUP(F2532,ccustos!A:A,ccustos!B:B),"Sem termo")</f>
        <v>PROJUR</v>
      </c>
    </row>
    <row r="2533" spans="1:10" ht="25.5" customHeight="1" x14ac:dyDescent="0.25">
      <c r="A2533" s="16">
        <v>14329</v>
      </c>
      <c r="B2533" s="17" t="s">
        <v>236</v>
      </c>
      <c r="C2533" s="17" t="s">
        <v>333</v>
      </c>
      <c r="D2533" s="17" t="s">
        <v>1494</v>
      </c>
      <c r="E2533" s="17" t="s">
        <v>335</v>
      </c>
      <c r="F2533" s="17" t="s">
        <v>32</v>
      </c>
      <c r="G2533" s="17" t="s">
        <v>1493</v>
      </c>
      <c r="H2533" s="18">
        <v>1200</v>
      </c>
      <c r="I2533" s="18">
        <v>1200</v>
      </c>
      <c r="J2533" s="7" t="str">
        <f>IFERROR(_xlfn.XLOOKUP(F2533,ccustos!A:A,ccustos!B:B),"Sem termo")</f>
        <v>DECONT</v>
      </c>
    </row>
    <row r="2534" spans="1:10" ht="25.5" customHeight="1" x14ac:dyDescent="0.25">
      <c r="A2534" s="14">
        <v>14330</v>
      </c>
      <c r="B2534" s="7" t="s">
        <v>236</v>
      </c>
      <c r="C2534" s="7" t="s">
        <v>333</v>
      </c>
      <c r="D2534" s="7" t="s">
        <v>1494</v>
      </c>
      <c r="E2534" s="7" t="s">
        <v>335</v>
      </c>
      <c r="F2534" s="7" t="s">
        <v>22</v>
      </c>
      <c r="G2534" s="7" t="s">
        <v>1493</v>
      </c>
      <c r="H2534" s="15">
        <v>1200</v>
      </c>
      <c r="I2534" s="15">
        <v>1200</v>
      </c>
      <c r="J2534" s="7" t="str">
        <f>IFERROR(_xlfn.XLOOKUP(F2534,ccustos!A:A,ccustos!B:B),"Sem termo")</f>
        <v>COTEC</v>
      </c>
    </row>
    <row r="2535" spans="1:10" ht="25.5" customHeight="1" x14ac:dyDescent="0.25">
      <c r="A2535" s="16">
        <v>14331</v>
      </c>
      <c r="B2535" s="17" t="s">
        <v>236</v>
      </c>
      <c r="C2535" s="17" t="s">
        <v>333</v>
      </c>
      <c r="D2535" s="17" t="s">
        <v>1494</v>
      </c>
      <c r="E2535" s="17" t="s">
        <v>335</v>
      </c>
      <c r="F2535" s="17" t="s">
        <v>37</v>
      </c>
      <c r="G2535" s="17" t="s">
        <v>1493</v>
      </c>
      <c r="H2535" s="18">
        <v>1200</v>
      </c>
      <c r="I2535" s="18">
        <v>1200</v>
      </c>
      <c r="J2535" s="7" t="str">
        <f>IFERROR(_xlfn.XLOOKUP(F2535,ccustos!A:A,ccustos!B:B),"Sem termo")</f>
        <v>PROJUR</v>
      </c>
    </row>
    <row r="2536" spans="1:10" ht="25.5" customHeight="1" x14ac:dyDescent="0.25">
      <c r="A2536" s="14">
        <v>14332</v>
      </c>
      <c r="B2536" s="7" t="s">
        <v>236</v>
      </c>
      <c r="C2536" s="7" t="s">
        <v>333</v>
      </c>
      <c r="D2536" s="7" t="s">
        <v>1494</v>
      </c>
      <c r="E2536" s="7" t="s">
        <v>335</v>
      </c>
      <c r="F2536" s="7" t="s">
        <v>211</v>
      </c>
      <c r="G2536" s="7" t="s">
        <v>1493</v>
      </c>
      <c r="H2536" s="15">
        <v>1200</v>
      </c>
      <c r="I2536" s="15">
        <v>1200</v>
      </c>
      <c r="J2536" s="7" t="str">
        <f>IFERROR(_xlfn.XLOOKUP(F2536,ccustos!A:A,ccustos!B:B),"Sem termo")</f>
        <v>DIGEO</v>
      </c>
    </row>
    <row r="2537" spans="1:10" ht="25.5" customHeight="1" x14ac:dyDescent="0.25">
      <c r="A2537" s="16">
        <v>14333</v>
      </c>
      <c r="B2537" s="17" t="s">
        <v>236</v>
      </c>
      <c r="C2537" s="17" t="s">
        <v>333</v>
      </c>
      <c r="D2537" s="17" t="s">
        <v>1494</v>
      </c>
      <c r="E2537" s="17" t="s">
        <v>335</v>
      </c>
      <c r="F2537" s="17" t="s">
        <v>39</v>
      </c>
      <c r="G2537" s="17" t="s">
        <v>1493</v>
      </c>
      <c r="H2537" s="18">
        <v>1200</v>
      </c>
      <c r="I2537" s="18">
        <v>1200</v>
      </c>
      <c r="J2537" s="7" t="str">
        <f>IFERROR(_xlfn.XLOOKUP(F2537,ccustos!A:A,ccustos!B:B),"Sem termo")</f>
        <v>COREG</v>
      </c>
    </row>
    <row r="2538" spans="1:10" ht="25.5" customHeight="1" x14ac:dyDescent="0.25">
      <c r="A2538" s="14">
        <v>14334</v>
      </c>
      <c r="B2538" s="7" t="s">
        <v>236</v>
      </c>
      <c r="C2538" s="7" t="s">
        <v>333</v>
      </c>
      <c r="D2538" s="7" t="s">
        <v>1494</v>
      </c>
      <c r="E2538" s="7" t="s">
        <v>335</v>
      </c>
      <c r="F2538" s="7" t="s">
        <v>27</v>
      </c>
      <c r="G2538" s="7" t="s">
        <v>1493</v>
      </c>
      <c r="H2538" s="15">
        <v>1200</v>
      </c>
      <c r="I2538" s="15">
        <v>1200</v>
      </c>
      <c r="J2538" s="7" t="str">
        <f>IFERROR(_xlfn.XLOOKUP(F2538,ccustos!A:A,ccustos!B:B),"Sem termo")</f>
        <v>CCI</v>
      </c>
    </row>
    <row r="2539" spans="1:10" ht="25.5" customHeight="1" x14ac:dyDescent="0.25">
      <c r="A2539" s="16">
        <v>14335</v>
      </c>
      <c r="B2539" s="17" t="s">
        <v>236</v>
      </c>
      <c r="C2539" s="17" t="s">
        <v>333</v>
      </c>
      <c r="D2539" s="17" t="s">
        <v>1494</v>
      </c>
      <c r="E2539" s="17" t="s">
        <v>335</v>
      </c>
      <c r="F2539" s="17" t="s">
        <v>205</v>
      </c>
      <c r="G2539" s="17" t="s">
        <v>1493</v>
      </c>
      <c r="H2539" s="18">
        <v>1200</v>
      </c>
      <c r="I2539" s="18">
        <v>1200</v>
      </c>
      <c r="J2539" s="7" t="str">
        <f>IFERROR(_xlfn.XLOOKUP(F2539,ccustos!A:A,ccustos!B:B),"Sem termo")</f>
        <v>CCOM</v>
      </c>
    </row>
    <row r="2540" spans="1:10" ht="25.5" customHeight="1" x14ac:dyDescent="0.25">
      <c r="A2540" s="14">
        <v>14336</v>
      </c>
      <c r="B2540" s="7" t="s">
        <v>236</v>
      </c>
      <c r="C2540" s="7" t="s">
        <v>333</v>
      </c>
      <c r="D2540" s="7" t="s">
        <v>1494</v>
      </c>
      <c r="E2540" s="7" t="s">
        <v>335</v>
      </c>
      <c r="F2540" s="7" t="s">
        <v>20</v>
      </c>
      <c r="G2540" s="7" t="s">
        <v>1493</v>
      </c>
      <c r="H2540" s="15">
        <v>1200</v>
      </c>
      <c r="I2540" s="15">
        <v>1200</v>
      </c>
      <c r="J2540" s="7" t="str">
        <f>IFERROR(_xlfn.XLOOKUP(F2540,ccustos!A:A,ccustos!B:B),"Sem termo")</f>
        <v>CGTI</v>
      </c>
    </row>
    <row r="2541" spans="1:10" ht="25.5" customHeight="1" x14ac:dyDescent="0.25">
      <c r="A2541" s="16">
        <v>14337</v>
      </c>
      <c r="B2541" s="17" t="s">
        <v>236</v>
      </c>
      <c r="C2541" s="17" t="s">
        <v>333</v>
      </c>
      <c r="D2541" s="17" t="s">
        <v>1494</v>
      </c>
      <c r="E2541" s="17" t="s">
        <v>335</v>
      </c>
      <c r="F2541" s="17" t="s">
        <v>205</v>
      </c>
      <c r="G2541" s="17" t="s">
        <v>1493</v>
      </c>
      <c r="H2541" s="18">
        <v>1200</v>
      </c>
      <c r="I2541" s="18">
        <v>1200</v>
      </c>
      <c r="J2541" s="7" t="str">
        <f>IFERROR(_xlfn.XLOOKUP(F2541,ccustos!A:A,ccustos!B:B),"Sem termo")</f>
        <v>CCOM</v>
      </c>
    </row>
    <row r="2542" spans="1:10" ht="25.5" customHeight="1" x14ac:dyDescent="0.25">
      <c r="A2542" s="14">
        <v>14338</v>
      </c>
      <c r="B2542" s="7" t="s">
        <v>236</v>
      </c>
      <c r="C2542" s="7" t="s">
        <v>333</v>
      </c>
      <c r="D2542" s="7" t="s">
        <v>1494</v>
      </c>
      <c r="E2542" s="7" t="s">
        <v>335</v>
      </c>
      <c r="F2542" s="7" t="s">
        <v>26</v>
      </c>
      <c r="G2542" s="7" t="s">
        <v>1493</v>
      </c>
      <c r="H2542" s="15">
        <v>1200</v>
      </c>
      <c r="I2542" s="15">
        <v>1200</v>
      </c>
      <c r="J2542" s="7" t="str">
        <f>IFERROR(_xlfn.XLOOKUP(F2542,ccustos!A:A,ccustos!B:B),"Sem termo")</f>
        <v>COLOG</v>
      </c>
    </row>
    <row r="2543" spans="1:10" ht="25.5" customHeight="1" x14ac:dyDescent="0.25">
      <c r="A2543" s="16">
        <v>14339</v>
      </c>
      <c r="B2543" s="17" t="s">
        <v>236</v>
      </c>
      <c r="C2543" s="17" t="s">
        <v>333</v>
      </c>
      <c r="D2543" s="17" t="s">
        <v>1494</v>
      </c>
      <c r="E2543" s="17" t="s">
        <v>335</v>
      </c>
      <c r="F2543" s="17" t="s">
        <v>47</v>
      </c>
      <c r="G2543" s="17" t="s">
        <v>1493</v>
      </c>
      <c r="H2543" s="18">
        <v>1200</v>
      </c>
      <c r="I2543" s="18">
        <v>1200</v>
      </c>
      <c r="J2543" s="7" t="str">
        <f>IFERROR(_xlfn.XLOOKUP(F2543,ccustos!A:A,ccustos!B:B),"Sem termo")</f>
        <v>CDPROF</v>
      </c>
    </row>
    <row r="2544" spans="1:10" ht="25.5" customHeight="1" x14ac:dyDescent="0.25">
      <c r="A2544" s="14">
        <v>14340</v>
      </c>
      <c r="B2544" s="7" t="s">
        <v>236</v>
      </c>
      <c r="C2544" s="7" t="s">
        <v>333</v>
      </c>
      <c r="D2544" s="7" t="s">
        <v>1494</v>
      </c>
      <c r="E2544" s="7" t="s">
        <v>335</v>
      </c>
      <c r="F2544" s="7" t="s">
        <v>47</v>
      </c>
      <c r="G2544" s="7" t="s">
        <v>1493</v>
      </c>
      <c r="H2544" s="15">
        <v>1200</v>
      </c>
      <c r="I2544" s="15">
        <v>1200</v>
      </c>
      <c r="J2544" s="7" t="str">
        <f>IFERROR(_xlfn.XLOOKUP(F2544,ccustos!A:A,ccustos!B:B),"Sem termo")</f>
        <v>CDPROF</v>
      </c>
    </row>
    <row r="2545" spans="1:10" ht="25.5" customHeight="1" x14ac:dyDescent="0.25">
      <c r="A2545" s="16">
        <v>14341</v>
      </c>
      <c r="B2545" s="17" t="s">
        <v>236</v>
      </c>
      <c r="C2545" s="17" t="s">
        <v>333</v>
      </c>
      <c r="D2545" s="17" t="s">
        <v>1494</v>
      </c>
      <c r="E2545" s="17" t="s">
        <v>335</v>
      </c>
      <c r="F2545" s="17" t="s">
        <v>55</v>
      </c>
      <c r="G2545" s="17" t="s">
        <v>1493</v>
      </c>
      <c r="H2545" s="18">
        <v>1200</v>
      </c>
      <c r="I2545" s="18">
        <v>1200</v>
      </c>
      <c r="J2545" s="7" t="str">
        <f>IFERROR(_xlfn.XLOOKUP(F2545,ccustos!A:A,ccustos!B:B),"Sem termo")</f>
        <v>DEPAD</v>
      </c>
    </row>
    <row r="2546" spans="1:10" ht="25.5" customHeight="1" x14ac:dyDescent="0.25">
      <c r="A2546" s="14">
        <v>14342</v>
      </c>
      <c r="B2546" s="7" t="s">
        <v>236</v>
      </c>
      <c r="C2546" s="7" t="s">
        <v>333</v>
      </c>
      <c r="D2546" s="7" t="s">
        <v>1494</v>
      </c>
      <c r="E2546" s="7" t="s">
        <v>335</v>
      </c>
      <c r="F2546" s="7" t="s">
        <v>185</v>
      </c>
      <c r="G2546" s="7" t="s">
        <v>1493</v>
      </c>
      <c r="H2546" s="15">
        <v>1200</v>
      </c>
      <c r="I2546" s="15">
        <v>1200</v>
      </c>
      <c r="J2546" s="7" t="str">
        <f>IFERROR(_xlfn.XLOOKUP(F2546,ccustos!A:A,ccustos!B:B),"Sem termo")</f>
        <v>CGGE</v>
      </c>
    </row>
    <row r="2547" spans="1:10" ht="25.5" customHeight="1" x14ac:dyDescent="0.25">
      <c r="A2547" s="16">
        <v>14343</v>
      </c>
      <c r="B2547" s="17" t="s">
        <v>236</v>
      </c>
      <c r="C2547" s="17" t="s">
        <v>333</v>
      </c>
      <c r="D2547" s="17" t="s">
        <v>1494</v>
      </c>
      <c r="E2547" s="17" t="s">
        <v>335</v>
      </c>
      <c r="F2547" s="17" t="s">
        <v>19</v>
      </c>
      <c r="G2547" s="17" t="s">
        <v>1493</v>
      </c>
      <c r="H2547" s="18">
        <v>1200</v>
      </c>
      <c r="I2547" s="18">
        <v>1200</v>
      </c>
      <c r="J2547" s="7" t="str">
        <f>IFERROR(_xlfn.XLOOKUP(F2547,ccustos!A:A,ccustos!B:B),"Sem termo")</f>
        <v>SEGED</v>
      </c>
    </row>
    <row r="2548" spans="1:10" ht="25.5" customHeight="1" x14ac:dyDescent="0.25">
      <c r="A2548" s="14">
        <v>14344</v>
      </c>
      <c r="B2548" s="7" t="s">
        <v>236</v>
      </c>
      <c r="C2548" s="7" t="s">
        <v>333</v>
      </c>
      <c r="D2548" s="7" t="s">
        <v>1494</v>
      </c>
      <c r="E2548" s="7" t="s">
        <v>335</v>
      </c>
      <c r="F2548" s="7" t="s">
        <v>185</v>
      </c>
      <c r="G2548" s="7" t="s">
        <v>1493</v>
      </c>
      <c r="H2548" s="15">
        <v>1200</v>
      </c>
      <c r="I2548" s="15">
        <v>1200</v>
      </c>
      <c r="J2548" s="7" t="str">
        <f>IFERROR(_xlfn.XLOOKUP(F2548,ccustos!A:A,ccustos!B:B),"Sem termo")</f>
        <v>CGGE</v>
      </c>
    </row>
    <row r="2549" spans="1:10" ht="25.5" customHeight="1" x14ac:dyDescent="0.25">
      <c r="A2549" s="16">
        <v>14345</v>
      </c>
      <c r="B2549" s="17" t="s">
        <v>236</v>
      </c>
      <c r="C2549" s="17" t="s">
        <v>333</v>
      </c>
      <c r="D2549" s="17" t="s">
        <v>1494</v>
      </c>
      <c r="E2549" s="17" t="s">
        <v>335</v>
      </c>
      <c r="F2549" s="17" t="s">
        <v>60</v>
      </c>
      <c r="G2549" s="17" t="s">
        <v>1493</v>
      </c>
      <c r="H2549" s="18">
        <v>1200</v>
      </c>
      <c r="I2549" s="18">
        <v>1200</v>
      </c>
      <c r="J2549" s="7" t="str">
        <f>IFERROR(_xlfn.XLOOKUP(F2549,ccustos!A:A,ccustos!B:B),"Sem termo")</f>
        <v>DEGEP</v>
      </c>
    </row>
    <row r="2550" spans="1:10" ht="25.5" customHeight="1" x14ac:dyDescent="0.25">
      <c r="A2550" s="14">
        <v>14346</v>
      </c>
      <c r="B2550" s="7" t="s">
        <v>236</v>
      </c>
      <c r="C2550" s="7" t="s">
        <v>333</v>
      </c>
      <c r="D2550" s="7" t="s">
        <v>1494</v>
      </c>
      <c r="E2550" s="7" t="s">
        <v>335</v>
      </c>
      <c r="F2550" s="7" t="s">
        <v>53</v>
      </c>
      <c r="G2550" s="7" t="s">
        <v>1493</v>
      </c>
      <c r="H2550" s="15">
        <v>1200</v>
      </c>
      <c r="I2550" s="15">
        <v>1200</v>
      </c>
      <c r="J2550" s="7" t="str">
        <f>IFERROR(_xlfn.XLOOKUP(F2550,ccustos!A:A,ccustos!B:B),"Sem termo")</f>
        <v>DELIC</v>
      </c>
    </row>
    <row r="2551" spans="1:10" ht="25.5" customHeight="1" x14ac:dyDescent="0.25">
      <c r="A2551" s="16">
        <v>14347</v>
      </c>
      <c r="B2551" s="17" t="s">
        <v>236</v>
      </c>
      <c r="C2551" s="17" t="s">
        <v>333</v>
      </c>
      <c r="D2551" s="17" t="s">
        <v>1494</v>
      </c>
      <c r="E2551" s="17" t="s">
        <v>335</v>
      </c>
      <c r="F2551" s="17" t="s">
        <v>20</v>
      </c>
      <c r="G2551" s="17" t="s">
        <v>1493</v>
      </c>
      <c r="H2551" s="18">
        <v>1200</v>
      </c>
      <c r="I2551" s="18">
        <v>1200</v>
      </c>
      <c r="J2551" s="7" t="str">
        <f>IFERROR(_xlfn.XLOOKUP(F2551,ccustos!A:A,ccustos!B:B),"Sem termo")</f>
        <v>CGTI</v>
      </c>
    </row>
    <row r="2552" spans="1:10" ht="36.75" customHeight="1" x14ac:dyDescent="0.25">
      <c r="A2552" s="14">
        <v>14348</v>
      </c>
      <c r="B2552" s="7" t="s">
        <v>236</v>
      </c>
      <c r="C2552" s="7" t="s">
        <v>333</v>
      </c>
      <c r="D2552" s="7" t="s">
        <v>1494</v>
      </c>
      <c r="E2552" s="7" t="s">
        <v>335</v>
      </c>
      <c r="F2552" s="7" t="s">
        <v>48</v>
      </c>
      <c r="G2552" s="7" t="s">
        <v>1493</v>
      </c>
      <c r="H2552" s="15">
        <v>1200</v>
      </c>
      <c r="I2552" s="15">
        <v>1200</v>
      </c>
      <c r="J2552" s="7" t="str">
        <f>IFERROR(_xlfn.XLOOKUP(F2552,ccustos!A:A,ccustos!B:B),"Sem termo")</f>
        <v>DEPES</v>
      </c>
    </row>
    <row r="2553" spans="1:10" ht="25.5" customHeight="1" x14ac:dyDescent="0.25">
      <c r="A2553" s="16">
        <v>14349</v>
      </c>
      <c r="B2553" s="17" t="s">
        <v>236</v>
      </c>
      <c r="C2553" s="17" t="s">
        <v>333</v>
      </c>
      <c r="D2553" s="17" t="s">
        <v>1494</v>
      </c>
      <c r="E2553" s="17" t="s">
        <v>335</v>
      </c>
      <c r="F2553" s="17" t="s">
        <v>39</v>
      </c>
      <c r="G2553" s="17" t="s">
        <v>1493</v>
      </c>
      <c r="H2553" s="18">
        <v>1200</v>
      </c>
      <c r="I2553" s="18">
        <v>1200</v>
      </c>
      <c r="J2553" s="7" t="str">
        <f>IFERROR(_xlfn.XLOOKUP(F2553,ccustos!A:A,ccustos!B:B),"Sem termo")</f>
        <v>COREG</v>
      </c>
    </row>
    <row r="2554" spans="1:10" ht="25.5" customHeight="1" x14ac:dyDescent="0.25">
      <c r="A2554" s="14">
        <v>14350</v>
      </c>
      <c r="B2554" s="7" t="s">
        <v>236</v>
      </c>
      <c r="C2554" s="7" t="s">
        <v>1495</v>
      </c>
      <c r="D2554" s="7" t="s">
        <v>1496</v>
      </c>
      <c r="E2554" s="7" t="s">
        <v>1410</v>
      </c>
      <c r="F2554" s="7" t="s">
        <v>183</v>
      </c>
      <c r="G2554" s="7" t="s">
        <v>1497</v>
      </c>
      <c r="H2554" s="15">
        <v>271260</v>
      </c>
      <c r="I2554" s="15">
        <v>271260</v>
      </c>
      <c r="J2554" s="7" t="str">
        <f>IFERROR(_xlfn.XLOOKUP(F2554,ccustos!A:A,ccustos!B:B),"Sem termo")</f>
        <v>CGTI</v>
      </c>
    </row>
    <row r="2555" spans="1:10" ht="25.5" customHeight="1" x14ac:dyDescent="0.25">
      <c r="A2555" s="16">
        <v>14351</v>
      </c>
      <c r="B2555" s="17" t="s">
        <v>236</v>
      </c>
      <c r="C2555" s="17" t="s">
        <v>1498</v>
      </c>
      <c r="D2555" s="17" t="s">
        <v>1499</v>
      </c>
      <c r="E2555" s="17" t="s">
        <v>1410</v>
      </c>
      <c r="F2555" s="17" t="s">
        <v>183</v>
      </c>
      <c r="G2555" s="17" t="s">
        <v>1500</v>
      </c>
      <c r="H2555" s="18">
        <v>18180</v>
      </c>
      <c r="I2555" s="18">
        <v>18180</v>
      </c>
      <c r="J2555" s="7" t="str">
        <f>IFERROR(_xlfn.XLOOKUP(F2555,ccustos!A:A,ccustos!B:B),"Sem termo")</f>
        <v>CGTI</v>
      </c>
    </row>
    <row r="2556" spans="1:10" ht="25.5" customHeight="1" x14ac:dyDescent="0.25">
      <c r="A2556" s="14">
        <v>14352</v>
      </c>
      <c r="B2556" s="7" t="s">
        <v>236</v>
      </c>
      <c r="C2556" s="7" t="s">
        <v>1498</v>
      </c>
      <c r="D2556" s="7" t="s">
        <v>1501</v>
      </c>
      <c r="E2556" s="7" t="s">
        <v>1410</v>
      </c>
      <c r="F2556" s="7" t="s">
        <v>183</v>
      </c>
      <c r="G2556" s="7" t="s">
        <v>1500</v>
      </c>
      <c r="H2556" s="15">
        <v>41899.800000000003</v>
      </c>
      <c r="I2556" s="15">
        <v>41899.800000000003</v>
      </c>
      <c r="J2556" s="7" t="str">
        <f>IFERROR(_xlfn.XLOOKUP(F2556,ccustos!A:A,ccustos!B:B),"Sem termo")</f>
        <v>CGTI</v>
      </c>
    </row>
    <row r="2557" spans="1:10" ht="25.5" customHeight="1" x14ac:dyDescent="0.25">
      <c r="A2557" s="16">
        <v>14353</v>
      </c>
      <c r="B2557" s="17" t="s">
        <v>236</v>
      </c>
      <c r="C2557" s="17" t="s">
        <v>1498</v>
      </c>
      <c r="D2557" s="17" t="s">
        <v>1502</v>
      </c>
      <c r="E2557" s="17" t="s">
        <v>1410</v>
      </c>
      <c r="F2557" s="17" t="s">
        <v>1411</v>
      </c>
      <c r="G2557" s="17" t="s">
        <v>1500</v>
      </c>
      <c r="H2557" s="18">
        <v>65930</v>
      </c>
      <c r="I2557" s="18">
        <v>65930</v>
      </c>
      <c r="J2557" s="7" t="str">
        <f>IFERROR(_xlfn.XLOOKUP(F2557,ccustos!A:A,ccustos!B:B),"Sem termo")</f>
        <v>Sem termo</v>
      </c>
    </row>
    <row r="2558" spans="1:10" ht="25.5" customHeight="1" x14ac:dyDescent="0.25">
      <c r="A2558" s="14">
        <v>14354</v>
      </c>
      <c r="B2558" s="7" t="s">
        <v>236</v>
      </c>
      <c r="C2558" s="7" t="s">
        <v>1498</v>
      </c>
      <c r="D2558" s="7" t="s">
        <v>1503</v>
      </c>
      <c r="E2558" s="7" t="s">
        <v>1410</v>
      </c>
      <c r="F2558" s="7" t="s">
        <v>1411</v>
      </c>
      <c r="G2558" s="7" t="s">
        <v>1504</v>
      </c>
      <c r="H2558" s="15">
        <v>3270</v>
      </c>
      <c r="I2558" s="15">
        <v>3270</v>
      </c>
      <c r="J2558" s="7" t="str">
        <f>IFERROR(_xlfn.XLOOKUP(F2558,ccustos!A:A,ccustos!B:B),"Sem termo")</f>
        <v>Sem termo</v>
      </c>
    </row>
    <row r="2559" spans="1:10" ht="25.5" customHeight="1" x14ac:dyDescent="0.25">
      <c r="A2559" s="16">
        <v>14355</v>
      </c>
      <c r="B2559" s="17" t="s">
        <v>236</v>
      </c>
      <c r="C2559" s="17" t="s">
        <v>1271</v>
      </c>
      <c r="D2559" s="17" t="s">
        <v>1505</v>
      </c>
      <c r="E2559" s="17" t="s">
        <v>335</v>
      </c>
      <c r="F2559" s="17" t="s">
        <v>190</v>
      </c>
      <c r="G2559" s="17" t="s">
        <v>1506</v>
      </c>
      <c r="H2559" s="18">
        <v>5499.99</v>
      </c>
      <c r="I2559" s="18">
        <v>5499.99</v>
      </c>
      <c r="J2559" s="7" t="str">
        <f>IFERROR(_xlfn.XLOOKUP(F2559,ccustos!A:A,ccustos!B:B),"Sem termo")</f>
        <v>TERMOS INDIVIDUAIS</v>
      </c>
    </row>
    <row r="2560" spans="1:10" ht="25.5" customHeight="1" x14ac:dyDescent="0.25">
      <c r="A2560" s="14">
        <v>14356</v>
      </c>
      <c r="B2560" s="7" t="s">
        <v>236</v>
      </c>
      <c r="C2560" s="7" t="s">
        <v>1271</v>
      </c>
      <c r="D2560" s="7" t="s">
        <v>1505</v>
      </c>
      <c r="E2560" s="7" t="s">
        <v>335</v>
      </c>
      <c r="F2560" s="7" t="s">
        <v>190</v>
      </c>
      <c r="G2560" s="7" t="s">
        <v>1506</v>
      </c>
      <c r="H2560" s="15">
        <v>5499.99</v>
      </c>
      <c r="I2560" s="15">
        <v>5499.99</v>
      </c>
      <c r="J2560" s="7" t="str">
        <f>IFERROR(_xlfn.XLOOKUP(F2560,ccustos!A:A,ccustos!B:B),"Sem termo")</f>
        <v>TERMOS INDIVIDUAIS</v>
      </c>
    </row>
    <row r="2561" spans="1:10" ht="25.5" customHeight="1" x14ac:dyDescent="0.25">
      <c r="A2561" s="16">
        <v>14357</v>
      </c>
      <c r="B2561" s="17" t="s">
        <v>236</v>
      </c>
      <c r="C2561" s="17" t="s">
        <v>1271</v>
      </c>
      <c r="D2561" s="17" t="s">
        <v>1505</v>
      </c>
      <c r="E2561" s="17" t="s">
        <v>335</v>
      </c>
      <c r="F2561" s="17" t="s">
        <v>190</v>
      </c>
      <c r="G2561" s="17" t="s">
        <v>1506</v>
      </c>
      <c r="H2561" s="18">
        <v>5499.99</v>
      </c>
      <c r="I2561" s="18">
        <v>5499.99</v>
      </c>
      <c r="J2561" s="7" t="str">
        <f>IFERROR(_xlfn.XLOOKUP(F2561,ccustos!A:A,ccustos!B:B),"Sem termo")</f>
        <v>TERMOS INDIVIDUAIS</v>
      </c>
    </row>
    <row r="2562" spans="1:10" ht="36.75" customHeight="1" x14ac:dyDescent="0.25">
      <c r="A2562" s="14">
        <v>14358</v>
      </c>
      <c r="B2562" s="7" t="s">
        <v>236</v>
      </c>
      <c r="C2562" s="7" t="s">
        <v>1271</v>
      </c>
      <c r="D2562" s="7" t="s">
        <v>1505</v>
      </c>
      <c r="E2562" s="7" t="s">
        <v>335</v>
      </c>
      <c r="F2562" s="7" t="s">
        <v>60</v>
      </c>
      <c r="G2562" s="7" t="s">
        <v>1506</v>
      </c>
      <c r="H2562" s="15">
        <v>5499.99</v>
      </c>
      <c r="I2562" s="15">
        <v>5499.99</v>
      </c>
      <c r="J2562" s="7" t="str">
        <f>IFERROR(_xlfn.XLOOKUP(F2562,ccustos!A:A,ccustos!B:B),"Sem termo")</f>
        <v>DEGEP</v>
      </c>
    </row>
    <row r="2563" spans="1:10" ht="36.75" customHeight="1" x14ac:dyDescent="0.25">
      <c r="A2563" s="16">
        <v>14359</v>
      </c>
      <c r="B2563" s="17" t="s">
        <v>236</v>
      </c>
      <c r="C2563" s="17" t="s">
        <v>1271</v>
      </c>
      <c r="D2563" s="17" t="s">
        <v>1505</v>
      </c>
      <c r="E2563" s="17" t="s">
        <v>335</v>
      </c>
      <c r="F2563" s="17" t="s">
        <v>190</v>
      </c>
      <c r="G2563" s="17" t="s">
        <v>1506</v>
      </c>
      <c r="H2563" s="18">
        <v>5499.99</v>
      </c>
      <c r="I2563" s="18">
        <v>5499.99</v>
      </c>
      <c r="J2563" s="7" t="str">
        <f>IFERROR(_xlfn.XLOOKUP(F2563,ccustos!A:A,ccustos!B:B),"Sem termo")</f>
        <v>TERMOS INDIVIDUAIS</v>
      </c>
    </row>
    <row r="2564" spans="1:10" ht="25.5" customHeight="1" x14ac:dyDescent="0.25">
      <c r="A2564" s="14">
        <v>14361</v>
      </c>
      <c r="B2564" s="7" t="s">
        <v>236</v>
      </c>
      <c r="C2564" s="7" t="s">
        <v>1271</v>
      </c>
      <c r="D2564" s="7" t="s">
        <v>1505</v>
      </c>
      <c r="E2564" s="7" t="s">
        <v>335</v>
      </c>
      <c r="F2564" s="7" t="s">
        <v>190</v>
      </c>
      <c r="G2564" s="7" t="s">
        <v>1506</v>
      </c>
      <c r="H2564" s="15">
        <v>5499.99</v>
      </c>
      <c r="I2564" s="15">
        <v>5499.99</v>
      </c>
      <c r="J2564" s="7" t="str">
        <f>IFERROR(_xlfn.XLOOKUP(F2564,ccustos!A:A,ccustos!B:B),"Sem termo")</f>
        <v>TERMOS INDIVIDUAIS</v>
      </c>
    </row>
    <row r="2565" spans="1:10" ht="25.5" customHeight="1" x14ac:dyDescent="0.25">
      <c r="A2565" s="16">
        <v>14362</v>
      </c>
      <c r="B2565" s="17" t="s">
        <v>236</v>
      </c>
      <c r="C2565" s="17" t="s">
        <v>1271</v>
      </c>
      <c r="D2565" s="17" t="s">
        <v>1505</v>
      </c>
      <c r="E2565" s="17" t="s">
        <v>335</v>
      </c>
      <c r="F2565" s="17" t="s">
        <v>190</v>
      </c>
      <c r="G2565" s="17" t="s">
        <v>1506</v>
      </c>
      <c r="H2565" s="18">
        <v>5499.99</v>
      </c>
      <c r="I2565" s="18">
        <v>5499.99</v>
      </c>
      <c r="J2565" s="7" t="str">
        <f>IFERROR(_xlfn.XLOOKUP(F2565,ccustos!A:A,ccustos!B:B),"Sem termo")</f>
        <v>TERMOS INDIVIDUAIS</v>
      </c>
    </row>
    <row r="2566" spans="1:10" ht="14.25" customHeight="1" x14ac:dyDescent="0.25">
      <c r="A2566" s="14">
        <v>14363</v>
      </c>
      <c r="B2566" s="7" t="s">
        <v>236</v>
      </c>
      <c r="C2566" s="7" t="s">
        <v>1271</v>
      </c>
      <c r="D2566" s="7" t="s">
        <v>1505</v>
      </c>
      <c r="E2566" s="7" t="s">
        <v>335</v>
      </c>
      <c r="F2566" s="7" t="s">
        <v>30</v>
      </c>
      <c r="G2566" s="7" t="s">
        <v>1506</v>
      </c>
      <c r="H2566" s="15">
        <v>5499.99</v>
      </c>
      <c r="I2566" s="15">
        <v>5499.99</v>
      </c>
      <c r="J2566" s="7" t="str">
        <f>IFERROR(_xlfn.XLOOKUP(F2566,ccustos!A:A,ccustos!B:B),"Sem termo")</f>
        <v>COFIS</v>
      </c>
    </row>
    <row r="2567" spans="1:10" ht="36.75" customHeight="1" x14ac:dyDescent="0.25">
      <c r="A2567" s="16">
        <v>14364</v>
      </c>
      <c r="B2567" s="17" t="s">
        <v>236</v>
      </c>
      <c r="C2567" s="17" t="s">
        <v>1271</v>
      </c>
      <c r="D2567" s="17" t="s">
        <v>1505</v>
      </c>
      <c r="E2567" s="17" t="s">
        <v>335</v>
      </c>
      <c r="F2567" s="17" t="s">
        <v>190</v>
      </c>
      <c r="G2567" s="17" t="s">
        <v>1506</v>
      </c>
      <c r="H2567" s="18">
        <v>5499.99</v>
      </c>
      <c r="I2567" s="18">
        <v>5499.99</v>
      </c>
      <c r="J2567" s="7" t="str">
        <f>IFERROR(_xlfn.XLOOKUP(F2567,ccustos!A:A,ccustos!B:B),"Sem termo")</f>
        <v>TERMOS INDIVIDUAIS</v>
      </c>
    </row>
    <row r="2568" spans="1:10" ht="25.5" customHeight="1" x14ac:dyDescent="0.25">
      <c r="A2568" s="14">
        <v>14365</v>
      </c>
      <c r="B2568" s="7" t="s">
        <v>236</v>
      </c>
      <c r="C2568" s="7" t="s">
        <v>1271</v>
      </c>
      <c r="D2568" s="7" t="s">
        <v>1505</v>
      </c>
      <c r="E2568" s="7" t="s">
        <v>335</v>
      </c>
      <c r="F2568" s="7" t="s">
        <v>190</v>
      </c>
      <c r="G2568" s="7" t="s">
        <v>1506</v>
      </c>
      <c r="H2568" s="15">
        <v>5499.99</v>
      </c>
      <c r="I2568" s="15">
        <v>5499.99</v>
      </c>
      <c r="J2568" s="7" t="str">
        <f>IFERROR(_xlfn.XLOOKUP(F2568,ccustos!A:A,ccustos!B:B),"Sem termo")</f>
        <v>TERMOS INDIVIDUAIS</v>
      </c>
    </row>
    <row r="2569" spans="1:10" ht="25.5" customHeight="1" x14ac:dyDescent="0.25">
      <c r="A2569" s="16">
        <v>14366</v>
      </c>
      <c r="B2569" s="17" t="s">
        <v>236</v>
      </c>
      <c r="C2569" s="17" t="s">
        <v>1271</v>
      </c>
      <c r="D2569" s="17" t="s">
        <v>1505</v>
      </c>
      <c r="E2569" s="17" t="s">
        <v>335</v>
      </c>
      <c r="F2569" s="17" t="s">
        <v>190</v>
      </c>
      <c r="G2569" s="17" t="s">
        <v>1506</v>
      </c>
      <c r="H2569" s="18">
        <v>5499.99</v>
      </c>
      <c r="I2569" s="18">
        <v>5499.99</v>
      </c>
      <c r="J2569" s="7" t="str">
        <f>IFERROR(_xlfn.XLOOKUP(F2569,ccustos!A:A,ccustos!B:B),"Sem termo")</f>
        <v>TERMOS INDIVIDUAIS</v>
      </c>
    </row>
    <row r="2570" spans="1:10" ht="25.5" customHeight="1" x14ac:dyDescent="0.25">
      <c r="A2570" s="14">
        <v>14367</v>
      </c>
      <c r="B2570" s="7" t="s">
        <v>236</v>
      </c>
      <c r="C2570" s="7" t="s">
        <v>1271</v>
      </c>
      <c r="D2570" s="7" t="s">
        <v>1505</v>
      </c>
      <c r="E2570" s="7" t="s">
        <v>335</v>
      </c>
      <c r="F2570" s="7" t="s">
        <v>190</v>
      </c>
      <c r="G2570" s="7" t="s">
        <v>1506</v>
      </c>
      <c r="H2570" s="15">
        <v>5499.99</v>
      </c>
      <c r="I2570" s="15">
        <v>5499.99</v>
      </c>
      <c r="J2570" s="7" t="str">
        <f>IFERROR(_xlfn.XLOOKUP(F2570,ccustos!A:A,ccustos!B:B),"Sem termo")</f>
        <v>TERMOS INDIVIDUAIS</v>
      </c>
    </row>
    <row r="2571" spans="1:10" ht="25.5" customHeight="1" x14ac:dyDescent="0.25">
      <c r="A2571" s="16">
        <v>14368</v>
      </c>
      <c r="B2571" s="17" t="s">
        <v>236</v>
      </c>
      <c r="C2571" s="17" t="s">
        <v>1271</v>
      </c>
      <c r="D2571" s="17" t="s">
        <v>1505</v>
      </c>
      <c r="E2571" s="17" t="s">
        <v>335</v>
      </c>
      <c r="F2571" s="17" t="s">
        <v>190</v>
      </c>
      <c r="G2571" s="17" t="s">
        <v>1506</v>
      </c>
      <c r="H2571" s="18">
        <v>5499.99</v>
      </c>
      <c r="I2571" s="18">
        <v>5499.99</v>
      </c>
      <c r="J2571" s="7" t="str">
        <f>IFERROR(_xlfn.XLOOKUP(F2571,ccustos!A:A,ccustos!B:B),"Sem termo")</f>
        <v>TERMOS INDIVIDUAIS</v>
      </c>
    </row>
    <row r="2572" spans="1:10" ht="25.5" customHeight="1" x14ac:dyDescent="0.25">
      <c r="A2572" s="14">
        <v>14369</v>
      </c>
      <c r="B2572" s="7" t="s">
        <v>236</v>
      </c>
      <c r="C2572" s="7" t="s">
        <v>1271</v>
      </c>
      <c r="D2572" s="7" t="s">
        <v>1505</v>
      </c>
      <c r="E2572" s="7" t="s">
        <v>335</v>
      </c>
      <c r="F2572" s="7" t="s">
        <v>20</v>
      </c>
      <c r="G2572" s="7" t="s">
        <v>1506</v>
      </c>
      <c r="H2572" s="15">
        <v>5499.99</v>
      </c>
      <c r="I2572" s="15">
        <v>5499.99</v>
      </c>
      <c r="J2572" s="7" t="str">
        <f>IFERROR(_xlfn.XLOOKUP(F2572,ccustos!A:A,ccustos!B:B),"Sem termo")</f>
        <v>CGTI</v>
      </c>
    </row>
    <row r="2573" spans="1:10" ht="25.5" customHeight="1" x14ac:dyDescent="0.25">
      <c r="A2573" s="16">
        <v>14370</v>
      </c>
      <c r="B2573" s="17" t="s">
        <v>236</v>
      </c>
      <c r="C2573" s="17" t="s">
        <v>1271</v>
      </c>
      <c r="D2573" s="17" t="s">
        <v>1505</v>
      </c>
      <c r="E2573" s="17" t="s">
        <v>335</v>
      </c>
      <c r="F2573" s="17" t="s">
        <v>190</v>
      </c>
      <c r="G2573" s="17" t="s">
        <v>1506</v>
      </c>
      <c r="H2573" s="18">
        <v>5499.99</v>
      </c>
      <c r="I2573" s="18">
        <v>5499.99</v>
      </c>
      <c r="J2573" s="7" t="str">
        <f>IFERROR(_xlfn.XLOOKUP(F2573,ccustos!A:A,ccustos!B:B),"Sem termo")</f>
        <v>TERMOS INDIVIDUAIS</v>
      </c>
    </row>
    <row r="2574" spans="1:10" ht="25.5" customHeight="1" x14ac:dyDescent="0.25">
      <c r="A2574" s="14">
        <v>14371</v>
      </c>
      <c r="B2574" s="7" t="s">
        <v>236</v>
      </c>
      <c r="C2574" s="7" t="s">
        <v>1271</v>
      </c>
      <c r="D2574" s="7" t="s">
        <v>1505</v>
      </c>
      <c r="E2574" s="7" t="s">
        <v>335</v>
      </c>
      <c r="F2574" s="7" t="s">
        <v>190</v>
      </c>
      <c r="G2574" s="7" t="s">
        <v>1506</v>
      </c>
      <c r="H2574" s="15">
        <v>5499.99</v>
      </c>
      <c r="I2574" s="15">
        <v>5499.99</v>
      </c>
      <c r="J2574" s="7" t="str">
        <f>IFERROR(_xlfn.XLOOKUP(F2574,ccustos!A:A,ccustos!B:B),"Sem termo")</f>
        <v>TERMOS INDIVIDUAIS</v>
      </c>
    </row>
    <row r="2575" spans="1:10" ht="25.5" customHeight="1" x14ac:dyDescent="0.25">
      <c r="A2575" s="16">
        <v>14372</v>
      </c>
      <c r="B2575" s="17" t="s">
        <v>236</v>
      </c>
      <c r="C2575" s="17" t="s">
        <v>1271</v>
      </c>
      <c r="D2575" s="17" t="s">
        <v>1505</v>
      </c>
      <c r="E2575" s="17" t="s">
        <v>335</v>
      </c>
      <c r="F2575" s="17" t="s">
        <v>190</v>
      </c>
      <c r="G2575" s="17" t="s">
        <v>1506</v>
      </c>
      <c r="H2575" s="18">
        <v>5499.99</v>
      </c>
      <c r="I2575" s="18">
        <v>5499.99</v>
      </c>
      <c r="J2575" s="7" t="str">
        <f>IFERROR(_xlfn.XLOOKUP(F2575,ccustos!A:A,ccustos!B:B),"Sem termo")</f>
        <v>TERMOS INDIVIDUAIS</v>
      </c>
    </row>
    <row r="2576" spans="1:10" ht="25.5" customHeight="1" x14ac:dyDescent="0.25">
      <c r="A2576" s="14">
        <v>14373</v>
      </c>
      <c r="B2576" s="7" t="s">
        <v>236</v>
      </c>
      <c r="C2576" s="7" t="s">
        <v>1271</v>
      </c>
      <c r="D2576" s="7" t="s">
        <v>1505</v>
      </c>
      <c r="E2576" s="7" t="s">
        <v>335</v>
      </c>
      <c r="F2576" s="7" t="s">
        <v>190</v>
      </c>
      <c r="G2576" s="7" t="s">
        <v>1506</v>
      </c>
      <c r="H2576" s="15">
        <v>5499.99</v>
      </c>
      <c r="I2576" s="15">
        <v>5499.99</v>
      </c>
      <c r="J2576" s="7" t="str">
        <f>IFERROR(_xlfn.XLOOKUP(F2576,ccustos!A:A,ccustos!B:B),"Sem termo")</f>
        <v>TERMOS INDIVIDUAIS</v>
      </c>
    </row>
    <row r="2577" spans="1:10" ht="14.25" customHeight="1" x14ac:dyDescent="0.25">
      <c r="A2577" s="16">
        <v>14374</v>
      </c>
      <c r="B2577" s="17" t="s">
        <v>236</v>
      </c>
      <c r="C2577" s="17" t="s">
        <v>1271</v>
      </c>
      <c r="D2577" s="17" t="s">
        <v>1505</v>
      </c>
      <c r="E2577" s="17" t="s">
        <v>335</v>
      </c>
      <c r="F2577" s="17" t="s">
        <v>190</v>
      </c>
      <c r="G2577" s="17" t="s">
        <v>1506</v>
      </c>
      <c r="H2577" s="18">
        <v>5499.99</v>
      </c>
      <c r="I2577" s="18">
        <v>5499.99</v>
      </c>
      <c r="J2577" s="7" t="str">
        <f>IFERROR(_xlfn.XLOOKUP(F2577,ccustos!A:A,ccustos!B:B),"Sem termo")</f>
        <v>TERMOS INDIVIDUAIS</v>
      </c>
    </row>
    <row r="2578" spans="1:10" ht="25.5" customHeight="1" x14ac:dyDescent="0.25">
      <c r="A2578" s="14">
        <v>14375</v>
      </c>
      <c r="B2578" s="7" t="s">
        <v>236</v>
      </c>
      <c r="C2578" s="7" t="s">
        <v>1271</v>
      </c>
      <c r="D2578" s="7" t="s">
        <v>1505</v>
      </c>
      <c r="E2578" s="7" t="s">
        <v>335</v>
      </c>
      <c r="F2578" s="7" t="s">
        <v>190</v>
      </c>
      <c r="G2578" s="7" t="s">
        <v>1506</v>
      </c>
      <c r="H2578" s="15">
        <v>5499.99</v>
      </c>
      <c r="I2578" s="15">
        <v>5499.99</v>
      </c>
      <c r="J2578" s="7" t="str">
        <f>IFERROR(_xlfn.XLOOKUP(F2578,ccustos!A:A,ccustos!B:B),"Sem termo")</f>
        <v>TERMOS INDIVIDUAIS</v>
      </c>
    </row>
    <row r="2579" spans="1:10" ht="25.5" customHeight="1" x14ac:dyDescent="0.25">
      <c r="A2579" s="16">
        <v>14376</v>
      </c>
      <c r="B2579" s="17" t="s">
        <v>236</v>
      </c>
      <c r="C2579" s="17" t="s">
        <v>1271</v>
      </c>
      <c r="D2579" s="17" t="s">
        <v>1505</v>
      </c>
      <c r="E2579" s="17" t="s">
        <v>335</v>
      </c>
      <c r="F2579" s="17" t="s">
        <v>83</v>
      </c>
      <c r="G2579" s="17" t="s">
        <v>1506</v>
      </c>
      <c r="H2579" s="18">
        <v>5499.99</v>
      </c>
      <c r="I2579" s="18">
        <v>5499.99</v>
      </c>
      <c r="J2579" s="7" t="str">
        <f>IFERROR(_xlfn.XLOOKUP(F2579,ccustos!A:A,ccustos!B:B),"Sem termo")</f>
        <v>GABIN</v>
      </c>
    </row>
    <row r="2580" spans="1:10" ht="25.5" customHeight="1" x14ac:dyDescent="0.25">
      <c r="A2580" s="14">
        <v>14377</v>
      </c>
      <c r="B2580" s="7" t="s">
        <v>236</v>
      </c>
      <c r="C2580" s="7" t="s">
        <v>1271</v>
      </c>
      <c r="D2580" s="7" t="s">
        <v>1505</v>
      </c>
      <c r="E2580" s="7" t="s">
        <v>335</v>
      </c>
      <c r="F2580" s="7" t="s">
        <v>190</v>
      </c>
      <c r="G2580" s="7" t="s">
        <v>1506</v>
      </c>
      <c r="H2580" s="15">
        <v>5499.99</v>
      </c>
      <c r="I2580" s="15">
        <v>5499.99</v>
      </c>
      <c r="J2580" s="7" t="str">
        <f>IFERROR(_xlfn.XLOOKUP(F2580,ccustos!A:A,ccustos!B:B),"Sem termo")</f>
        <v>TERMOS INDIVIDUAIS</v>
      </c>
    </row>
    <row r="2581" spans="1:10" ht="25.5" customHeight="1" x14ac:dyDescent="0.25">
      <c r="A2581" s="16">
        <v>14378</v>
      </c>
      <c r="B2581" s="17" t="s">
        <v>236</v>
      </c>
      <c r="C2581" s="17" t="s">
        <v>1271</v>
      </c>
      <c r="D2581" s="17" t="s">
        <v>1505</v>
      </c>
      <c r="E2581" s="17" t="s">
        <v>335</v>
      </c>
      <c r="F2581" s="17" t="s">
        <v>190</v>
      </c>
      <c r="G2581" s="17" t="s">
        <v>1506</v>
      </c>
      <c r="H2581" s="18">
        <v>5499.99</v>
      </c>
      <c r="I2581" s="18">
        <v>5499.99</v>
      </c>
      <c r="J2581" s="7" t="str">
        <f>IFERROR(_xlfn.XLOOKUP(F2581,ccustos!A:A,ccustos!B:B),"Sem termo")</f>
        <v>TERMOS INDIVIDUAIS</v>
      </c>
    </row>
    <row r="2582" spans="1:10" ht="25.5" customHeight="1" x14ac:dyDescent="0.25">
      <c r="A2582" s="14">
        <v>14379</v>
      </c>
      <c r="B2582" s="7" t="s">
        <v>236</v>
      </c>
      <c r="C2582" s="7" t="s">
        <v>1271</v>
      </c>
      <c r="D2582" s="7" t="s">
        <v>1505</v>
      </c>
      <c r="E2582" s="7" t="s">
        <v>335</v>
      </c>
      <c r="F2582" s="7" t="s">
        <v>190</v>
      </c>
      <c r="G2582" s="7" t="s">
        <v>1506</v>
      </c>
      <c r="H2582" s="15">
        <v>5499.99</v>
      </c>
      <c r="I2582" s="15">
        <v>5499.99</v>
      </c>
      <c r="J2582" s="7" t="str">
        <f>IFERROR(_xlfn.XLOOKUP(F2582,ccustos!A:A,ccustos!B:B),"Sem termo")</f>
        <v>TERMOS INDIVIDUAIS</v>
      </c>
    </row>
    <row r="2583" spans="1:10" ht="25.5" customHeight="1" x14ac:dyDescent="0.25">
      <c r="A2583" s="16">
        <v>14380</v>
      </c>
      <c r="B2583" s="17" t="s">
        <v>236</v>
      </c>
      <c r="C2583" s="17" t="s">
        <v>1271</v>
      </c>
      <c r="D2583" s="17" t="s">
        <v>1505</v>
      </c>
      <c r="E2583" s="17" t="s">
        <v>335</v>
      </c>
      <c r="F2583" s="17" t="s">
        <v>190</v>
      </c>
      <c r="G2583" s="17" t="s">
        <v>1506</v>
      </c>
      <c r="H2583" s="18">
        <v>5499.99</v>
      </c>
      <c r="I2583" s="18">
        <v>5499.99</v>
      </c>
      <c r="J2583" s="7" t="str">
        <f>IFERROR(_xlfn.XLOOKUP(F2583,ccustos!A:A,ccustos!B:B),"Sem termo")</f>
        <v>TERMOS INDIVIDUAIS</v>
      </c>
    </row>
    <row r="2584" spans="1:10" ht="25.5" customHeight="1" x14ac:dyDescent="0.25">
      <c r="A2584" s="14">
        <v>14381</v>
      </c>
      <c r="B2584" s="7" t="s">
        <v>236</v>
      </c>
      <c r="C2584" s="7" t="s">
        <v>1271</v>
      </c>
      <c r="D2584" s="7" t="s">
        <v>1505</v>
      </c>
      <c r="E2584" s="7" t="s">
        <v>335</v>
      </c>
      <c r="F2584" s="7" t="s">
        <v>190</v>
      </c>
      <c r="G2584" s="7" t="s">
        <v>1506</v>
      </c>
      <c r="H2584" s="15">
        <v>5499.99</v>
      </c>
      <c r="I2584" s="15">
        <v>5499.99</v>
      </c>
      <c r="J2584" s="7" t="str">
        <f>IFERROR(_xlfn.XLOOKUP(F2584,ccustos!A:A,ccustos!B:B),"Sem termo")</f>
        <v>TERMOS INDIVIDUAIS</v>
      </c>
    </row>
    <row r="2585" spans="1:10" ht="36.75" customHeight="1" x14ac:dyDescent="0.25">
      <c r="A2585" s="16">
        <v>14382</v>
      </c>
      <c r="B2585" s="17" t="s">
        <v>236</v>
      </c>
      <c r="C2585" s="17" t="s">
        <v>1271</v>
      </c>
      <c r="D2585" s="17" t="s">
        <v>1505</v>
      </c>
      <c r="E2585" s="17" t="s">
        <v>335</v>
      </c>
      <c r="F2585" s="17" t="s">
        <v>190</v>
      </c>
      <c r="G2585" s="17" t="s">
        <v>1506</v>
      </c>
      <c r="H2585" s="18">
        <v>5499.99</v>
      </c>
      <c r="I2585" s="18">
        <v>5499.99</v>
      </c>
      <c r="J2585" s="7" t="str">
        <f>IFERROR(_xlfn.XLOOKUP(F2585,ccustos!A:A,ccustos!B:B),"Sem termo")</f>
        <v>TERMOS INDIVIDUAIS</v>
      </c>
    </row>
    <row r="2586" spans="1:10" ht="36.75" customHeight="1" x14ac:dyDescent="0.25">
      <c r="A2586" s="14">
        <v>14383</v>
      </c>
      <c r="B2586" s="7" t="s">
        <v>236</v>
      </c>
      <c r="C2586" s="7" t="s">
        <v>1271</v>
      </c>
      <c r="D2586" s="7" t="s">
        <v>1505</v>
      </c>
      <c r="E2586" s="7" t="s">
        <v>335</v>
      </c>
      <c r="F2586" s="7" t="s">
        <v>190</v>
      </c>
      <c r="G2586" s="7" t="s">
        <v>1506</v>
      </c>
      <c r="H2586" s="15">
        <v>5499.99</v>
      </c>
      <c r="I2586" s="15">
        <v>5499.99</v>
      </c>
      <c r="J2586" s="7" t="str">
        <f>IFERROR(_xlfn.XLOOKUP(F2586,ccustos!A:A,ccustos!B:B),"Sem termo")</f>
        <v>TERMOS INDIVIDUAIS</v>
      </c>
    </row>
    <row r="2587" spans="1:10" ht="36.75" customHeight="1" x14ac:dyDescent="0.25">
      <c r="A2587" s="16">
        <v>14384</v>
      </c>
      <c r="B2587" s="17" t="s">
        <v>236</v>
      </c>
      <c r="C2587" s="17" t="s">
        <v>1271</v>
      </c>
      <c r="D2587" s="17" t="s">
        <v>1505</v>
      </c>
      <c r="E2587" s="17" t="s">
        <v>335</v>
      </c>
      <c r="F2587" s="17" t="s">
        <v>190</v>
      </c>
      <c r="G2587" s="17" t="s">
        <v>1506</v>
      </c>
      <c r="H2587" s="18">
        <v>5499.99</v>
      </c>
      <c r="I2587" s="18">
        <v>5499.99</v>
      </c>
      <c r="J2587" s="7" t="str">
        <f>IFERROR(_xlfn.XLOOKUP(F2587,ccustos!A:A,ccustos!B:B),"Sem termo")</f>
        <v>TERMOS INDIVIDUAIS</v>
      </c>
    </row>
    <row r="2588" spans="1:10" ht="25.5" customHeight="1" x14ac:dyDescent="0.25">
      <c r="A2588" s="14">
        <v>14385</v>
      </c>
      <c r="B2588" s="7" t="s">
        <v>236</v>
      </c>
      <c r="C2588" s="7" t="s">
        <v>1271</v>
      </c>
      <c r="D2588" s="7" t="s">
        <v>1505</v>
      </c>
      <c r="E2588" s="7" t="s">
        <v>335</v>
      </c>
      <c r="F2588" s="7" t="s">
        <v>20</v>
      </c>
      <c r="G2588" s="7" t="s">
        <v>1506</v>
      </c>
      <c r="H2588" s="15">
        <v>5499.99</v>
      </c>
      <c r="I2588" s="15">
        <v>5499.99</v>
      </c>
      <c r="J2588" s="7" t="str">
        <f>IFERROR(_xlfn.XLOOKUP(F2588,ccustos!A:A,ccustos!B:B),"Sem termo")</f>
        <v>CGTI</v>
      </c>
    </row>
    <row r="2589" spans="1:10" ht="36.75" customHeight="1" x14ac:dyDescent="0.25">
      <c r="A2589" s="16">
        <v>14386</v>
      </c>
      <c r="B2589" s="17" t="s">
        <v>236</v>
      </c>
      <c r="C2589" s="17" t="s">
        <v>1271</v>
      </c>
      <c r="D2589" s="17" t="s">
        <v>1505</v>
      </c>
      <c r="E2589" s="17" t="s">
        <v>335</v>
      </c>
      <c r="F2589" s="17" t="s">
        <v>190</v>
      </c>
      <c r="G2589" s="17" t="s">
        <v>1506</v>
      </c>
      <c r="H2589" s="18">
        <v>5499.99</v>
      </c>
      <c r="I2589" s="18">
        <v>5499.99</v>
      </c>
      <c r="J2589" s="7" t="str">
        <f>IFERROR(_xlfn.XLOOKUP(F2589,ccustos!A:A,ccustos!B:B),"Sem termo")</f>
        <v>TERMOS INDIVIDUAIS</v>
      </c>
    </row>
    <row r="2590" spans="1:10" ht="36.75" customHeight="1" x14ac:dyDescent="0.25">
      <c r="A2590" s="14">
        <v>14387</v>
      </c>
      <c r="B2590" s="7" t="s">
        <v>236</v>
      </c>
      <c r="C2590" s="7" t="s">
        <v>1271</v>
      </c>
      <c r="D2590" s="7" t="s">
        <v>1505</v>
      </c>
      <c r="E2590" s="7" t="s">
        <v>335</v>
      </c>
      <c r="F2590" s="7" t="s">
        <v>190</v>
      </c>
      <c r="G2590" s="7" t="s">
        <v>1506</v>
      </c>
      <c r="H2590" s="15">
        <v>5499.99</v>
      </c>
      <c r="I2590" s="15">
        <v>5499.99</v>
      </c>
      <c r="J2590" s="7" t="str">
        <f>IFERROR(_xlfn.XLOOKUP(F2590,ccustos!A:A,ccustos!B:B),"Sem termo")</f>
        <v>TERMOS INDIVIDUAIS</v>
      </c>
    </row>
    <row r="2591" spans="1:10" ht="36.75" customHeight="1" x14ac:dyDescent="0.25">
      <c r="A2591" s="16">
        <v>14388</v>
      </c>
      <c r="B2591" s="17" t="s">
        <v>236</v>
      </c>
      <c r="C2591" s="17" t="s">
        <v>1271</v>
      </c>
      <c r="D2591" s="17" t="s">
        <v>1505</v>
      </c>
      <c r="E2591" s="17" t="s">
        <v>335</v>
      </c>
      <c r="F2591" s="17" t="s">
        <v>190</v>
      </c>
      <c r="G2591" s="17" t="s">
        <v>1506</v>
      </c>
      <c r="H2591" s="18">
        <v>5499.99</v>
      </c>
      <c r="I2591" s="18">
        <v>5499.99</v>
      </c>
      <c r="J2591" s="7" t="str">
        <f>IFERROR(_xlfn.XLOOKUP(F2591,ccustos!A:A,ccustos!B:B),"Sem termo")</f>
        <v>TERMOS INDIVIDUAIS</v>
      </c>
    </row>
    <row r="2592" spans="1:10" ht="25.5" customHeight="1" x14ac:dyDescent="0.25">
      <c r="A2592" s="14">
        <v>14389</v>
      </c>
      <c r="B2592" s="7" t="s">
        <v>236</v>
      </c>
      <c r="C2592" s="7" t="s">
        <v>1271</v>
      </c>
      <c r="D2592" s="7" t="s">
        <v>1505</v>
      </c>
      <c r="E2592" s="7" t="s">
        <v>335</v>
      </c>
      <c r="F2592" s="7" t="s">
        <v>47</v>
      </c>
      <c r="G2592" s="7" t="s">
        <v>1506</v>
      </c>
      <c r="H2592" s="15">
        <v>5499.99</v>
      </c>
      <c r="I2592" s="15">
        <v>5499.99</v>
      </c>
      <c r="J2592" s="7" t="str">
        <f>IFERROR(_xlfn.XLOOKUP(F2592,ccustos!A:A,ccustos!B:B),"Sem termo")</f>
        <v>CDPROF</v>
      </c>
    </row>
    <row r="2593" spans="1:10" ht="25.5" customHeight="1" x14ac:dyDescent="0.25">
      <c r="A2593" s="16">
        <v>14390</v>
      </c>
      <c r="B2593" s="17" t="s">
        <v>236</v>
      </c>
      <c r="C2593" s="17" t="s">
        <v>1271</v>
      </c>
      <c r="D2593" s="17" t="s">
        <v>1505</v>
      </c>
      <c r="E2593" s="17" t="s">
        <v>335</v>
      </c>
      <c r="F2593" s="17" t="s">
        <v>20</v>
      </c>
      <c r="G2593" s="17" t="s">
        <v>1506</v>
      </c>
      <c r="H2593" s="18">
        <v>5499.99</v>
      </c>
      <c r="I2593" s="18">
        <v>5499.99</v>
      </c>
      <c r="J2593" s="7" t="str">
        <f>IFERROR(_xlfn.XLOOKUP(F2593,ccustos!A:A,ccustos!B:B),"Sem termo")</f>
        <v>CGTI</v>
      </c>
    </row>
    <row r="2594" spans="1:10" ht="25.5" customHeight="1" x14ac:dyDescent="0.25">
      <c r="A2594" s="14">
        <v>14391</v>
      </c>
      <c r="B2594" s="7" t="s">
        <v>236</v>
      </c>
      <c r="C2594" s="7" t="s">
        <v>1271</v>
      </c>
      <c r="D2594" s="7" t="s">
        <v>1505</v>
      </c>
      <c r="E2594" s="7" t="s">
        <v>335</v>
      </c>
      <c r="F2594" s="7" t="s">
        <v>53</v>
      </c>
      <c r="G2594" s="7" t="s">
        <v>1506</v>
      </c>
      <c r="H2594" s="15">
        <v>5499.99</v>
      </c>
      <c r="I2594" s="15">
        <v>5499.99</v>
      </c>
      <c r="J2594" s="7" t="str">
        <f>IFERROR(_xlfn.XLOOKUP(F2594,ccustos!A:A,ccustos!B:B),"Sem termo")</f>
        <v>DELIC</v>
      </c>
    </row>
    <row r="2595" spans="1:10" ht="25.5" customHeight="1" x14ac:dyDescent="0.25">
      <c r="A2595" s="16">
        <v>14392</v>
      </c>
      <c r="B2595" s="17" t="s">
        <v>236</v>
      </c>
      <c r="C2595" s="17" t="s">
        <v>1271</v>
      </c>
      <c r="D2595" s="17" t="s">
        <v>1505</v>
      </c>
      <c r="E2595" s="17" t="s">
        <v>335</v>
      </c>
      <c r="F2595" s="17" t="s">
        <v>190</v>
      </c>
      <c r="G2595" s="17" t="s">
        <v>1506</v>
      </c>
      <c r="H2595" s="18">
        <v>5499.99</v>
      </c>
      <c r="I2595" s="18">
        <v>5499.99</v>
      </c>
      <c r="J2595" s="7" t="str">
        <f>IFERROR(_xlfn.XLOOKUP(F2595,ccustos!A:A,ccustos!B:B),"Sem termo")</f>
        <v>TERMOS INDIVIDUAIS</v>
      </c>
    </row>
    <row r="2596" spans="1:10" ht="25.5" customHeight="1" x14ac:dyDescent="0.25">
      <c r="A2596" s="14">
        <v>14393</v>
      </c>
      <c r="B2596" s="7" t="s">
        <v>236</v>
      </c>
      <c r="C2596" s="7" t="s">
        <v>1271</v>
      </c>
      <c r="D2596" s="7" t="s">
        <v>1505</v>
      </c>
      <c r="E2596" s="7" t="s">
        <v>335</v>
      </c>
      <c r="F2596" s="7" t="s">
        <v>190</v>
      </c>
      <c r="G2596" s="7" t="s">
        <v>1506</v>
      </c>
      <c r="H2596" s="15">
        <v>5499.99</v>
      </c>
      <c r="I2596" s="15">
        <v>5499.99</v>
      </c>
      <c r="J2596" s="7" t="str">
        <f>IFERROR(_xlfn.XLOOKUP(F2596,ccustos!A:A,ccustos!B:B),"Sem termo")</f>
        <v>TERMOS INDIVIDUAIS</v>
      </c>
    </row>
    <row r="2597" spans="1:10" ht="25.5" customHeight="1" x14ac:dyDescent="0.25">
      <c r="A2597" s="16">
        <v>14394</v>
      </c>
      <c r="B2597" s="17" t="s">
        <v>236</v>
      </c>
      <c r="C2597" s="17" t="s">
        <v>1271</v>
      </c>
      <c r="D2597" s="17" t="s">
        <v>1505</v>
      </c>
      <c r="E2597" s="17" t="s">
        <v>335</v>
      </c>
      <c r="F2597" s="17" t="s">
        <v>190</v>
      </c>
      <c r="G2597" s="17" t="s">
        <v>1506</v>
      </c>
      <c r="H2597" s="18">
        <v>5499.99</v>
      </c>
      <c r="I2597" s="18">
        <v>5499.99</v>
      </c>
      <c r="J2597" s="7" t="str">
        <f>IFERROR(_xlfn.XLOOKUP(F2597,ccustos!A:A,ccustos!B:B),"Sem termo")</f>
        <v>TERMOS INDIVIDUAIS</v>
      </c>
    </row>
    <row r="2598" spans="1:10" ht="25.5" customHeight="1" x14ac:dyDescent="0.25">
      <c r="A2598" s="14">
        <v>14396</v>
      </c>
      <c r="B2598" s="7" t="s">
        <v>236</v>
      </c>
      <c r="C2598" s="7" t="s">
        <v>1271</v>
      </c>
      <c r="D2598" s="7" t="s">
        <v>1505</v>
      </c>
      <c r="E2598" s="7" t="s">
        <v>335</v>
      </c>
      <c r="F2598" s="7" t="s">
        <v>190</v>
      </c>
      <c r="G2598" s="7" t="s">
        <v>1506</v>
      </c>
      <c r="H2598" s="15">
        <v>5499.99</v>
      </c>
      <c r="I2598" s="15">
        <v>5499.99</v>
      </c>
      <c r="J2598" s="7" t="str">
        <f>IFERROR(_xlfn.XLOOKUP(F2598,ccustos!A:A,ccustos!B:B),"Sem termo")</f>
        <v>TERMOS INDIVIDUAIS</v>
      </c>
    </row>
    <row r="2599" spans="1:10" ht="25.5" customHeight="1" x14ac:dyDescent="0.25">
      <c r="A2599" s="16">
        <v>14397</v>
      </c>
      <c r="B2599" s="17" t="s">
        <v>236</v>
      </c>
      <c r="C2599" s="17" t="s">
        <v>1271</v>
      </c>
      <c r="D2599" s="17" t="s">
        <v>1505</v>
      </c>
      <c r="E2599" s="17" t="s">
        <v>335</v>
      </c>
      <c r="F2599" s="17" t="s">
        <v>190</v>
      </c>
      <c r="G2599" s="17" t="s">
        <v>1506</v>
      </c>
      <c r="H2599" s="18">
        <v>5499.99</v>
      </c>
      <c r="I2599" s="18">
        <v>5499.99</v>
      </c>
      <c r="J2599" s="7" t="str">
        <f>IFERROR(_xlfn.XLOOKUP(F2599,ccustos!A:A,ccustos!B:B),"Sem termo")</f>
        <v>TERMOS INDIVIDUAIS</v>
      </c>
    </row>
    <row r="2600" spans="1:10" ht="25.5" customHeight="1" x14ac:dyDescent="0.25">
      <c r="A2600" s="14">
        <v>14398</v>
      </c>
      <c r="B2600" s="7" t="s">
        <v>236</v>
      </c>
      <c r="C2600" s="7" t="s">
        <v>1271</v>
      </c>
      <c r="D2600" s="7" t="s">
        <v>1505</v>
      </c>
      <c r="E2600" s="7" t="s">
        <v>335</v>
      </c>
      <c r="F2600" s="7" t="s">
        <v>190</v>
      </c>
      <c r="G2600" s="7" t="s">
        <v>1506</v>
      </c>
      <c r="H2600" s="15">
        <v>5499.99</v>
      </c>
      <c r="I2600" s="15">
        <v>5499.99</v>
      </c>
      <c r="J2600" s="7" t="str">
        <f>IFERROR(_xlfn.XLOOKUP(F2600,ccustos!A:A,ccustos!B:B),"Sem termo")</f>
        <v>TERMOS INDIVIDUAIS</v>
      </c>
    </row>
    <row r="2601" spans="1:10" ht="25.5" customHeight="1" x14ac:dyDescent="0.25">
      <c r="A2601" s="16">
        <v>14399</v>
      </c>
      <c r="B2601" s="17" t="s">
        <v>236</v>
      </c>
      <c r="C2601" s="17" t="s">
        <v>1271</v>
      </c>
      <c r="D2601" s="17" t="s">
        <v>1505</v>
      </c>
      <c r="E2601" s="17" t="s">
        <v>335</v>
      </c>
      <c r="F2601" s="17" t="s">
        <v>190</v>
      </c>
      <c r="G2601" s="17" t="s">
        <v>1506</v>
      </c>
      <c r="H2601" s="18">
        <v>5499.99</v>
      </c>
      <c r="I2601" s="18">
        <v>5499.99</v>
      </c>
      <c r="J2601" s="7" t="str">
        <f>IFERROR(_xlfn.XLOOKUP(F2601,ccustos!A:A,ccustos!B:B),"Sem termo")</f>
        <v>TERMOS INDIVIDUAIS</v>
      </c>
    </row>
    <row r="2602" spans="1:10" ht="36.75" customHeight="1" x14ac:dyDescent="0.25">
      <c r="A2602" s="14">
        <v>14400</v>
      </c>
      <c r="B2602" s="7" t="s">
        <v>236</v>
      </c>
      <c r="C2602" s="7" t="s">
        <v>1271</v>
      </c>
      <c r="D2602" s="7" t="s">
        <v>1505</v>
      </c>
      <c r="E2602" s="7" t="s">
        <v>335</v>
      </c>
      <c r="F2602" s="7" t="s">
        <v>20</v>
      </c>
      <c r="G2602" s="7" t="s">
        <v>1506</v>
      </c>
      <c r="H2602" s="15">
        <v>5499.99</v>
      </c>
      <c r="I2602" s="15">
        <v>5499.99</v>
      </c>
      <c r="J2602" s="7" t="str">
        <f>IFERROR(_xlfn.XLOOKUP(F2602,ccustos!A:A,ccustos!B:B),"Sem termo")</f>
        <v>CGTI</v>
      </c>
    </row>
    <row r="2603" spans="1:10" ht="36.75" customHeight="1" x14ac:dyDescent="0.25">
      <c r="A2603" s="16">
        <v>14401</v>
      </c>
      <c r="B2603" s="17" t="s">
        <v>236</v>
      </c>
      <c r="C2603" s="17" t="s">
        <v>1271</v>
      </c>
      <c r="D2603" s="17" t="s">
        <v>1507</v>
      </c>
      <c r="E2603" s="17" t="s">
        <v>335</v>
      </c>
      <c r="F2603" s="17" t="s">
        <v>190</v>
      </c>
      <c r="G2603" s="17" t="s">
        <v>1508</v>
      </c>
      <c r="H2603" s="18">
        <v>5714</v>
      </c>
      <c r="I2603" s="18">
        <v>5714</v>
      </c>
      <c r="J2603" s="7" t="str">
        <f>IFERROR(_xlfn.XLOOKUP(F2603,ccustos!A:A,ccustos!B:B),"Sem termo")</f>
        <v>TERMOS INDIVIDUAIS</v>
      </c>
    </row>
    <row r="2604" spans="1:10" ht="36.75" customHeight="1" x14ac:dyDescent="0.25">
      <c r="A2604" s="14">
        <v>14402</v>
      </c>
      <c r="B2604" s="7" t="s">
        <v>236</v>
      </c>
      <c r="C2604" s="7" t="s">
        <v>1271</v>
      </c>
      <c r="D2604" s="7" t="s">
        <v>1507</v>
      </c>
      <c r="E2604" s="7" t="s">
        <v>335</v>
      </c>
      <c r="F2604" s="7" t="s">
        <v>190</v>
      </c>
      <c r="G2604" s="7" t="s">
        <v>1508</v>
      </c>
      <c r="H2604" s="15">
        <v>5714</v>
      </c>
      <c r="I2604" s="15">
        <v>5714</v>
      </c>
      <c r="J2604" s="7" t="str">
        <f>IFERROR(_xlfn.XLOOKUP(F2604,ccustos!A:A,ccustos!B:B),"Sem termo")</f>
        <v>TERMOS INDIVIDUAIS</v>
      </c>
    </row>
    <row r="2605" spans="1:10" ht="36.75" customHeight="1" x14ac:dyDescent="0.25">
      <c r="A2605" s="16">
        <v>14403</v>
      </c>
      <c r="B2605" s="17" t="s">
        <v>236</v>
      </c>
      <c r="C2605" s="17" t="s">
        <v>1271</v>
      </c>
      <c r="D2605" s="17" t="s">
        <v>1507</v>
      </c>
      <c r="E2605" s="17" t="s">
        <v>335</v>
      </c>
      <c r="F2605" s="17" t="s">
        <v>190</v>
      </c>
      <c r="G2605" s="17" t="s">
        <v>1508</v>
      </c>
      <c r="H2605" s="18">
        <v>5714</v>
      </c>
      <c r="I2605" s="18">
        <v>5714</v>
      </c>
      <c r="J2605" s="7" t="str">
        <f>IFERROR(_xlfn.XLOOKUP(F2605,ccustos!A:A,ccustos!B:B),"Sem termo")</f>
        <v>TERMOS INDIVIDUAIS</v>
      </c>
    </row>
    <row r="2606" spans="1:10" ht="36.75" customHeight="1" x14ac:dyDescent="0.25">
      <c r="A2606" s="14">
        <v>14404</v>
      </c>
      <c r="B2606" s="7" t="s">
        <v>236</v>
      </c>
      <c r="C2606" s="7" t="s">
        <v>1271</v>
      </c>
      <c r="D2606" s="7" t="s">
        <v>1507</v>
      </c>
      <c r="E2606" s="7" t="s">
        <v>335</v>
      </c>
      <c r="F2606" s="7" t="s">
        <v>30</v>
      </c>
      <c r="G2606" s="7" t="s">
        <v>1508</v>
      </c>
      <c r="H2606" s="15">
        <v>5714</v>
      </c>
      <c r="I2606" s="15">
        <v>5714</v>
      </c>
      <c r="J2606" s="7" t="str">
        <f>IFERROR(_xlfn.XLOOKUP(F2606,ccustos!A:A,ccustos!B:B),"Sem termo")</f>
        <v>COFIS</v>
      </c>
    </row>
    <row r="2607" spans="1:10" ht="36.75" customHeight="1" x14ac:dyDescent="0.25">
      <c r="A2607" s="16">
        <v>14405</v>
      </c>
      <c r="B2607" s="17" t="s">
        <v>236</v>
      </c>
      <c r="C2607" s="17" t="s">
        <v>1271</v>
      </c>
      <c r="D2607" s="17" t="s">
        <v>1507</v>
      </c>
      <c r="E2607" s="17" t="s">
        <v>335</v>
      </c>
      <c r="F2607" s="17" t="s">
        <v>190</v>
      </c>
      <c r="G2607" s="17" t="s">
        <v>1508</v>
      </c>
      <c r="H2607" s="18">
        <v>5714</v>
      </c>
      <c r="I2607" s="18">
        <v>5714</v>
      </c>
      <c r="J2607" s="7" t="str">
        <f>IFERROR(_xlfn.XLOOKUP(F2607,ccustos!A:A,ccustos!B:B),"Sem termo")</f>
        <v>TERMOS INDIVIDUAIS</v>
      </c>
    </row>
    <row r="2608" spans="1:10" ht="36.75" customHeight="1" x14ac:dyDescent="0.25">
      <c r="A2608" s="14">
        <v>14406</v>
      </c>
      <c r="B2608" s="7" t="s">
        <v>236</v>
      </c>
      <c r="C2608" s="7" t="s">
        <v>1271</v>
      </c>
      <c r="D2608" s="7" t="s">
        <v>1507</v>
      </c>
      <c r="E2608" s="7" t="s">
        <v>335</v>
      </c>
      <c r="F2608" s="7" t="s">
        <v>20</v>
      </c>
      <c r="G2608" s="7" t="s">
        <v>1508</v>
      </c>
      <c r="H2608" s="15">
        <v>5714</v>
      </c>
      <c r="I2608" s="15">
        <v>5714</v>
      </c>
      <c r="J2608" s="7" t="str">
        <f>IFERROR(_xlfn.XLOOKUP(F2608,ccustos!A:A,ccustos!B:B),"Sem termo")</f>
        <v>CGTI</v>
      </c>
    </row>
    <row r="2609" spans="1:10" ht="36.75" customHeight="1" x14ac:dyDescent="0.25">
      <c r="A2609" s="16">
        <v>14407</v>
      </c>
      <c r="B2609" s="17" t="s">
        <v>236</v>
      </c>
      <c r="C2609" s="17" t="s">
        <v>1271</v>
      </c>
      <c r="D2609" s="17" t="s">
        <v>1507</v>
      </c>
      <c r="E2609" s="17" t="s">
        <v>335</v>
      </c>
      <c r="F2609" s="17" t="s">
        <v>30</v>
      </c>
      <c r="G2609" s="17" t="s">
        <v>1508</v>
      </c>
      <c r="H2609" s="18">
        <v>5714</v>
      </c>
      <c r="I2609" s="18">
        <v>5714</v>
      </c>
      <c r="J2609" s="7" t="str">
        <f>IFERROR(_xlfn.XLOOKUP(F2609,ccustos!A:A,ccustos!B:B),"Sem termo")</f>
        <v>COFIS</v>
      </c>
    </row>
    <row r="2610" spans="1:10" ht="25.5" customHeight="1" x14ac:dyDescent="0.25">
      <c r="A2610" s="14">
        <v>14408</v>
      </c>
      <c r="B2610" s="7" t="s">
        <v>236</v>
      </c>
      <c r="C2610" s="7" t="s">
        <v>1271</v>
      </c>
      <c r="D2610" s="7" t="s">
        <v>1507</v>
      </c>
      <c r="E2610" s="7" t="s">
        <v>335</v>
      </c>
      <c r="F2610" s="7" t="s">
        <v>190</v>
      </c>
      <c r="G2610" s="7" t="s">
        <v>1508</v>
      </c>
      <c r="H2610" s="15">
        <v>5714</v>
      </c>
      <c r="I2610" s="15">
        <v>5714</v>
      </c>
      <c r="J2610" s="7" t="str">
        <f>IFERROR(_xlfn.XLOOKUP(F2610,ccustos!A:A,ccustos!B:B),"Sem termo")</f>
        <v>TERMOS INDIVIDUAIS</v>
      </c>
    </row>
    <row r="2611" spans="1:10" ht="25.5" customHeight="1" x14ac:dyDescent="0.25">
      <c r="A2611" s="16">
        <v>14410</v>
      </c>
      <c r="B2611" s="17" t="s">
        <v>236</v>
      </c>
      <c r="C2611" s="17" t="s">
        <v>1271</v>
      </c>
      <c r="D2611" s="17" t="s">
        <v>1507</v>
      </c>
      <c r="E2611" s="17" t="s">
        <v>335</v>
      </c>
      <c r="F2611" s="17" t="s">
        <v>190</v>
      </c>
      <c r="G2611" s="17" t="s">
        <v>1508</v>
      </c>
      <c r="H2611" s="18">
        <v>5714</v>
      </c>
      <c r="I2611" s="18">
        <v>5714</v>
      </c>
      <c r="J2611" s="7" t="str">
        <f>IFERROR(_xlfn.XLOOKUP(F2611,ccustos!A:A,ccustos!B:B),"Sem termo")</f>
        <v>TERMOS INDIVIDUAIS</v>
      </c>
    </row>
    <row r="2612" spans="1:10" ht="25.5" customHeight="1" x14ac:dyDescent="0.25">
      <c r="A2612" s="14">
        <v>14411</v>
      </c>
      <c r="B2612" s="7" t="s">
        <v>236</v>
      </c>
      <c r="C2612" s="7" t="s">
        <v>1271</v>
      </c>
      <c r="D2612" s="7" t="s">
        <v>1507</v>
      </c>
      <c r="E2612" s="7" t="s">
        <v>335</v>
      </c>
      <c r="F2612" s="7" t="s">
        <v>20</v>
      </c>
      <c r="G2612" s="7" t="s">
        <v>1508</v>
      </c>
      <c r="H2612" s="15">
        <v>5714</v>
      </c>
      <c r="I2612" s="15">
        <v>5714</v>
      </c>
      <c r="J2612" s="7" t="str">
        <f>IFERROR(_xlfn.XLOOKUP(F2612,ccustos!A:A,ccustos!B:B),"Sem termo")</f>
        <v>CGTI</v>
      </c>
    </row>
    <row r="2613" spans="1:10" ht="25.5" customHeight="1" x14ac:dyDescent="0.25">
      <c r="A2613" s="16">
        <v>14412</v>
      </c>
      <c r="B2613" s="17" t="s">
        <v>236</v>
      </c>
      <c r="C2613" s="17" t="s">
        <v>237</v>
      </c>
      <c r="D2613" s="17" t="s">
        <v>1509</v>
      </c>
      <c r="E2613" s="17" t="s">
        <v>239</v>
      </c>
      <c r="F2613" s="17" t="s">
        <v>26</v>
      </c>
      <c r="G2613" s="17" t="s">
        <v>1510</v>
      </c>
      <c r="H2613" s="18">
        <v>1218.51</v>
      </c>
      <c r="I2613" s="18">
        <v>1218.51</v>
      </c>
      <c r="J2613" s="7" t="str">
        <f>IFERROR(_xlfn.XLOOKUP(F2613,ccustos!A:A,ccustos!B:B),"Sem termo")</f>
        <v>COLOG</v>
      </c>
    </row>
    <row r="2614" spans="1:10" ht="25.5" customHeight="1" x14ac:dyDescent="0.25">
      <c r="A2614" s="14">
        <v>14413</v>
      </c>
      <c r="B2614" s="7" t="s">
        <v>236</v>
      </c>
      <c r="C2614" s="7" t="s">
        <v>237</v>
      </c>
      <c r="D2614" s="7" t="s">
        <v>1509</v>
      </c>
      <c r="E2614" s="7" t="s">
        <v>239</v>
      </c>
      <c r="F2614" s="7" t="s">
        <v>26</v>
      </c>
      <c r="G2614" s="7" t="s">
        <v>1510</v>
      </c>
      <c r="H2614" s="15">
        <v>1218.51</v>
      </c>
      <c r="I2614" s="15">
        <v>1218.51</v>
      </c>
      <c r="J2614" s="7" t="str">
        <f>IFERROR(_xlfn.XLOOKUP(F2614,ccustos!A:A,ccustos!B:B),"Sem termo")</f>
        <v>COLOG</v>
      </c>
    </row>
    <row r="2615" spans="1:10" ht="25.5" customHeight="1" x14ac:dyDescent="0.25">
      <c r="A2615" s="16">
        <v>14414</v>
      </c>
      <c r="B2615" s="17" t="s">
        <v>236</v>
      </c>
      <c r="C2615" s="17" t="s">
        <v>237</v>
      </c>
      <c r="D2615" s="17" t="s">
        <v>1509</v>
      </c>
      <c r="E2615" s="17" t="s">
        <v>239</v>
      </c>
      <c r="F2615" s="17" t="s">
        <v>26</v>
      </c>
      <c r="G2615" s="17" t="s">
        <v>1510</v>
      </c>
      <c r="H2615" s="18">
        <v>1218.51</v>
      </c>
      <c r="I2615" s="18">
        <v>1218.51</v>
      </c>
      <c r="J2615" s="7" t="str">
        <f>IFERROR(_xlfn.XLOOKUP(F2615,ccustos!A:A,ccustos!B:B),"Sem termo")</f>
        <v>COLOG</v>
      </c>
    </row>
    <row r="2616" spans="1:10" ht="25.5" customHeight="1" x14ac:dyDescent="0.25">
      <c r="A2616" s="14">
        <v>14415</v>
      </c>
      <c r="B2616" s="7" t="s">
        <v>236</v>
      </c>
      <c r="C2616" s="7" t="s">
        <v>237</v>
      </c>
      <c r="D2616" s="7" t="s">
        <v>1509</v>
      </c>
      <c r="E2616" s="7" t="s">
        <v>239</v>
      </c>
      <c r="F2616" s="7" t="s">
        <v>26</v>
      </c>
      <c r="G2616" s="7" t="s">
        <v>1510</v>
      </c>
      <c r="H2616" s="15">
        <v>1218.51</v>
      </c>
      <c r="I2616" s="15">
        <v>1218.51</v>
      </c>
      <c r="J2616" s="7" t="str">
        <f>IFERROR(_xlfn.XLOOKUP(F2616,ccustos!A:A,ccustos!B:B),"Sem termo")</f>
        <v>COLOG</v>
      </c>
    </row>
    <row r="2617" spans="1:10" ht="25.5" customHeight="1" x14ac:dyDescent="0.25">
      <c r="A2617" s="16">
        <v>14416</v>
      </c>
      <c r="B2617" s="17" t="s">
        <v>236</v>
      </c>
      <c r="C2617" s="17" t="s">
        <v>237</v>
      </c>
      <c r="D2617" s="17" t="s">
        <v>1509</v>
      </c>
      <c r="E2617" s="17" t="s">
        <v>239</v>
      </c>
      <c r="F2617" s="17" t="s">
        <v>26</v>
      </c>
      <c r="G2617" s="17" t="s">
        <v>1510</v>
      </c>
      <c r="H2617" s="18">
        <v>1218.51</v>
      </c>
      <c r="I2617" s="18">
        <v>1218.51</v>
      </c>
      <c r="J2617" s="7" t="str">
        <f>IFERROR(_xlfn.XLOOKUP(F2617,ccustos!A:A,ccustos!B:B),"Sem termo")</f>
        <v>COLOG</v>
      </c>
    </row>
    <row r="2618" spans="1:10" ht="25.5" customHeight="1" x14ac:dyDescent="0.25">
      <c r="A2618" s="14">
        <v>14417</v>
      </c>
      <c r="B2618" s="7" t="s">
        <v>236</v>
      </c>
      <c r="C2618" s="7" t="s">
        <v>237</v>
      </c>
      <c r="D2618" s="7" t="s">
        <v>1509</v>
      </c>
      <c r="E2618" s="7" t="s">
        <v>239</v>
      </c>
      <c r="F2618" s="7" t="s">
        <v>26</v>
      </c>
      <c r="G2618" s="7" t="s">
        <v>1510</v>
      </c>
      <c r="H2618" s="15">
        <v>1218.51</v>
      </c>
      <c r="I2618" s="15">
        <v>1218.51</v>
      </c>
      <c r="J2618" s="7" t="str">
        <f>IFERROR(_xlfn.XLOOKUP(F2618,ccustos!A:A,ccustos!B:B),"Sem termo")</f>
        <v>COLOG</v>
      </c>
    </row>
    <row r="2619" spans="1:10" ht="25.5" customHeight="1" x14ac:dyDescent="0.25">
      <c r="A2619" s="16">
        <v>14418</v>
      </c>
      <c r="B2619" s="17" t="s">
        <v>236</v>
      </c>
      <c r="C2619" s="17" t="s">
        <v>237</v>
      </c>
      <c r="D2619" s="17" t="s">
        <v>1509</v>
      </c>
      <c r="E2619" s="17" t="s">
        <v>239</v>
      </c>
      <c r="F2619" s="17" t="s">
        <v>26</v>
      </c>
      <c r="G2619" s="17" t="s">
        <v>1510</v>
      </c>
      <c r="H2619" s="18">
        <v>1218.51</v>
      </c>
      <c r="I2619" s="18">
        <v>1218.51</v>
      </c>
      <c r="J2619" s="7" t="str">
        <f>IFERROR(_xlfn.XLOOKUP(F2619,ccustos!A:A,ccustos!B:B),"Sem termo")</f>
        <v>COLOG</v>
      </c>
    </row>
    <row r="2620" spans="1:10" ht="25.5" customHeight="1" x14ac:dyDescent="0.25">
      <c r="A2620" s="14">
        <v>14419</v>
      </c>
      <c r="B2620" s="7" t="s">
        <v>236</v>
      </c>
      <c r="C2620" s="7" t="s">
        <v>237</v>
      </c>
      <c r="D2620" s="7" t="s">
        <v>1509</v>
      </c>
      <c r="E2620" s="7" t="s">
        <v>239</v>
      </c>
      <c r="F2620" s="7" t="s">
        <v>19</v>
      </c>
      <c r="G2620" s="7" t="s">
        <v>1510</v>
      </c>
      <c r="H2620" s="15">
        <v>1218.51</v>
      </c>
      <c r="I2620" s="15">
        <v>1218.51</v>
      </c>
      <c r="J2620" s="7" t="str">
        <f>IFERROR(_xlfn.XLOOKUP(F2620,ccustos!A:A,ccustos!B:B),"Sem termo")</f>
        <v>SEGED</v>
      </c>
    </row>
    <row r="2621" spans="1:10" ht="25.5" customHeight="1" x14ac:dyDescent="0.25">
      <c r="A2621" s="16">
        <v>14420</v>
      </c>
      <c r="B2621" s="17" t="s">
        <v>236</v>
      </c>
      <c r="C2621" s="17" t="s">
        <v>237</v>
      </c>
      <c r="D2621" s="17" t="s">
        <v>1509</v>
      </c>
      <c r="E2621" s="17" t="s">
        <v>239</v>
      </c>
      <c r="F2621" s="17" t="s">
        <v>19</v>
      </c>
      <c r="G2621" s="17" t="s">
        <v>1510</v>
      </c>
      <c r="H2621" s="18">
        <v>1218.51</v>
      </c>
      <c r="I2621" s="18">
        <v>1218.51</v>
      </c>
      <c r="J2621" s="7" t="str">
        <f>IFERROR(_xlfn.XLOOKUP(F2621,ccustos!A:A,ccustos!B:B),"Sem termo")</f>
        <v>SEGED</v>
      </c>
    </row>
    <row r="2622" spans="1:10" ht="25.5" customHeight="1" x14ac:dyDescent="0.25">
      <c r="A2622" s="14">
        <v>14421</v>
      </c>
      <c r="B2622" s="7" t="s">
        <v>236</v>
      </c>
      <c r="C2622" s="7" t="s">
        <v>237</v>
      </c>
      <c r="D2622" s="7" t="s">
        <v>1509</v>
      </c>
      <c r="E2622" s="7" t="s">
        <v>239</v>
      </c>
      <c r="F2622" s="7" t="s">
        <v>19</v>
      </c>
      <c r="G2622" s="7" t="s">
        <v>1510</v>
      </c>
      <c r="H2622" s="15">
        <v>1218.51</v>
      </c>
      <c r="I2622" s="15">
        <v>1218.51</v>
      </c>
      <c r="J2622" s="7" t="str">
        <f>IFERROR(_xlfn.XLOOKUP(F2622,ccustos!A:A,ccustos!B:B),"Sem termo")</f>
        <v>SEGED</v>
      </c>
    </row>
    <row r="2623" spans="1:10" ht="25.5" customHeight="1" x14ac:dyDescent="0.25">
      <c r="A2623" s="16">
        <v>14422</v>
      </c>
      <c r="B2623" s="17" t="s">
        <v>236</v>
      </c>
      <c r="C2623" s="17" t="s">
        <v>237</v>
      </c>
      <c r="D2623" s="17" t="s">
        <v>1509</v>
      </c>
      <c r="E2623" s="17" t="s">
        <v>239</v>
      </c>
      <c r="F2623" s="17" t="s">
        <v>22</v>
      </c>
      <c r="G2623" s="17" t="s">
        <v>1510</v>
      </c>
      <c r="H2623" s="18">
        <v>1218.51</v>
      </c>
      <c r="I2623" s="18">
        <v>1218.51</v>
      </c>
      <c r="J2623" s="7" t="str">
        <f>IFERROR(_xlfn.XLOOKUP(F2623,ccustos!A:A,ccustos!B:B),"Sem termo")</f>
        <v>COTEC</v>
      </c>
    </row>
    <row r="2624" spans="1:10" ht="25.5" customHeight="1" x14ac:dyDescent="0.25">
      <c r="A2624" s="14">
        <v>14423</v>
      </c>
      <c r="B2624" s="7" t="s">
        <v>236</v>
      </c>
      <c r="C2624" s="7" t="s">
        <v>237</v>
      </c>
      <c r="D2624" s="7" t="s">
        <v>1509</v>
      </c>
      <c r="E2624" s="7" t="s">
        <v>239</v>
      </c>
      <c r="F2624" s="7" t="s">
        <v>53</v>
      </c>
      <c r="G2624" s="7" t="s">
        <v>1510</v>
      </c>
      <c r="H2624" s="15">
        <v>1218.51</v>
      </c>
      <c r="I2624" s="15">
        <v>1218.51</v>
      </c>
      <c r="J2624" s="7" t="str">
        <f>IFERROR(_xlfn.XLOOKUP(F2624,ccustos!A:A,ccustos!B:B),"Sem termo")</f>
        <v>DELIC</v>
      </c>
    </row>
    <row r="2625" spans="1:10" ht="25.5" customHeight="1" x14ac:dyDescent="0.25">
      <c r="A2625" s="16">
        <v>14424</v>
      </c>
      <c r="B2625" s="17" t="s">
        <v>236</v>
      </c>
      <c r="C2625" s="17" t="s">
        <v>237</v>
      </c>
      <c r="D2625" s="17" t="s">
        <v>1509</v>
      </c>
      <c r="E2625" s="17" t="s">
        <v>239</v>
      </c>
      <c r="F2625" s="17" t="s">
        <v>47</v>
      </c>
      <c r="G2625" s="17" t="s">
        <v>1510</v>
      </c>
      <c r="H2625" s="18">
        <v>1218.51</v>
      </c>
      <c r="I2625" s="18">
        <v>1218.51</v>
      </c>
      <c r="J2625" s="7" t="str">
        <f>IFERROR(_xlfn.XLOOKUP(F2625,ccustos!A:A,ccustos!B:B),"Sem termo")</f>
        <v>CDPROF</v>
      </c>
    </row>
    <row r="2626" spans="1:10" ht="25.5" customHeight="1" x14ac:dyDescent="0.25">
      <c r="A2626" s="14">
        <v>14425</v>
      </c>
      <c r="B2626" s="7" t="s">
        <v>236</v>
      </c>
      <c r="C2626" s="7" t="s">
        <v>237</v>
      </c>
      <c r="D2626" s="7" t="s">
        <v>1509</v>
      </c>
      <c r="E2626" s="7" t="s">
        <v>239</v>
      </c>
      <c r="F2626" s="7" t="s">
        <v>185</v>
      </c>
      <c r="G2626" s="7" t="s">
        <v>1510</v>
      </c>
      <c r="H2626" s="15">
        <v>1218.51</v>
      </c>
      <c r="I2626" s="15">
        <v>1218.51</v>
      </c>
      <c r="J2626" s="7" t="str">
        <f>IFERROR(_xlfn.XLOOKUP(F2626,ccustos!A:A,ccustos!B:B),"Sem termo")</f>
        <v>CGGE</v>
      </c>
    </row>
    <row r="2627" spans="1:10" ht="25.5" customHeight="1" x14ac:dyDescent="0.25">
      <c r="A2627" s="16">
        <v>14426</v>
      </c>
      <c r="B2627" s="17" t="s">
        <v>236</v>
      </c>
      <c r="C2627" s="17" t="s">
        <v>237</v>
      </c>
      <c r="D2627" s="17" t="s">
        <v>1509</v>
      </c>
      <c r="E2627" s="17" t="s">
        <v>239</v>
      </c>
      <c r="F2627" s="17" t="s">
        <v>22</v>
      </c>
      <c r="G2627" s="17" t="s">
        <v>1510</v>
      </c>
      <c r="H2627" s="18">
        <v>1218.51</v>
      </c>
      <c r="I2627" s="18">
        <v>1218.51</v>
      </c>
      <c r="J2627" s="7" t="str">
        <f>IFERROR(_xlfn.XLOOKUP(F2627,ccustos!A:A,ccustos!B:B),"Sem termo")</f>
        <v>COTEC</v>
      </c>
    </row>
    <row r="2628" spans="1:10" ht="25.5" customHeight="1" x14ac:dyDescent="0.25">
      <c r="A2628" s="14">
        <v>14427</v>
      </c>
      <c r="B2628" s="7" t="s">
        <v>236</v>
      </c>
      <c r="C2628" s="7" t="s">
        <v>237</v>
      </c>
      <c r="D2628" s="7" t="s">
        <v>1509</v>
      </c>
      <c r="E2628" s="7" t="s">
        <v>239</v>
      </c>
      <c r="F2628" s="7" t="s">
        <v>185</v>
      </c>
      <c r="G2628" s="7" t="s">
        <v>1510</v>
      </c>
      <c r="H2628" s="15">
        <v>1218.51</v>
      </c>
      <c r="I2628" s="15">
        <v>1218.51</v>
      </c>
      <c r="J2628" s="7" t="str">
        <f>IFERROR(_xlfn.XLOOKUP(F2628,ccustos!A:A,ccustos!B:B),"Sem termo")</f>
        <v>CGGE</v>
      </c>
    </row>
    <row r="2629" spans="1:10" ht="25.5" customHeight="1" x14ac:dyDescent="0.25">
      <c r="A2629" s="16">
        <v>14428</v>
      </c>
      <c r="B2629" s="17" t="s">
        <v>236</v>
      </c>
      <c r="C2629" s="17" t="s">
        <v>237</v>
      </c>
      <c r="D2629" s="17" t="s">
        <v>1509</v>
      </c>
      <c r="E2629" s="17" t="s">
        <v>239</v>
      </c>
      <c r="F2629" s="17" t="s">
        <v>13</v>
      </c>
      <c r="G2629" s="17" t="s">
        <v>1510</v>
      </c>
      <c r="H2629" s="18">
        <v>1218.51</v>
      </c>
      <c r="I2629" s="18">
        <v>1218.51</v>
      </c>
      <c r="J2629" s="7" t="str">
        <f>IFERROR(_xlfn.XLOOKUP(F2629,ccustos!A:A,ccustos!B:B),"Sem termo")</f>
        <v>SEPROT</v>
      </c>
    </row>
    <row r="2630" spans="1:10" ht="25.5" customHeight="1" x14ac:dyDescent="0.25">
      <c r="A2630" s="14">
        <v>14429</v>
      </c>
      <c r="B2630" s="7" t="s">
        <v>236</v>
      </c>
      <c r="C2630" s="7" t="s">
        <v>237</v>
      </c>
      <c r="D2630" s="7" t="s">
        <v>1509</v>
      </c>
      <c r="E2630" s="7" t="s">
        <v>239</v>
      </c>
      <c r="F2630" s="7" t="s">
        <v>48</v>
      </c>
      <c r="G2630" s="7" t="s">
        <v>1510</v>
      </c>
      <c r="H2630" s="15">
        <v>1218.51</v>
      </c>
      <c r="I2630" s="15">
        <v>1218.51</v>
      </c>
      <c r="J2630" s="7" t="str">
        <f>IFERROR(_xlfn.XLOOKUP(F2630,ccustos!A:A,ccustos!B:B),"Sem termo")</f>
        <v>DEPES</v>
      </c>
    </row>
    <row r="2631" spans="1:10" ht="25.5" customHeight="1" x14ac:dyDescent="0.25">
      <c r="A2631" s="16">
        <v>14430</v>
      </c>
      <c r="B2631" s="17" t="s">
        <v>236</v>
      </c>
      <c r="C2631" s="17" t="s">
        <v>237</v>
      </c>
      <c r="D2631" s="17" t="s">
        <v>1509</v>
      </c>
      <c r="E2631" s="17" t="s">
        <v>239</v>
      </c>
      <c r="F2631" s="17" t="s">
        <v>13</v>
      </c>
      <c r="G2631" s="17" t="s">
        <v>1510</v>
      </c>
      <c r="H2631" s="18">
        <v>1218.51</v>
      </c>
      <c r="I2631" s="18">
        <v>1218.51</v>
      </c>
      <c r="J2631" s="7" t="str">
        <f>IFERROR(_xlfn.XLOOKUP(F2631,ccustos!A:A,ccustos!B:B),"Sem termo")</f>
        <v>SEPROT</v>
      </c>
    </row>
    <row r="2632" spans="1:10" ht="25.5" customHeight="1" x14ac:dyDescent="0.25">
      <c r="A2632" s="14">
        <v>14431</v>
      </c>
      <c r="B2632" s="7" t="s">
        <v>236</v>
      </c>
      <c r="C2632" s="7" t="s">
        <v>237</v>
      </c>
      <c r="D2632" s="7" t="s">
        <v>1509</v>
      </c>
      <c r="E2632" s="7" t="s">
        <v>239</v>
      </c>
      <c r="F2632" s="7" t="s">
        <v>13</v>
      </c>
      <c r="G2632" s="7" t="s">
        <v>1510</v>
      </c>
      <c r="H2632" s="15">
        <v>1218.51</v>
      </c>
      <c r="I2632" s="15">
        <v>1218.51</v>
      </c>
      <c r="J2632" s="7" t="str">
        <f>IFERROR(_xlfn.XLOOKUP(F2632,ccustos!A:A,ccustos!B:B),"Sem termo")</f>
        <v>SEPROT</v>
      </c>
    </row>
    <row r="2633" spans="1:10" ht="25.5" customHeight="1" x14ac:dyDescent="0.25">
      <c r="A2633" s="16">
        <v>14432</v>
      </c>
      <c r="B2633" s="17" t="s">
        <v>236</v>
      </c>
      <c r="C2633" s="17" t="s">
        <v>237</v>
      </c>
      <c r="D2633" s="17" t="s">
        <v>1509</v>
      </c>
      <c r="E2633" s="17" t="s">
        <v>239</v>
      </c>
      <c r="F2633" s="17" t="s">
        <v>65</v>
      </c>
      <c r="G2633" s="17" t="s">
        <v>1510</v>
      </c>
      <c r="H2633" s="18">
        <v>1218.51</v>
      </c>
      <c r="I2633" s="18">
        <v>1218.51</v>
      </c>
      <c r="J2633" s="7" t="str">
        <f>IFERROR(_xlfn.XLOOKUP(F2633,ccustos!A:A,ccustos!B:B),"Sem termo")</f>
        <v>DEINFRA</v>
      </c>
    </row>
    <row r="2634" spans="1:10" ht="36.75" customHeight="1" x14ac:dyDescent="0.25">
      <c r="A2634" s="14">
        <v>14433</v>
      </c>
      <c r="B2634" s="7" t="s">
        <v>236</v>
      </c>
      <c r="C2634" s="7" t="s">
        <v>237</v>
      </c>
      <c r="D2634" s="7" t="s">
        <v>1509</v>
      </c>
      <c r="E2634" s="7" t="s">
        <v>239</v>
      </c>
      <c r="F2634" s="7" t="s">
        <v>62</v>
      </c>
      <c r="G2634" s="7" t="s">
        <v>1510</v>
      </c>
      <c r="H2634" s="15">
        <v>1218.51</v>
      </c>
      <c r="I2634" s="15">
        <v>1218.51</v>
      </c>
      <c r="J2634" s="7" t="str">
        <f>IFERROR(_xlfn.XLOOKUP(F2634,ccustos!A:A,ccustos!B:B),"Sem termo")</f>
        <v>SETRAN</v>
      </c>
    </row>
    <row r="2635" spans="1:10" ht="36.75" customHeight="1" x14ac:dyDescent="0.25">
      <c r="A2635" s="16">
        <v>14434</v>
      </c>
      <c r="B2635" s="17" t="s">
        <v>236</v>
      </c>
      <c r="C2635" s="17" t="s">
        <v>237</v>
      </c>
      <c r="D2635" s="17" t="s">
        <v>1509</v>
      </c>
      <c r="E2635" s="17" t="s">
        <v>239</v>
      </c>
      <c r="F2635" s="17" t="s">
        <v>205</v>
      </c>
      <c r="G2635" s="17" t="s">
        <v>1510</v>
      </c>
      <c r="H2635" s="18">
        <v>1218.51</v>
      </c>
      <c r="I2635" s="18">
        <v>1218.51</v>
      </c>
      <c r="J2635" s="7" t="str">
        <f>IFERROR(_xlfn.XLOOKUP(F2635,ccustos!A:A,ccustos!B:B),"Sem termo")</f>
        <v>CCOM</v>
      </c>
    </row>
    <row r="2636" spans="1:10" ht="25.5" customHeight="1" x14ac:dyDescent="0.25">
      <c r="A2636" s="14">
        <v>14435</v>
      </c>
      <c r="B2636" s="7" t="s">
        <v>236</v>
      </c>
      <c r="C2636" s="7" t="s">
        <v>237</v>
      </c>
      <c r="D2636" s="7" t="s">
        <v>1509</v>
      </c>
      <c r="E2636" s="7" t="s">
        <v>239</v>
      </c>
      <c r="F2636" s="7" t="s">
        <v>205</v>
      </c>
      <c r="G2636" s="7" t="s">
        <v>1510</v>
      </c>
      <c r="H2636" s="15">
        <v>1218.51</v>
      </c>
      <c r="I2636" s="15">
        <v>1218.51</v>
      </c>
      <c r="J2636" s="7" t="str">
        <f>IFERROR(_xlfn.XLOOKUP(F2636,ccustos!A:A,ccustos!B:B),"Sem termo")</f>
        <v>CCOM</v>
      </c>
    </row>
    <row r="2637" spans="1:10" ht="36.75" customHeight="1" x14ac:dyDescent="0.25">
      <c r="A2637" s="16">
        <v>14436</v>
      </c>
      <c r="B2637" s="17" t="s">
        <v>236</v>
      </c>
      <c r="C2637" s="17" t="s">
        <v>237</v>
      </c>
      <c r="D2637" s="17" t="s">
        <v>1509</v>
      </c>
      <c r="E2637" s="17" t="s">
        <v>239</v>
      </c>
      <c r="F2637" s="17" t="s">
        <v>205</v>
      </c>
      <c r="G2637" s="17" t="s">
        <v>1510</v>
      </c>
      <c r="H2637" s="18">
        <v>1218.51</v>
      </c>
      <c r="I2637" s="18">
        <v>1218.51</v>
      </c>
      <c r="J2637" s="7" t="str">
        <f>IFERROR(_xlfn.XLOOKUP(F2637,ccustos!A:A,ccustos!B:B),"Sem termo")</f>
        <v>CCOM</v>
      </c>
    </row>
    <row r="2638" spans="1:10" ht="36.75" customHeight="1" x14ac:dyDescent="0.25">
      <c r="A2638" s="14">
        <v>14437</v>
      </c>
      <c r="B2638" s="7" t="s">
        <v>236</v>
      </c>
      <c r="C2638" s="7" t="s">
        <v>237</v>
      </c>
      <c r="D2638" s="7" t="s">
        <v>1509</v>
      </c>
      <c r="E2638" s="7" t="s">
        <v>239</v>
      </c>
      <c r="F2638" s="7" t="s">
        <v>205</v>
      </c>
      <c r="G2638" s="7" t="s">
        <v>1510</v>
      </c>
      <c r="H2638" s="15">
        <v>1218.51</v>
      </c>
      <c r="I2638" s="15">
        <v>1218.51</v>
      </c>
      <c r="J2638" s="7" t="str">
        <f>IFERROR(_xlfn.XLOOKUP(F2638,ccustos!A:A,ccustos!B:B),"Sem termo")</f>
        <v>CCOM</v>
      </c>
    </row>
    <row r="2639" spans="1:10" ht="36.75" customHeight="1" x14ac:dyDescent="0.25">
      <c r="A2639" s="16">
        <v>14438</v>
      </c>
      <c r="B2639" s="17" t="s">
        <v>236</v>
      </c>
      <c r="C2639" s="17" t="s">
        <v>237</v>
      </c>
      <c r="D2639" s="17" t="s">
        <v>1509</v>
      </c>
      <c r="E2639" s="17" t="s">
        <v>239</v>
      </c>
      <c r="F2639" s="17" t="s">
        <v>205</v>
      </c>
      <c r="G2639" s="17" t="s">
        <v>1510</v>
      </c>
      <c r="H2639" s="18">
        <v>1218.51</v>
      </c>
      <c r="I2639" s="18">
        <v>1218.51</v>
      </c>
      <c r="J2639" s="7" t="str">
        <f>IFERROR(_xlfn.XLOOKUP(F2639,ccustos!A:A,ccustos!B:B),"Sem termo")</f>
        <v>CCOM</v>
      </c>
    </row>
    <row r="2640" spans="1:10" ht="36.75" customHeight="1" x14ac:dyDescent="0.25">
      <c r="A2640" s="14">
        <v>14439</v>
      </c>
      <c r="B2640" s="7" t="s">
        <v>236</v>
      </c>
      <c r="C2640" s="7" t="s">
        <v>237</v>
      </c>
      <c r="D2640" s="7" t="s">
        <v>1509</v>
      </c>
      <c r="E2640" s="7" t="s">
        <v>239</v>
      </c>
      <c r="F2640" s="7" t="s">
        <v>205</v>
      </c>
      <c r="G2640" s="7" t="s">
        <v>1510</v>
      </c>
      <c r="H2640" s="15">
        <v>1218.51</v>
      </c>
      <c r="I2640" s="15">
        <v>1218.51</v>
      </c>
      <c r="J2640" s="7" t="str">
        <f>IFERROR(_xlfn.XLOOKUP(F2640,ccustos!A:A,ccustos!B:B),"Sem termo")</f>
        <v>CCOM</v>
      </c>
    </row>
    <row r="2641" spans="1:10" ht="36.75" customHeight="1" x14ac:dyDescent="0.25">
      <c r="A2641" s="16">
        <v>14440</v>
      </c>
      <c r="B2641" s="17" t="s">
        <v>236</v>
      </c>
      <c r="C2641" s="17" t="s">
        <v>237</v>
      </c>
      <c r="D2641" s="17" t="s">
        <v>1509</v>
      </c>
      <c r="E2641" s="17" t="s">
        <v>239</v>
      </c>
      <c r="F2641" s="17" t="s">
        <v>18</v>
      </c>
      <c r="G2641" s="17" t="s">
        <v>1510</v>
      </c>
      <c r="H2641" s="18">
        <v>1218.51</v>
      </c>
      <c r="I2641" s="18">
        <v>1218.51</v>
      </c>
      <c r="J2641" s="7" t="str">
        <f>IFERROR(_xlfn.XLOOKUP(F2641,ccustos!A:A,ccustos!B:B),"Sem termo")</f>
        <v>DEINFRA</v>
      </c>
    </row>
    <row r="2642" spans="1:10" ht="36.75" customHeight="1" x14ac:dyDescent="0.25">
      <c r="A2642" s="14">
        <v>14441</v>
      </c>
      <c r="B2642" s="7" t="s">
        <v>236</v>
      </c>
      <c r="C2642" s="7" t="s">
        <v>237</v>
      </c>
      <c r="D2642" s="7" t="s">
        <v>1509</v>
      </c>
      <c r="E2642" s="7" t="s">
        <v>239</v>
      </c>
      <c r="F2642" s="7" t="s">
        <v>205</v>
      </c>
      <c r="G2642" s="7" t="s">
        <v>1510</v>
      </c>
      <c r="H2642" s="15">
        <v>1218.51</v>
      </c>
      <c r="I2642" s="15">
        <v>1218.51</v>
      </c>
      <c r="J2642" s="7" t="str">
        <f>IFERROR(_xlfn.XLOOKUP(F2642,ccustos!A:A,ccustos!B:B),"Sem termo")</f>
        <v>CCOM</v>
      </c>
    </row>
    <row r="2643" spans="1:10" ht="36.75" customHeight="1" x14ac:dyDescent="0.25">
      <c r="A2643" s="16">
        <v>14442</v>
      </c>
      <c r="B2643" s="17" t="s">
        <v>236</v>
      </c>
      <c r="C2643" s="17" t="s">
        <v>237</v>
      </c>
      <c r="D2643" s="17" t="s">
        <v>1509</v>
      </c>
      <c r="E2643" s="17" t="s">
        <v>239</v>
      </c>
      <c r="F2643" s="17" t="s">
        <v>205</v>
      </c>
      <c r="G2643" s="17" t="s">
        <v>1510</v>
      </c>
      <c r="H2643" s="18">
        <v>1218.51</v>
      </c>
      <c r="I2643" s="18">
        <v>1218.51</v>
      </c>
      <c r="J2643" s="7" t="str">
        <f>IFERROR(_xlfn.XLOOKUP(F2643,ccustos!A:A,ccustos!B:B),"Sem termo")</f>
        <v>CCOM</v>
      </c>
    </row>
    <row r="2644" spans="1:10" ht="36.75" customHeight="1" x14ac:dyDescent="0.25">
      <c r="A2644" s="14">
        <v>14443</v>
      </c>
      <c r="B2644" s="7" t="s">
        <v>236</v>
      </c>
      <c r="C2644" s="7" t="s">
        <v>237</v>
      </c>
      <c r="D2644" s="7" t="s">
        <v>1509</v>
      </c>
      <c r="E2644" s="7" t="s">
        <v>239</v>
      </c>
      <c r="F2644" s="7" t="s">
        <v>205</v>
      </c>
      <c r="G2644" s="7" t="s">
        <v>1510</v>
      </c>
      <c r="H2644" s="15">
        <v>1218.51</v>
      </c>
      <c r="I2644" s="15">
        <v>1218.51</v>
      </c>
      <c r="J2644" s="7" t="str">
        <f>IFERROR(_xlfn.XLOOKUP(F2644,ccustos!A:A,ccustos!B:B),"Sem termo")</f>
        <v>CCOM</v>
      </c>
    </row>
    <row r="2645" spans="1:10" ht="36.75" customHeight="1" x14ac:dyDescent="0.25">
      <c r="A2645" s="16">
        <v>14444</v>
      </c>
      <c r="B2645" s="17" t="s">
        <v>236</v>
      </c>
      <c r="C2645" s="17" t="s">
        <v>237</v>
      </c>
      <c r="D2645" s="17" t="s">
        <v>1509</v>
      </c>
      <c r="E2645" s="17" t="s">
        <v>239</v>
      </c>
      <c r="F2645" s="17" t="s">
        <v>205</v>
      </c>
      <c r="G2645" s="17" t="s">
        <v>1510</v>
      </c>
      <c r="H2645" s="18">
        <v>1218.51</v>
      </c>
      <c r="I2645" s="18">
        <v>1218.51</v>
      </c>
      <c r="J2645" s="7" t="str">
        <f>IFERROR(_xlfn.XLOOKUP(F2645,ccustos!A:A,ccustos!B:B),"Sem termo")</f>
        <v>CCOM</v>
      </c>
    </row>
    <row r="2646" spans="1:10" ht="36.75" customHeight="1" x14ac:dyDescent="0.25">
      <c r="A2646" s="14">
        <v>14445</v>
      </c>
      <c r="B2646" s="7" t="s">
        <v>236</v>
      </c>
      <c r="C2646" s="7" t="s">
        <v>237</v>
      </c>
      <c r="D2646" s="7" t="s">
        <v>1509</v>
      </c>
      <c r="E2646" s="7" t="s">
        <v>239</v>
      </c>
      <c r="F2646" s="7" t="s">
        <v>205</v>
      </c>
      <c r="G2646" s="7" t="s">
        <v>1510</v>
      </c>
      <c r="H2646" s="15">
        <v>1218.51</v>
      </c>
      <c r="I2646" s="15">
        <v>1218.51</v>
      </c>
      <c r="J2646" s="7" t="str">
        <f>IFERROR(_xlfn.XLOOKUP(F2646,ccustos!A:A,ccustos!B:B),"Sem termo")</f>
        <v>CCOM</v>
      </c>
    </row>
    <row r="2647" spans="1:10" ht="36.75" customHeight="1" x14ac:dyDescent="0.25">
      <c r="A2647" s="16">
        <v>14446</v>
      </c>
      <c r="B2647" s="17" t="s">
        <v>236</v>
      </c>
      <c r="C2647" s="17" t="s">
        <v>237</v>
      </c>
      <c r="D2647" s="17" t="s">
        <v>1509</v>
      </c>
      <c r="E2647" s="17" t="s">
        <v>239</v>
      </c>
      <c r="F2647" s="17" t="s">
        <v>205</v>
      </c>
      <c r="G2647" s="17" t="s">
        <v>1510</v>
      </c>
      <c r="H2647" s="18">
        <v>1218.51</v>
      </c>
      <c r="I2647" s="18">
        <v>1218.51</v>
      </c>
      <c r="J2647" s="7" t="str">
        <f>IFERROR(_xlfn.XLOOKUP(F2647,ccustos!A:A,ccustos!B:B),"Sem termo")</f>
        <v>CCOM</v>
      </c>
    </row>
    <row r="2648" spans="1:10" ht="36.75" customHeight="1" x14ac:dyDescent="0.25">
      <c r="A2648" s="14">
        <v>14447</v>
      </c>
      <c r="B2648" s="7" t="s">
        <v>236</v>
      </c>
      <c r="C2648" s="7" t="s">
        <v>237</v>
      </c>
      <c r="D2648" s="7" t="s">
        <v>1509</v>
      </c>
      <c r="E2648" s="7" t="s">
        <v>239</v>
      </c>
      <c r="F2648" s="7" t="s">
        <v>205</v>
      </c>
      <c r="G2648" s="7" t="s">
        <v>1510</v>
      </c>
      <c r="H2648" s="15">
        <v>1269.99</v>
      </c>
      <c r="I2648" s="15">
        <v>1218.51</v>
      </c>
      <c r="J2648" s="7" t="str">
        <f>IFERROR(_xlfn.XLOOKUP(F2648,ccustos!A:A,ccustos!B:B),"Sem termo")</f>
        <v>CCOM</v>
      </c>
    </row>
    <row r="2649" spans="1:10" ht="36.75" customHeight="1" x14ac:dyDescent="0.25">
      <c r="A2649" s="16">
        <v>14448</v>
      </c>
      <c r="B2649" s="17" t="s">
        <v>236</v>
      </c>
      <c r="C2649" s="17" t="s">
        <v>237</v>
      </c>
      <c r="D2649" s="17" t="s">
        <v>1509</v>
      </c>
      <c r="E2649" s="17" t="s">
        <v>239</v>
      </c>
      <c r="F2649" s="17" t="s">
        <v>205</v>
      </c>
      <c r="G2649" s="17" t="s">
        <v>1510</v>
      </c>
      <c r="H2649" s="18">
        <v>1270</v>
      </c>
      <c r="I2649" s="18">
        <v>1218.51</v>
      </c>
      <c r="J2649" s="7" t="str">
        <f>IFERROR(_xlfn.XLOOKUP(F2649,ccustos!A:A,ccustos!B:B),"Sem termo")</f>
        <v>CCOM</v>
      </c>
    </row>
    <row r="2650" spans="1:10" ht="36.75" customHeight="1" x14ac:dyDescent="0.25">
      <c r="A2650" s="14">
        <v>14449</v>
      </c>
      <c r="B2650" s="7" t="s">
        <v>236</v>
      </c>
      <c r="C2650" s="7" t="s">
        <v>237</v>
      </c>
      <c r="D2650" s="7" t="s">
        <v>1509</v>
      </c>
      <c r="E2650" s="7" t="s">
        <v>239</v>
      </c>
      <c r="F2650" s="7" t="s">
        <v>9</v>
      </c>
      <c r="G2650" s="7" t="s">
        <v>1510</v>
      </c>
      <c r="H2650" s="15">
        <v>1270</v>
      </c>
      <c r="I2650" s="15">
        <v>1218.51</v>
      </c>
      <c r="J2650" s="7" t="str">
        <f>IFERROR(_xlfn.XLOOKUP(F2650,ccustos!A:A,ccustos!B:B),"Sem termo")</f>
        <v>DEINFRA</v>
      </c>
    </row>
    <row r="2651" spans="1:10" ht="36.75" customHeight="1" x14ac:dyDescent="0.25">
      <c r="A2651" s="16">
        <v>14450</v>
      </c>
      <c r="B2651" s="17" t="s">
        <v>236</v>
      </c>
      <c r="C2651" s="17" t="s">
        <v>237</v>
      </c>
      <c r="D2651" s="17" t="s">
        <v>1509</v>
      </c>
      <c r="E2651" s="17" t="s">
        <v>239</v>
      </c>
      <c r="F2651" s="17" t="s">
        <v>205</v>
      </c>
      <c r="G2651" s="17" t="s">
        <v>1510</v>
      </c>
      <c r="H2651" s="18">
        <v>1270</v>
      </c>
      <c r="I2651" s="18">
        <v>1218.51</v>
      </c>
      <c r="J2651" s="7" t="str">
        <f>IFERROR(_xlfn.XLOOKUP(F2651,ccustos!A:A,ccustos!B:B),"Sem termo")</f>
        <v>CCOM</v>
      </c>
    </row>
    <row r="2652" spans="1:10" ht="36.75" customHeight="1" x14ac:dyDescent="0.25">
      <c r="A2652" s="14">
        <v>14451</v>
      </c>
      <c r="B2652" s="7" t="s">
        <v>236</v>
      </c>
      <c r="C2652" s="7" t="s">
        <v>237</v>
      </c>
      <c r="D2652" s="7" t="s">
        <v>1509</v>
      </c>
      <c r="E2652" s="7" t="s">
        <v>239</v>
      </c>
      <c r="F2652" s="7" t="s">
        <v>205</v>
      </c>
      <c r="G2652" s="7" t="s">
        <v>1510</v>
      </c>
      <c r="H2652" s="15">
        <v>1270</v>
      </c>
      <c r="I2652" s="15">
        <v>1218.51</v>
      </c>
      <c r="J2652" s="7" t="str">
        <f>IFERROR(_xlfn.XLOOKUP(F2652,ccustos!A:A,ccustos!B:B),"Sem termo")</f>
        <v>CCOM</v>
      </c>
    </row>
    <row r="2653" spans="1:10" ht="36.75" customHeight="1" x14ac:dyDescent="0.25">
      <c r="A2653" s="16">
        <v>14452</v>
      </c>
      <c r="B2653" s="17" t="s">
        <v>236</v>
      </c>
      <c r="C2653" s="17" t="s">
        <v>237</v>
      </c>
      <c r="D2653" s="17" t="s">
        <v>1509</v>
      </c>
      <c r="E2653" s="17" t="s">
        <v>239</v>
      </c>
      <c r="F2653" s="17" t="s">
        <v>47</v>
      </c>
      <c r="G2653" s="17" t="s">
        <v>1510</v>
      </c>
      <c r="H2653" s="18">
        <v>1270</v>
      </c>
      <c r="I2653" s="18">
        <v>1218.51</v>
      </c>
      <c r="J2653" s="7" t="str">
        <f>IFERROR(_xlfn.XLOOKUP(F2653,ccustos!A:A,ccustos!B:B),"Sem termo")</f>
        <v>CDPROF</v>
      </c>
    </row>
    <row r="2654" spans="1:10" ht="36.75" customHeight="1" x14ac:dyDescent="0.25">
      <c r="A2654" s="14">
        <v>14453</v>
      </c>
      <c r="B2654" s="7" t="s">
        <v>236</v>
      </c>
      <c r="C2654" s="7" t="s">
        <v>237</v>
      </c>
      <c r="D2654" s="7" t="s">
        <v>1509</v>
      </c>
      <c r="E2654" s="7" t="s">
        <v>239</v>
      </c>
      <c r="F2654" s="7" t="s">
        <v>303</v>
      </c>
      <c r="G2654" s="7" t="s">
        <v>1510</v>
      </c>
      <c r="H2654" s="15">
        <v>1270</v>
      </c>
      <c r="I2654" s="15">
        <v>1218.51</v>
      </c>
      <c r="J2654" s="7" t="str">
        <f>IFERROR(_xlfn.XLOOKUP(F2654,ccustos!A:A,ccustos!B:B),"Sem termo")</f>
        <v>Sem termo</v>
      </c>
    </row>
    <row r="2655" spans="1:10" ht="36.75" customHeight="1" x14ac:dyDescent="0.25">
      <c r="A2655" s="16">
        <v>14454</v>
      </c>
      <c r="B2655" s="17" t="s">
        <v>236</v>
      </c>
      <c r="C2655" s="17" t="s">
        <v>237</v>
      </c>
      <c r="D2655" s="17" t="s">
        <v>1509</v>
      </c>
      <c r="E2655" s="17" t="s">
        <v>239</v>
      </c>
      <c r="F2655" s="17" t="s">
        <v>303</v>
      </c>
      <c r="G2655" s="17" t="s">
        <v>1510</v>
      </c>
      <c r="H2655" s="18">
        <v>1270</v>
      </c>
      <c r="I2655" s="18">
        <v>1218.51</v>
      </c>
      <c r="J2655" s="7" t="str">
        <f>IFERROR(_xlfn.XLOOKUP(F2655,ccustos!A:A,ccustos!B:B),"Sem termo")</f>
        <v>Sem termo</v>
      </c>
    </row>
    <row r="2656" spans="1:10" ht="36.75" customHeight="1" x14ac:dyDescent="0.25">
      <c r="A2656" s="14">
        <v>14455</v>
      </c>
      <c r="B2656" s="7" t="s">
        <v>236</v>
      </c>
      <c r="C2656" s="7" t="s">
        <v>237</v>
      </c>
      <c r="D2656" s="7" t="s">
        <v>1509</v>
      </c>
      <c r="E2656" s="7" t="s">
        <v>239</v>
      </c>
      <c r="F2656" s="7" t="s">
        <v>28</v>
      </c>
      <c r="G2656" s="7" t="s">
        <v>1510</v>
      </c>
      <c r="H2656" s="15">
        <v>1270</v>
      </c>
      <c r="I2656" s="15">
        <v>1218.51</v>
      </c>
      <c r="J2656" s="7" t="str">
        <f>IFERROR(_xlfn.XLOOKUP(F2656,ccustos!A:A,ccustos!B:B),"Sem termo")</f>
        <v>COPI</v>
      </c>
    </row>
    <row r="2657" spans="1:10" ht="36.75" customHeight="1" x14ac:dyDescent="0.25">
      <c r="A2657" s="16">
        <v>14456</v>
      </c>
      <c r="B2657" s="17" t="s">
        <v>236</v>
      </c>
      <c r="C2657" s="17" t="s">
        <v>237</v>
      </c>
      <c r="D2657" s="17" t="s">
        <v>1509</v>
      </c>
      <c r="E2657" s="17" t="s">
        <v>239</v>
      </c>
      <c r="F2657" s="17" t="s">
        <v>47</v>
      </c>
      <c r="G2657" s="17" t="s">
        <v>1510</v>
      </c>
      <c r="H2657" s="18">
        <v>1270</v>
      </c>
      <c r="I2657" s="18">
        <v>1218.51</v>
      </c>
      <c r="J2657" s="7" t="str">
        <f>IFERROR(_xlfn.XLOOKUP(F2657,ccustos!A:A,ccustos!B:B),"Sem termo")</f>
        <v>CDPROF</v>
      </c>
    </row>
    <row r="2658" spans="1:10" ht="36.75" customHeight="1" x14ac:dyDescent="0.25">
      <c r="A2658" s="14">
        <v>14457</v>
      </c>
      <c r="B2658" s="7" t="s">
        <v>236</v>
      </c>
      <c r="C2658" s="7" t="s">
        <v>237</v>
      </c>
      <c r="D2658" s="7" t="s">
        <v>1509</v>
      </c>
      <c r="E2658" s="7" t="s">
        <v>239</v>
      </c>
      <c r="F2658" s="7" t="s">
        <v>22</v>
      </c>
      <c r="G2658" s="7" t="s">
        <v>1510</v>
      </c>
      <c r="H2658" s="15">
        <v>1270</v>
      </c>
      <c r="I2658" s="15">
        <v>1218.51</v>
      </c>
      <c r="J2658" s="7" t="str">
        <f>IFERROR(_xlfn.XLOOKUP(F2658,ccustos!A:A,ccustos!B:B),"Sem termo")</f>
        <v>COTEC</v>
      </c>
    </row>
    <row r="2659" spans="1:10" ht="36.75" customHeight="1" x14ac:dyDescent="0.25">
      <c r="A2659" s="16">
        <v>14458</v>
      </c>
      <c r="B2659" s="17" t="s">
        <v>236</v>
      </c>
      <c r="C2659" s="17" t="s">
        <v>237</v>
      </c>
      <c r="D2659" s="17" t="s">
        <v>1509</v>
      </c>
      <c r="E2659" s="17" t="s">
        <v>239</v>
      </c>
      <c r="F2659" s="17" t="s">
        <v>35</v>
      </c>
      <c r="G2659" s="17" t="s">
        <v>1510</v>
      </c>
      <c r="H2659" s="18">
        <v>1270</v>
      </c>
      <c r="I2659" s="18">
        <v>1218.51</v>
      </c>
      <c r="J2659" s="7" t="str">
        <f>IFERROR(_xlfn.XLOOKUP(F2659,ccustos!A:A,ccustos!B:B),"Sem termo")</f>
        <v>DEINFRA</v>
      </c>
    </row>
    <row r="2660" spans="1:10" ht="36.75" customHeight="1" x14ac:dyDescent="0.25">
      <c r="A2660" s="14">
        <v>14459</v>
      </c>
      <c r="B2660" s="7" t="s">
        <v>236</v>
      </c>
      <c r="C2660" s="7" t="s">
        <v>237</v>
      </c>
      <c r="D2660" s="7" t="s">
        <v>1509</v>
      </c>
      <c r="E2660" s="7" t="s">
        <v>239</v>
      </c>
      <c r="F2660" s="7" t="s">
        <v>185</v>
      </c>
      <c r="G2660" s="7" t="s">
        <v>1510</v>
      </c>
      <c r="H2660" s="15">
        <v>1270</v>
      </c>
      <c r="I2660" s="15">
        <v>1218.51</v>
      </c>
      <c r="J2660" s="7" t="str">
        <f>IFERROR(_xlfn.XLOOKUP(F2660,ccustos!A:A,ccustos!B:B),"Sem termo")</f>
        <v>CGGE</v>
      </c>
    </row>
    <row r="2661" spans="1:10" ht="36.75" customHeight="1" x14ac:dyDescent="0.25">
      <c r="A2661" s="16">
        <v>14460</v>
      </c>
      <c r="B2661" s="17" t="s">
        <v>236</v>
      </c>
      <c r="C2661" s="17" t="s">
        <v>237</v>
      </c>
      <c r="D2661" s="17" t="s">
        <v>1509</v>
      </c>
      <c r="E2661" s="17" t="s">
        <v>239</v>
      </c>
      <c r="F2661" s="17" t="s">
        <v>60</v>
      </c>
      <c r="G2661" s="17" t="s">
        <v>1510</v>
      </c>
      <c r="H2661" s="18">
        <v>1218.51</v>
      </c>
      <c r="I2661" s="18">
        <v>1218.51</v>
      </c>
      <c r="J2661" s="7" t="str">
        <f>IFERROR(_xlfn.XLOOKUP(F2661,ccustos!A:A,ccustos!B:B),"Sem termo")</f>
        <v>DEGEP</v>
      </c>
    </row>
    <row r="2662" spans="1:10" ht="36.75" customHeight="1" x14ac:dyDescent="0.25">
      <c r="A2662" s="14">
        <v>14461</v>
      </c>
      <c r="B2662" s="7" t="s">
        <v>236</v>
      </c>
      <c r="C2662" s="7" t="s">
        <v>237</v>
      </c>
      <c r="D2662" s="7" t="s">
        <v>1509</v>
      </c>
      <c r="E2662" s="7" t="s">
        <v>239</v>
      </c>
      <c r="F2662" s="7" t="s">
        <v>22</v>
      </c>
      <c r="G2662" s="7" t="s">
        <v>1510</v>
      </c>
      <c r="H2662" s="15">
        <v>1270</v>
      </c>
      <c r="I2662" s="15">
        <v>1218.51</v>
      </c>
      <c r="J2662" s="7" t="str">
        <f>IFERROR(_xlfn.XLOOKUP(F2662,ccustos!A:A,ccustos!B:B),"Sem termo")</f>
        <v>COTEC</v>
      </c>
    </row>
    <row r="2663" spans="1:10" ht="36.75" customHeight="1" x14ac:dyDescent="0.25">
      <c r="A2663" s="16">
        <v>14462</v>
      </c>
      <c r="B2663" s="17" t="s">
        <v>236</v>
      </c>
      <c r="C2663" s="17" t="s">
        <v>237</v>
      </c>
      <c r="D2663" s="17" t="s">
        <v>1509</v>
      </c>
      <c r="E2663" s="17" t="s">
        <v>239</v>
      </c>
      <c r="F2663" s="17" t="s">
        <v>18</v>
      </c>
      <c r="G2663" s="17" t="s">
        <v>1510</v>
      </c>
      <c r="H2663" s="18">
        <v>1270</v>
      </c>
      <c r="I2663" s="18">
        <v>1218.51</v>
      </c>
      <c r="J2663" s="7" t="str">
        <f>IFERROR(_xlfn.XLOOKUP(F2663,ccustos!A:A,ccustos!B:B),"Sem termo")</f>
        <v>DEINFRA</v>
      </c>
    </row>
    <row r="2664" spans="1:10" ht="36.75" customHeight="1" x14ac:dyDescent="0.25">
      <c r="A2664" s="14">
        <v>14463</v>
      </c>
      <c r="B2664" s="7" t="s">
        <v>236</v>
      </c>
      <c r="C2664" s="7" t="s">
        <v>237</v>
      </c>
      <c r="D2664" s="7" t="s">
        <v>1509</v>
      </c>
      <c r="E2664" s="7" t="s">
        <v>239</v>
      </c>
      <c r="F2664" s="7" t="s">
        <v>185</v>
      </c>
      <c r="G2664" s="7" t="s">
        <v>1510</v>
      </c>
      <c r="H2664" s="15">
        <v>1218.51</v>
      </c>
      <c r="I2664" s="15">
        <v>1218.51</v>
      </c>
      <c r="J2664" s="7" t="str">
        <f>IFERROR(_xlfn.XLOOKUP(F2664,ccustos!A:A,ccustos!B:B),"Sem termo")</f>
        <v>CGGE</v>
      </c>
    </row>
    <row r="2665" spans="1:10" ht="36.75" customHeight="1" x14ac:dyDescent="0.25">
      <c r="A2665" s="16">
        <v>14464</v>
      </c>
      <c r="B2665" s="17" t="s">
        <v>236</v>
      </c>
      <c r="C2665" s="17" t="s">
        <v>237</v>
      </c>
      <c r="D2665" s="17" t="s">
        <v>1509</v>
      </c>
      <c r="E2665" s="17" t="s">
        <v>239</v>
      </c>
      <c r="F2665" s="17" t="s">
        <v>303</v>
      </c>
      <c r="G2665" s="17" t="s">
        <v>1510</v>
      </c>
      <c r="H2665" s="18">
        <v>1218.51</v>
      </c>
      <c r="I2665" s="18">
        <v>1218.51</v>
      </c>
      <c r="J2665" s="7" t="str">
        <f>IFERROR(_xlfn.XLOOKUP(F2665,ccustos!A:A,ccustos!B:B),"Sem termo")</f>
        <v>Sem termo</v>
      </c>
    </row>
    <row r="2666" spans="1:10" ht="36.75" customHeight="1" x14ac:dyDescent="0.25">
      <c r="A2666" s="14">
        <v>14465</v>
      </c>
      <c r="B2666" s="7" t="s">
        <v>236</v>
      </c>
      <c r="C2666" s="7" t="s">
        <v>237</v>
      </c>
      <c r="D2666" s="7" t="s">
        <v>1509</v>
      </c>
      <c r="E2666" s="7" t="s">
        <v>239</v>
      </c>
      <c r="F2666" s="7" t="s">
        <v>8</v>
      </c>
      <c r="G2666" s="7" t="s">
        <v>1510</v>
      </c>
      <c r="H2666" s="15">
        <v>1218.51</v>
      </c>
      <c r="I2666" s="15">
        <v>1218.51</v>
      </c>
      <c r="J2666" s="7" t="str">
        <f>IFERROR(_xlfn.XLOOKUP(F2666,ccustos!A:A,ccustos!B:B),"Sem termo")</f>
        <v>DEINFRA</v>
      </c>
    </row>
    <row r="2667" spans="1:10" ht="36.75" customHeight="1" x14ac:dyDescent="0.25">
      <c r="A2667" s="16">
        <v>14466</v>
      </c>
      <c r="B2667" s="17" t="s">
        <v>236</v>
      </c>
      <c r="C2667" s="17" t="s">
        <v>237</v>
      </c>
      <c r="D2667" s="17" t="s">
        <v>1509</v>
      </c>
      <c r="E2667" s="17" t="s">
        <v>239</v>
      </c>
      <c r="F2667" s="17" t="s">
        <v>185</v>
      </c>
      <c r="G2667" s="17" t="s">
        <v>1510</v>
      </c>
      <c r="H2667" s="18">
        <v>1218.51</v>
      </c>
      <c r="I2667" s="18">
        <v>1218.51</v>
      </c>
      <c r="J2667" s="7" t="str">
        <f>IFERROR(_xlfn.XLOOKUP(F2667,ccustos!A:A,ccustos!B:B),"Sem termo")</f>
        <v>CGGE</v>
      </c>
    </row>
    <row r="2668" spans="1:10" ht="36.75" customHeight="1" x14ac:dyDescent="0.25">
      <c r="A2668" s="14">
        <v>14467</v>
      </c>
      <c r="B2668" s="7" t="s">
        <v>236</v>
      </c>
      <c r="C2668" s="7" t="s">
        <v>237</v>
      </c>
      <c r="D2668" s="7" t="s">
        <v>1509</v>
      </c>
      <c r="E2668" s="7" t="s">
        <v>239</v>
      </c>
      <c r="F2668" s="7" t="s">
        <v>22</v>
      </c>
      <c r="G2668" s="7" t="s">
        <v>1510</v>
      </c>
      <c r="H2668" s="15">
        <v>1218.51</v>
      </c>
      <c r="I2668" s="15">
        <v>1218.51</v>
      </c>
      <c r="J2668" s="7" t="str">
        <f>IFERROR(_xlfn.XLOOKUP(F2668,ccustos!A:A,ccustos!B:B),"Sem termo")</f>
        <v>COTEC</v>
      </c>
    </row>
    <row r="2669" spans="1:10" ht="36.75" customHeight="1" x14ac:dyDescent="0.25">
      <c r="A2669" s="16">
        <v>14468</v>
      </c>
      <c r="B2669" s="17" t="s">
        <v>236</v>
      </c>
      <c r="C2669" s="17" t="s">
        <v>237</v>
      </c>
      <c r="D2669" s="17" t="s">
        <v>1509</v>
      </c>
      <c r="E2669" s="17" t="s">
        <v>239</v>
      </c>
      <c r="F2669" s="17" t="s">
        <v>55</v>
      </c>
      <c r="G2669" s="17" t="s">
        <v>1510</v>
      </c>
      <c r="H2669" s="18">
        <v>1218.51</v>
      </c>
      <c r="I2669" s="18">
        <v>1218.51</v>
      </c>
      <c r="J2669" s="7" t="str">
        <f>IFERROR(_xlfn.XLOOKUP(F2669,ccustos!A:A,ccustos!B:B),"Sem termo")</f>
        <v>DEPAD</v>
      </c>
    </row>
    <row r="2670" spans="1:10" ht="36.75" customHeight="1" x14ac:dyDescent="0.25">
      <c r="A2670" s="14">
        <v>14469</v>
      </c>
      <c r="B2670" s="7" t="s">
        <v>236</v>
      </c>
      <c r="C2670" s="7" t="s">
        <v>237</v>
      </c>
      <c r="D2670" s="7" t="s">
        <v>1509</v>
      </c>
      <c r="E2670" s="7" t="s">
        <v>239</v>
      </c>
      <c r="F2670" s="7" t="s">
        <v>303</v>
      </c>
      <c r="G2670" s="7" t="s">
        <v>1510</v>
      </c>
      <c r="H2670" s="15">
        <v>1218.51</v>
      </c>
      <c r="I2670" s="15">
        <v>1218.51</v>
      </c>
      <c r="J2670" s="7" t="str">
        <f>IFERROR(_xlfn.XLOOKUP(F2670,ccustos!A:A,ccustos!B:B),"Sem termo")</f>
        <v>Sem termo</v>
      </c>
    </row>
    <row r="2671" spans="1:10" ht="36.75" customHeight="1" x14ac:dyDescent="0.25">
      <c r="A2671" s="16">
        <v>14470</v>
      </c>
      <c r="B2671" s="17" t="s">
        <v>236</v>
      </c>
      <c r="C2671" s="17" t="s">
        <v>237</v>
      </c>
      <c r="D2671" s="17" t="s">
        <v>1509</v>
      </c>
      <c r="E2671" s="17" t="s">
        <v>239</v>
      </c>
      <c r="F2671" s="17" t="s">
        <v>185</v>
      </c>
      <c r="G2671" s="17" t="s">
        <v>1510</v>
      </c>
      <c r="H2671" s="18">
        <v>1218.51</v>
      </c>
      <c r="I2671" s="18">
        <v>1218.51</v>
      </c>
      <c r="J2671" s="7" t="str">
        <f>IFERROR(_xlfn.XLOOKUP(F2671,ccustos!A:A,ccustos!B:B),"Sem termo")</f>
        <v>CGGE</v>
      </c>
    </row>
    <row r="2672" spans="1:10" ht="36.75" customHeight="1" x14ac:dyDescent="0.25">
      <c r="A2672" s="14">
        <v>14471</v>
      </c>
      <c r="B2672" s="7" t="s">
        <v>236</v>
      </c>
      <c r="C2672" s="7" t="s">
        <v>237</v>
      </c>
      <c r="D2672" s="7" t="s">
        <v>1509</v>
      </c>
      <c r="E2672" s="7" t="s">
        <v>239</v>
      </c>
      <c r="F2672" s="7" t="s">
        <v>22</v>
      </c>
      <c r="G2672" s="7" t="s">
        <v>1510</v>
      </c>
      <c r="H2672" s="15">
        <v>1218.51</v>
      </c>
      <c r="I2672" s="15">
        <v>1218.51</v>
      </c>
      <c r="J2672" s="7" t="str">
        <f>IFERROR(_xlfn.XLOOKUP(F2672,ccustos!A:A,ccustos!B:B),"Sem termo")</f>
        <v>COTEC</v>
      </c>
    </row>
    <row r="2673" spans="1:10" ht="36.75" customHeight="1" x14ac:dyDescent="0.25">
      <c r="A2673" s="16">
        <v>14472</v>
      </c>
      <c r="B2673" s="17" t="s">
        <v>236</v>
      </c>
      <c r="C2673" s="17" t="s">
        <v>237</v>
      </c>
      <c r="D2673" s="17" t="s">
        <v>1509</v>
      </c>
      <c r="E2673" s="17" t="s">
        <v>239</v>
      </c>
      <c r="F2673" s="17" t="s">
        <v>70</v>
      </c>
      <c r="G2673" s="17" t="s">
        <v>1510</v>
      </c>
      <c r="H2673" s="18">
        <v>1218.51</v>
      </c>
      <c r="I2673" s="18">
        <v>1218.51</v>
      </c>
      <c r="J2673" s="7" t="str">
        <f>IFERROR(_xlfn.XLOOKUP(F2673,ccustos!A:A,ccustos!B:B),"Sem termo")</f>
        <v>SEBIB</v>
      </c>
    </row>
    <row r="2674" spans="1:10" ht="25.5" customHeight="1" x14ac:dyDescent="0.25">
      <c r="A2674" s="14">
        <v>14473</v>
      </c>
      <c r="B2674" s="7" t="s">
        <v>236</v>
      </c>
      <c r="C2674" s="7" t="s">
        <v>237</v>
      </c>
      <c r="D2674" s="7" t="s">
        <v>1509</v>
      </c>
      <c r="E2674" s="7" t="s">
        <v>239</v>
      </c>
      <c r="F2674" s="7" t="s">
        <v>47</v>
      </c>
      <c r="G2674" s="7" t="s">
        <v>1510</v>
      </c>
      <c r="H2674" s="15">
        <v>1218.51</v>
      </c>
      <c r="I2674" s="15">
        <v>1218.51</v>
      </c>
      <c r="J2674" s="7" t="str">
        <f>IFERROR(_xlfn.XLOOKUP(F2674,ccustos!A:A,ccustos!B:B),"Sem termo")</f>
        <v>CDPROF</v>
      </c>
    </row>
    <row r="2675" spans="1:10" ht="25.5" customHeight="1" x14ac:dyDescent="0.25">
      <c r="A2675" s="16">
        <v>14474</v>
      </c>
      <c r="B2675" s="17" t="s">
        <v>236</v>
      </c>
      <c r="C2675" s="17" t="s">
        <v>237</v>
      </c>
      <c r="D2675" s="17" t="s">
        <v>1509</v>
      </c>
      <c r="E2675" s="17" t="s">
        <v>239</v>
      </c>
      <c r="F2675" s="17" t="s">
        <v>22</v>
      </c>
      <c r="G2675" s="17" t="s">
        <v>1510</v>
      </c>
      <c r="H2675" s="18">
        <v>1218.51</v>
      </c>
      <c r="I2675" s="18">
        <v>1218.51</v>
      </c>
      <c r="J2675" s="7" t="str">
        <f>IFERROR(_xlfn.XLOOKUP(F2675,ccustos!A:A,ccustos!B:B),"Sem termo")</f>
        <v>COTEC</v>
      </c>
    </row>
    <row r="2676" spans="1:10" ht="25.5" customHeight="1" x14ac:dyDescent="0.25">
      <c r="A2676" s="14">
        <v>14475</v>
      </c>
      <c r="B2676" s="7" t="s">
        <v>236</v>
      </c>
      <c r="C2676" s="7" t="s">
        <v>237</v>
      </c>
      <c r="D2676" s="7" t="s">
        <v>1509</v>
      </c>
      <c r="E2676" s="7" t="s">
        <v>239</v>
      </c>
      <c r="F2676" s="7" t="s">
        <v>70</v>
      </c>
      <c r="G2676" s="7" t="s">
        <v>1510</v>
      </c>
      <c r="H2676" s="15">
        <v>1218.51</v>
      </c>
      <c r="I2676" s="15">
        <v>1218.51</v>
      </c>
      <c r="J2676" s="7" t="str">
        <f>IFERROR(_xlfn.XLOOKUP(F2676,ccustos!A:A,ccustos!B:B),"Sem termo")</f>
        <v>SEBIB</v>
      </c>
    </row>
    <row r="2677" spans="1:10" ht="25.5" customHeight="1" x14ac:dyDescent="0.25">
      <c r="A2677" s="16">
        <v>14476</v>
      </c>
      <c r="B2677" s="17" t="s">
        <v>236</v>
      </c>
      <c r="C2677" s="17" t="s">
        <v>237</v>
      </c>
      <c r="D2677" s="17" t="s">
        <v>1509</v>
      </c>
      <c r="E2677" s="17" t="s">
        <v>239</v>
      </c>
      <c r="F2677" s="17" t="s">
        <v>70</v>
      </c>
      <c r="G2677" s="17" t="s">
        <v>1510</v>
      </c>
      <c r="H2677" s="18">
        <v>1218.51</v>
      </c>
      <c r="I2677" s="18">
        <v>1218.51</v>
      </c>
      <c r="J2677" s="7" t="str">
        <f>IFERROR(_xlfn.XLOOKUP(F2677,ccustos!A:A,ccustos!B:B),"Sem termo")</f>
        <v>SEBIB</v>
      </c>
    </row>
    <row r="2678" spans="1:10" ht="36.75" customHeight="1" x14ac:dyDescent="0.25">
      <c r="A2678" s="14">
        <v>14477</v>
      </c>
      <c r="B2678" s="7" t="s">
        <v>236</v>
      </c>
      <c r="C2678" s="7" t="s">
        <v>237</v>
      </c>
      <c r="D2678" s="7" t="s">
        <v>1509</v>
      </c>
      <c r="E2678" s="7" t="s">
        <v>239</v>
      </c>
      <c r="F2678" s="7" t="s">
        <v>24</v>
      </c>
      <c r="G2678" s="7" t="s">
        <v>1510</v>
      </c>
      <c r="H2678" s="15">
        <v>1218.51</v>
      </c>
      <c r="I2678" s="15">
        <v>1218.51</v>
      </c>
      <c r="J2678" s="7" t="str">
        <f>IFERROR(_xlfn.XLOOKUP(F2678,ccustos!A:A,ccustos!B:B),"Sem termo")</f>
        <v>DEINFRA</v>
      </c>
    </row>
    <row r="2679" spans="1:10" ht="36.75" customHeight="1" x14ac:dyDescent="0.25">
      <c r="A2679" s="16">
        <v>14478</v>
      </c>
      <c r="B2679" s="17" t="s">
        <v>236</v>
      </c>
      <c r="C2679" s="17" t="s">
        <v>237</v>
      </c>
      <c r="D2679" s="17" t="s">
        <v>1509</v>
      </c>
      <c r="E2679" s="17" t="s">
        <v>239</v>
      </c>
      <c r="F2679" s="17" t="s">
        <v>24</v>
      </c>
      <c r="G2679" s="17" t="s">
        <v>1510</v>
      </c>
      <c r="H2679" s="18">
        <v>1218.51</v>
      </c>
      <c r="I2679" s="18">
        <v>1218.51</v>
      </c>
      <c r="J2679" s="7" t="str">
        <f>IFERROR(_xlfn.XLOOKUP(F2679,ccustos!A:A,ccustos!B:B),"Sem termo")</f>
        <v>DEINFRA</v>
      </c>
    </row>
    <row r="2680" spans="1:10" ht="36.75" customHeight="1" x14ac:dyDescent="0.25">
      <c r="A2680" s="14">
        <v>14479</v>
      </c>
      <c r="B2680" s="7" t="s">
        <v>236</v>
      </c>
      <c r="C2680" s="7" t="s">
        <v>237</v>
      </c>
      <c r="D2680" s="7" t="s">
        <v>1509</v>
      </c>
      <c r="E2680" s="7" t="s">
        <v>239</v>
      </c>
      <c r="F2680" s="7" t="s">
        <v>24</v>
      </c>
      <c r="G2680" s="7" t="s">
        <v>1510</v>
      </c>
      <c r="H2680" s="15">
        <v>1218.51</v>
      </c>
      <c r="I2680" s="15">
        <v>1218.51</v>
      </c>
      <c r="J2680" s="7" t="str">
        <f>IFERROR(_xlfn.XLOOKUP(F2680,ccustos!A:A,ccustos!B:B),"Sem termo")</f>
        <v>DEINFRA</v>
      </c>
    </row>
    <row r="2681" spans="1:10" ht="36.75" customHeight="1" x14ac:dyDescent="0.25">
      <c r="A2681" s="16">
        <v>14480</v>
      </c>
      <c r="B2681" s="17" t="s">
        <v>236</v>
      </c>
      <c r="C2681" s="17" t="s">
        <v>237</v>
      </c>
      <c r="D2681" s="17" t="s">
        <v>1509</v>
      </c>
      <c r="E2681" s="17" t="s">
        <v>239</v>
      </c>
      <c r="F2681" s="17" t="s">
        <v>19</v>
      </c>
      <c r="G2681" s="17" t="s">
        <v>1510</v>
      </c>
      <c r="H2681" s="18">
        <v>1218.51</v>
      </c>
      <c r="I2681" s="18">
        <v>1218.51</v>
      </c>
      <c r="J2681" s="7" t="str">
        <f>IFERROR(_xlfn.XLOOKUP(F2681,ccustos!A:A,ccustos!B:B),"Sem termo")</f>
        <v>SEGED</v>
      </c>
    </row>
    <row r="2682" spans="1:10" ht="36.75" customHeight="1" x14ac:dyDescent="0.25">
      <c r="A2682" s="14">
        <v>14481</v>
      </c>
      <c r="B2682" s="7" t="s">
        <v>236</v>
      </c>
      <c r="C2682" s="7" t="s">
        <v>237</v>
      </c>
      <c r="D2682" s="7" t="s">
        <v>1509</v>
      </c>
      <c r="E2682" s="7" t="s">
        <v>239</v>
      </c>
      <c r="F2682" s="7" t="s">
        <v>8</v>
      </c>
      <c r="G2682" s="7" t="s">
        <v>1510</v>
      </c>
      <c r="H2682" s="15">
        <v>1218.51</v>
      </c>
      <c r="I2682" s="15">
        <v>1218.51</v>
      </c>
      <c r="J2682" s="7" t="str">
        <f>IFERROR(_xlfn.XLOOKUP(F2682,ccustos!A:A,ccustos!B:B),"Sem termo")</f>
        <v>DEINFRA</v>
      </c>
    </row>
    <row r="2683" spans="1:10" ht="36.75" customHeight="1" x14ac:dyDescent="0.25">
      <c r="A2683" s="16">
        <v>14482</v>
      </c>
      <c r="B2683" s="17" t="s">
        <v>236</v>
      </c>
      <c r="C2683" s="17" t="s">
        <v>237</v>
      </c>
      <c r="D2683" s="17" t="s">
        <v>1509</v>
      </c>
      <c r="E2683" s="17" t="s">
        <v>239</v>
      </c>
      <c r="F2683" s="17" t="s">
        <v>35</v>
      </c>
      <c r="G2683" s="17" t="s">
        <v>1510</v>
      </c>
      <c r="H2683" s="18">
        <v>1218.51</v>
      </c>
      <c r="I2683" s="18">
        <v>1218.51</v>
      </c>
      <c r="J2683" s="7" t="str">
        <f>IFERROR(_xlfn.XLOOKUP(F2683,ccustos!A:A,ccustos!B:B),"Sem termo")</f>
        <v>DEINFRA</v>
      </c>
    </row>
    <row r="2684" spans="1:10" ht="36.75" customHeight="1" x14ac:dyDescent="0.25">
      <c r="A2684" s="14">
        <v>14483</v>
      </c>
      <c r="B2684" s="7" t="s">
        <v>236</v>
      </c>
      <c r="C2684" s="7" t="s">
        <v>237</v>
      </c>
      <c r="D2684" s="7" t="s">
        <v>1509</v>
      </c>
      <c r="E2684" s="7" t="s">
        <v>239</v>
      </c>
      <c r="F2684" s="7" t="s">
        <v>29</v>
      </c>
      <c r="G2684" s="7" t="s">
        <v>1510</v>
      </c>
      <c r="H2684" s="15">
        <v>1218.51</v>
      </c>
      <c r="I2684" s="15">
        <v>1218.51</v>
      </c>
      <c r="J2684" s="7" t="str">
        <f>IFERROR(_xlfn.XLOOKUP(F2684,ccustos!A:A,ccustos!B:B),"Sem termo")</f>
        <v>COAD</v>
      </c>
    </row>
    <row r="2685" spans="1:10" ht="36.75" customHeight="1" x14ac:dyDescent="0.25">
      <c r="A2685" s="16">
        <v>14484</v>
      </c>
      <c r="B2685" s="17" t="s">
        <v>236</v>
      </c>
      <c r="C2685" s="17" t="s">
        <v>237</v>
      </c>
      <c r="D2685" s="17" t="s">
        <v>1509</v>
      </c>
      <c r="E2685" s="17" t="s">
        <v>239</v>
      </c>
      <c r="F2685" s="17" t="s">
        <v>55</v>
      </c>
      <c r="G2685" s="17" t="s">
        <v>1510</v>
      </c>
      <c r="H2685" s="18">
        <v>1218.51</v>
      </c>
      <c r="I2685" s="18">
        <v>1218.51</v>
      </c>
      <c r="J2685" s="7" t="str">
        <f>IFERROR(_xlfn.XLOOKUP(F2685,ccustos!A:A,ccustos!B:B),"Sem termo")</f>
        <v>DEPAD</v>
      </c>
    </row>
    <row r="2686" spans="1:10" ht="25.5" customHeight="1" x14ac:dyDescent="0.25">
      <c r="A2686" s="14">
        <v>14485</v>
      </c>
      <c r="B2686" s="7" t="s">
        <v>236</v>
      </c>
      <c r="C2686" s="7" t="s">
        <v>237</v>
      </c>
      <c r="D2686" s="7" t="s">
        <v>1509</v>
      </c>
      <c r="E2686" s="7" t="s">
        <v>239</v>
      </c>
      <c r="F2686" s="7" t="s">
        <v>54</v>
      </c>
      <c r="G2686" s="7" t="s">
        <v>1510</v>
      </c>
      <c r="H2686" s="15">
        <v>1218.51</v>
      </c>
      <c r="I2686" s="15">
        <v>1218.51</v>
      </c>
      <c r="J2686" s="7" t="str">
        <f>IFERROR(_xlfn.XLOOKUP(F2686,ccustos!A:A,ccustos!B:B),"Sem termo")</f>
        <v>DEFIN</v>
      </c>
    </row>
    <row r="2687" spans="1:10" ht="25.5" customHeight="1" x14ac:dyDescent="0.25">
      <c r="A2687" s="16">
        <v>14486</v>
      </c>
      <c r="B2687" s="17" t="s">
        <v>236</v>
      </c>
      <c r="C2687" s="17" t="s">
        <v>237</v>
      </c>
      <c r="D2687" s="17" t="s">
        <v>1509</v>
      </c>
      <c r="E2687" s="17" t="s">
        <v>239</v>
      </c>
      <c r="F2687" s="17" t="s">
        <v>35</v>
      </c>
      <c r="G2687" s="17" t="s">
        <v>1510</v>
      </c>
      <c r="H2687" s="18">
        <v>1218.51</v>
      </c>
      <c r="I2687" s="18">
        <v>1218.51</v>
      </c>
      <c r="J2687" s="7" t="str">
        <f>IFERROR(_xlfn.XLOOKUP(F2687,ccustos!A:A,ccustos!B:B),"Sem termo")</f>
        <v>DEINFRA</v>
      </c>
    </row>
    <row r="2688" spans="1:10" ht="25.5" customHeight="1" x14ac:dyDescent="0.25">
      <c r="A2688" s="14">
        <v>14487</v>
      </c>
      <c r="B2688" s="7" t="s">
        <v>236</v>
      </c>
      <c r="C2688" s="7" t="s">
        <v>237</v>
      </c>
      <c r="D2688" s="7" t="s">
        <v>1509</v>
      </c>
      <c r="E2688" s="7" t="s">
        <v>239</v>
      </c>
      <c r="F2688" s="7" t="s">
        <v>29</v>
      </c>
      <c r="G2688" s="7" t="s">
        <v>1510</v>
      </c>
      <c r="H2688" s="15">
        <v>1218.51</v>
      </c>
      <c r="I2688" s="15">
        <v>1218.51</v>
      </c>
      <c r="J2688" s="7" t="str">
        <f>IFERROR(_xlfn.XLOOKUP(F2688,ccustos!A:A,ccustos!B:B),"Sem termo")</f>
        <v>COAD</v>
      </c>
    </row>
    <row r="2689" spans="1:10" ht="25.5" customHeight="1" x14ac:dyDescent="0.25">
      <c r="A2689" s="16">
        <v>14488</v>
      </c>
      <c r="B2689" s="17" t="s">
        <v>236</v>
      </c>
      <c r="C2689" s="17" t="s">
        <v>237</v>
      </c>
      <c r="D2689" s="17" t="s">
        <v>1509</v>
      </c>
      <c r="E2689" s="17" t="s">
        <v>239</v>
      </c>
      <c r="F2689" s="17" t="s">
        <v>185</v>
      </c>
      <c r="G2689" s="17" t="s">
        <v>1510</v>
      </c>
      <c r="H2689" s="18">
        <v>1218.51</v>
      </c>
      <c r="I2689" s="18">
        <v>1218.51</v>
      </c>
      <c r="J2689" s="7" t="str">
        <f>IFERROR(_xlfn.XLOOKUP(F2689,ccustos!A:A,ccustos!B:B),"Sem termo")</f>
        <v>CGGE</v>
      </c>
    </row>
    <row r="2690" spans="1:10" ht="25.5" customHeight="1" x14ac:dyDescent="0.25">
      <c r="A2690" s="14">
        <v>14489</v>
      </c>
      <c r="B2690" s="7" t="s">
        <v>236</v>
      </c>
      <c r="C2690" s="7" t="s">
        <v>237</v>
      </c>
      <c r="D2690" s="7" t="s">
        <v>1509</v>
      </c>
      <c r="E2690" s="7" t="s">
        <v>239</v>
      </c>
      <c r="F2690" s="7" t="s">
        <v>60</v>
      </c>
      <c r="G2690" s="7" t="s">
        <v>1510</v>
      </c>
      <c r="H2690" s="15">
        <v>1218.51</v>
      </c>
      <c r="I2690" s="15">
        <v>1218.51</v>
      </c>
      <c r="J2690" s="7" t="str">
        <f>IFERROR(_xlfn.XLOOKUP(F2690,ccustos!A:A,ccustos!B:B),"Sem termo")</f>
        <v>DEGEP</v>
      </c>
    </row>
    <row r="2691" spans="1:10" ht="25.5" customHeight="1" x14ac:dyDescent="0.25">
      <c r="A2691" s="16">
        <v>14490</v>
      </c>
      <c r="B2691" s="17" t="s">
        <v>236</v>
      </c>
      <c r="C2691" s="17" t="s">
        <v>237</v>
      </c>
      <c r="D2691" s="17" t="s">
        <v>1509</v>
      </c>
      <c r="E2691" s="17" t="s">
        <v>239</v>
      </c>
      <c r="F2691" s="17" t="s">
        <v>53</v>
      </c>
      <c r="G2691" s="17" t="s">
        <v>1510</v>
      </c>
      <c r="H2691" s="18">
        <v>1218.51</v>
      </c>
      <c r="I2691" s="18">
        <v>1218.51</v>
      </c>
      <c r="J2691" s="7" t="str">
        <f>IFERROR(_xlfn.XLOOKUP(F2691,ccustos!A:A,ccustos!B:B),"Sem termo")</f>
        <v>DELIC</v>
      </c>
    </row>
    <row r="2692" spans="1:10" ht="25.5" customHeight="1" x14ac:dyDescent="0.25">
      <c r="A2692" s="14">
        <v>14491</v>
      </c>
      <c r="B2692" s="7" t="s">
        <v>236</v>
      </c>
      <c r="C2692" s="7" t="s">
        <v>237</v>
      </c>
      <c r="D2692" s="7" t="s">
        <v>1509</v>
      </c>
      <c r="E2692" s="7" t="s">
        <v>239</v>
      </c>
      <c r="F2692" s="7" t="s">
        <v>60</v>
      </c>
      <c r="G2692" s="7" t="s">
        <v>1510</v>
      </c>
      <c r="H2692" s="15">
        <v>1218.51</v>
      </c>
      <c r="I2692" s="15">
        <v>1218.51</v>
      </c>
      <c r="J2692" s="7" t="str">
        <f>IFERROR(_xlfn.XLOOKUP(F2692,ccustos!A:A,ccustos!B:B),"Sem termo")</f>
        <v>DEGEP</v>
      </c>
    </row>
    <row r="2693" spans="1:10" ht="25.5" customHeight="1" x14ac:dyDescent="0.25">
      <c r="A2693" s="16">
        <v>14492</v>
      </c>
      <c r="B2693" s="17" t="s">
        <v>236</v>
      </c>
      <c r="C2693" s="17" t="s">
        <v>237</v>
      </c>
      <c r="D2693" s="17" t="s">
        <v>1509</v>
      </c>
      <c r="E2693" s="17" t="s">
        <v>239</v>
      </c>
      <c r="F2693" s="17" t="s">
        <v>53</v>
      </c>
      <c r="G2693" s="17" t="s">
        <v>1510</v>
      </c>
      <c r="H2693" s="18">
        <v>1218.51</v>
      </c>
      <c r="I2693" s="18">
        <v>1218.51</v>
      </c>
      <c r="J2693" s="7" t="str">
        <f>IFERROR(_xlfn.XLOOKUP(F2693,ccustos!A:A,ccustos!B:B),"Sem termo")</f>
        <v>DELIC</v>
      </c>
    </row>
    <row r="2694" spans="1:10" ht="25.5" customHeight="1" x14ac:dyDescent="0.25">
      <c r="A2694" s="14">
        <v>14493</v>
      </c>
      <c r="B2694" s="7" t="s">
        <v>236</v>
      </c>
      <c r="C2694" s="7" t="s">
        <v>237</v>
      </c>
      <c r="D2694" s="7" t="s">
        <v>1509</v>
      </c>
      <c r="E2694" s="7" t="s">
        <v>239</v>
      </c>
      <c r="F2694" s="7" t="s">
        <v>62</v>
      </c>
      <c r="G2694" s="7" t="s">
        <v>1510</v>
      </c>
      <c r="H2694" s="15">
        <v>1218.51</v>
      </c>
      <c r="I2694" s="15">
        <v>1218.51</v>
      </c>
      <c r="J2694" s="7" t="str">
        <f>IFERROR(_xlfn.XLOOKUP(F2694,ccustos!A:A,ccustos!B:B),"Sem termo")</f>
        <v>SETRAN</v>
      </c>
    </row>
    <row r="2695" spans="1:10" ht="25.5" customHeight="1" x14ac:dyDescent="0.25">
      <c r="A2695" s="16">
        <v>14494</v>
      </c>
      <c r="B2695" s="17" t="s">
        <v>236</v>
      </c>
      <c r="C2695" s="17" t="s">
        <v>237</v>
      </c>
      <c r="D2695" s="17" t="s">
        <v>1509</v>
      </c>
      <c r="E2695" s="17" t="s">
        <v>239</v>
      </c>
      <c r="F2695" s="17" t="s">
        <v>53</v>
      </c>
      <c r="G2695" s="17" t="s">
        <v>1510</v>
      </c>
      <c r="H2695" s="18">
        <v>1218.51</v>
      </c>
      <c r="I2695" s="18">
        <v>1218.51</v>
      </c>
      <c r="J2695" s="7" t="str">
        <f>IFERROR(_xlfn.XLOOKUP(F2695,ccustos!A:A,ccustos!B:B),"Sem termo")</f>
        <v>DELIC</v>
      </c>
    </row>
    <row r="2696" spans="1:10" ht="25.5" customHeight="1" x14ac:dyDescent="0.25">
      <c r="A2696" s="14">
        <v>14495</v>
      </c>
      <c r="B2696" s="7" t="s">
        <v>236</v>
      </c>
      <c r="C2696" s="7" t="s">
        <v>237</v>
      </c>
      <c r="D2696" s="7" t="s">
        <v>1509</v>
      </c>
      <c r="E2696" s="7" t="s">
        <v>239</v>
      </c>
      <c r="F2696" s="7" t="s">
        <v>53</v>
      </c>
      <c r="G2696" s="7" t="s">
        <v>1510</v>
      </c>
      <c r="H2696" s="15">
        <v>1218.51</v>
      </c>
      <c r="I2696" s="15">
        <v>1218.51</v>
      </c>
      <c r="J2696" s="7" t="str">
        <f>IFERROR(_xlfn.XLOOKUP(F2696,ccustos!A:A,ccustos!B:B),"Sem termo")</f>
        <v>DELIC</v>
      </c>
    </row>
    <row r="2697" spans="1:10" ht="25.5" customHeight="1" x14ac:dyDescent="0.25">
      <c r="A2697" s="16">
        <v>14496</v>
      </c>
      <c r="B2697" s="17" t="s">
        <v>236</v>
      </c>
      <c r="C2697" s="17" t="s">
        <v>237</v>
      </c>
      <c r="D2697" s="17" t="s">
        <v>1509</v>
      </c>
      <c r="E2697" s="17" t="s">
        <v>239</v>
      </c>
      <c r="F2697" s="17" t="s">
        <v>55</v>
      </c>
      <c r="G2697" s="17" t="s">
        <v>1510</v>
      </c>
      <c r="H2697" s="18">
        <v>1218.51</v>
      </c>
      <c r="I2697" s="18">
        <v>1218.51</v>
      </c>
      <c r="J2697" s="7" t="str">
        <f>IFERROR(_xlfn.XLOOKUP(F2697,ccustos!A:A,ccustos!B:B),"Sem termo")</f>
        <v>DEPAD</v>
      </c>
    </row>
    <row r="2698" spans="1:10" ht="25.5" customHeight="1" x14ac:dyDescent="0.25">
      <c r="A2698" s="14">
        <v>14497</v>
      </c>
      <c r="B2698" s="7" t="s">
        <v>236</v>
      </c>
      <c r="C2698" s="7" t="s">
        <v>237</v>
      </c>
      <c r="D2698" s="7" t="s">
        <v>1509</v>
      </c>
      <c r="E2698" s="7" t="s">
        <v>239</v>
      </c>
      <c r="F2698" s="7" t="s">
        <v>48</v>
      </c>
      <c r="G2698" s="7" t="s">
        <v>1510</v>
      </c>
      <c r="H2698" s="15">
        <v>1218.51</v>
      </c>
      <c r="I2698" s="15">
        <v>1218.51</v>
      </c>
      <c r="J2698" s="7" t="str">
        <f>IFERROR(_xlfn.XLOOKUP(F2698,ccustos!A:A,ccustos!B:B),"Sem termo")</f>
        <v>DEPES</v>
      </c>
    </row>
    <row r="2699" spans="1:10" ht="25.5" customHeight="1" x14ac:dyDescent="0.25">
      <c r="A2699" s="16">
        <v>14498</v>
      </c>
      <c r="B2699" s="17" t="s">
        <v>236</v>
      </c>
      <c r="C2699" s="17" t="s">
        <v>237</v>
      </c>
      <c r="D2699" s="17" t="s">
        <v>1509</v>
      </c>
      <c r="E2699" s="17" t="s">
        <v>239</v>
      </c>
      <c r="F2699" s="17" t="s">
        <v>48</v>
      </c>
      <c r="G2699" s="17" t="s">
        <v>1510</v>
      </c>
      <c r="H2699" s="18">
        <v>1218.51</v>
      </c>
      <c r="I2699" s="18">
        <v>1218.51</v>
      </c>
      <c r="J2699" s="7" t="str">
        <f>IFERROR(_xlfn.XLOOKUP(F2699,ccustos!A:A,ccustos!B:B),"Sem termo")</f>
        <v>DEPES</v>
      </c>
    </row>
    <row r="2700" spans="1:10" ht="36.75" customHeight="1" x14ac:dyDescent="0.25">
      <c r="A2700" s="14">
        <v>14499</v>
      </c>
      <c r="B2700" s="7" t="s">
        <v>236</v>
      </c>
      <c r="C2700" s="7" t="s">
        <v>237</v>
      </c>
      <c r="D2700" s="7" t="s">
        <v>1509</v>
      </c>
      <c r="E2700" s="7" t="s">
        <v>239</v>
      </c>
      <c r="F2700" s="7" t="s">
        <v>303</v>
      </c>
      <c r="G2700" s="7" t="s">
        <v>1510</v>
      </c>
      <c r="H2700" s="15">
        <v>1218.51</v>
      </c>
      <c r="I2700" s="15">
        <v>1218.51</v>
      </c>
      <c r="J2700" s="7" t="str">
        <f>IFERROR(_xlfn.XLOOKUP(F2700,ccustos!A:A,ccustos!B:B),"Sem termo")</f>
        <v>Sem termo</v>
      </c>
    </row>
    <row r="2701" spans="1:10" ht="36.75" customHeight="1" x14ac:dyDescent="0.25">
      <c r="A2701" s="16">
        <v>14500</v>
      </c>
      <c r="B2701" s="17" t="s">
        <v>236</v>
      </c>
      <c r="C2701" s="17" t="s">
        <v>237</v>
      </c>
      <c r="D2701" s="17" t="s">
        <v>1509</v>
      </c>
      <c r="E2701" s="17" t="s">
        <v>239</v>
      </c>
      <c r="F2701" s="17" t="s">
        <v>22</v>
      </c>
      <c r="G2701" s="17" t="s">
        <v>1510</v>
      </c>
      <c r="H2701" s="18">
        <v>1218.51</v>
      </c>
      <c r="I2701" s="18">
        <v>1218.51</v>
      </c>
      <c r="J2701" s="7" t="str">
        <f>IFERROR(_xlfn.XLOOKUP(F2701,ccustos!A:A,ccustos!B:B),"Sem termo")</f>
        <v>COTEC</v>
      </c>
    </row>
    <row r="2702" spans="1:10" ht="36.75" customHeight="1" x14ac:dyDescent="0.25">
      <c r="A2702" s="14">
        <v>14501</v>
      </c>
      <c r="B2702" s="7" t="s">
        <v>236</v>
      </c>
      <c r="C2702" s="7" t="s">
        <v>237</v>
      </c>
      <c r="D2702" s="7" t="s">
        <v>1509</v>
      </c>
      <c r="E2702" s="7" t="s">
        <v>239</v>
      </c>
      <c r="F2702" s="7" t="s">
        <v>55</v>
      </c>
      <c r="G2702" s="7" t="s">
        <v>1510</v>
      </c>
      <c r="H2702" s="15">
        <v>1218.51</v>
      </c>
      <c r="I2702" s="15">
        <v>1218.51</v>
      </c>
      <c r="J2702" s="7" t="str">
        <f>IFERROR(_xlfn.XLOOKUP(F2702,ccustos!A:A,ccustos!B:B),"Sem termo")</f>
        <v>DEPAD</v>
      </c>
    </row>
    <row r="2703" spans="1:10" ht="25.5" customHeight="1" x14ac:dyDescent="0.25">
      <c r="A2703" s="16">
        <v>14502</v>
      </c>
      <c r="B2703" s="17" t="s">
        <v>236</v>
      </c>
      <c r="C2703" s="17" t="s">
        <v>237</v>
      </c>
      <c r="D2703" s="17" t="s">
        <v>1509</v>
      </c>
      <c r="E2703" s="17" t="s">
        <v>239</v>
      </c>
      <c r="F2703" s="17" t="s">
        <v>32</v>
      </c>
      <c r="G2703" s="17" t="s">
        <v>1510</v>
      </c>
      <c r="H2703" s="18">
        <v>1218.51</v>
      </c>
      <c r="I2703" s="18">
        <v>1218.51</v>
      </c>
      <c r="J2703" s="7" t="str">
        <f>IFERROR(_xlfn.XLOOKUP(F2703,ccustos!A:A,ccustos!B:B),"Sem termo")</f>
        <v>DECONT</v>
      </c>
    </row>
    <row r="2704" spans="1:10" ht="25.5" customHeight="1" x14ac:dyDescent="0.25">
      <c r="A2704" s="14">
        <v>14503</v>
      </c>
      <c r="B2704" s="7" t="s">
        <v>236</v>
      </c>
      <c r="C2704" s="7" t="s">
        <v>237</v>
      </c>
      <c r="D2704" s="7" t="s">
        <v>1509</v>
      </c>
      <c r="E2704" s="7" t="s">
        <v>239</v>
      </c>
      <c r="F2704" s="7" t="s">
        <v>47</v>
      </c>
      <c r="G2704" s="7" t="s">
        <v>1510</v>
      </c>
      <c r="H2704" s="15">
        <v>1218.51</v>
      </c>
      <c r="I2704" s="15">
        <v>1218.51</v>
      </c>
      <c r="J2704" s="7" t="str">
        <f>IFERROR(_xlfn.XLOOKUP(F2704,ccustos!A:A,ccustos!B:B),"Sem termo")</f>
        <v>CDPROF</v>
      </c>
    </row>
    <row r="2705" spans="1:10" ht="25.5" customHeight="1" x14ac:dyDescent="0.25">
      <c r="A2705" s="16">
        <v>14504</v>
      </c>
      <c r="B2705" s="17" t="s">
        <v>236</v>
      </c>
      <c r="C2705" s="17" t="s">
        <v>237</v>
      </c>
      <c r="D2705" s="17" t="s">
        <v>1509</v>
      </c>
      <c r="E2705" s="17" t="s">
        <v>239</v>
      </c>
      <c r="F2705" s="17" t="s">
        <v>32</v>
      </c>
      <c r="G2705" s="17" t="s">
        <v>1510</v>
      </c>
      <c r="H2705" s="18">
        <v>1218.51</v>
      </c>
      <c r="I2705" s="18">
        <v>1218.51</v>
      </c>
      <c r="J2705" s="7" t="str">
        <f>IFERROR(_xlfn.XLOOKUP(F2705,ccustos!A:A,ccustos!B:B),"Sem termo")</f>
        <v>DECONT</v>
      </c>
    </row>
    <row r="2706" spans="1:10" ht="25.5" customHeight="1" x14ac:dyDescent="0.25">
      <c r="A2706" s="14">
        <v>14505</v>
      </c>
      <c r="B2706" s="7" t="s">
        <v>236</v>
      </c>
      <c r="C2706" s="7" t="s">
        <v>237</v>
      </c>
      <c r="D2706" s="7" t="s">
        <v>1509</v>
      </c>
      <c r="E2706" s="7" t="s">
        <v>239</v>
      </c>
      <c r="F2706" s="7" t="s">
        <v>32</v>
      </c>
      <c r="G2706" s="7" t="s">
        <v>1510</v>
      </c>
      <c r="H2706" s="15">
        <v>1218.51</v>
      </c>
      <c r="I2706" s="15">
        <v>1218.51</v>
      </c>
      <c r="J2706" s="7" t="str">
        <f>IFERROR(_xlfn.XLOOKUP(F2706,ccustos!A:A,ccustos!B:B),"Sem termo")</f>
        <v>DECONT</v>
      </c>
    </row>
    <row r="2707" spans="1:10" ht="25.5" customHeight="1" x14ac:dyDescent="0.25">
      <c r="A2707" s="16">
        <v>14506</v>
      </c>
      <c r="B2707" s="17" t="s">
        <v>236</v>
      </c>
      <c r="C2707" s="17" t="s">
        <v>237</v>
      </c>
      <c r="D2707" s="17" t="s">
        <v>1509</v>
      </c>
      <c r="E2707" s="17" t="s">
        <v>239</v>
      </c>
      <c r="F2707" s="17" t="s">
        <v>22</v>
      </c>
      <c r="G2707" s="17" t="s">
        <v>1510</v>
      </c>
      <c r="H2707" s="18">
        <v>1218.51</v>
      </c>
      <c r="I2707" s="18">
        <v>1218.51</v>
      </c>
      <c r="J2707" s="7" t="str">
        <f>IFERROR(_xlfn.XLOOKUP(F2707,ccustos!A:A,ccustos!B:B),"Sem termo")</f>
        <v>COTEC</v>
      </c>
    </row>
    <row r="2708" spans="1:10" ht="25.5" customHeight="1" x14ac:dyDescent="0.25">
      <c r="A2708" s="14">
        <v>14507</v>
      </c>
      <c r="B2708" s="7" t="s">
        <v>236</v>
      </c>
      <c r="C2708" s="7" t="s">
        <v>237</v>
      </c>
      <c r="D2708" s="7" t="s">
        <v>1509</v>
      </c>
      <c r="E2708" s="7" t="s">
        <v>239</v>
      </c>
      <c r="F2708" s="7" t="s">
        <v>29</v>
      </c>
      <c r="G2708" s="7" t="s">
        <v>1510</v>
      </c>
      <c r="H2708" s="15">
        <v>1218.51</v>
      </c>
      <c r="I2708" s="15">
        <v>1218.51</v>
      </c>
      <c r="J2708" s="7" t="str">
        <f>IFERROR(_xlfn.XLOOKUP(F2708,ccustos!A:A,ccustos!B:B),"Sem termo")</f>
        <v>COAD</v>
      </c>
    </row>
    <row r="2709" spans="1:10" ht="25.5" customHeight="1" x14ac:dyDescent="0.25">
      <c r="A2709" s="16">
        <v>14508</v>
      </c>
      <c r="B2709" s="17" t="s">
        <v>236</v>
      </c>
      <c r="C2709" s="17" t="s">
        <v>237</v>
      </c>
      <c r="D2709" s="17" t="s">
        <v>1509</v>
      </c>
      <c r="E2709" s="17" t="s">
        <v>239</v>
      </c>
      <c r="F2709" s="17" t="s">
        <v>54</v>
      </c>
      <c r="G2709" s="17" t="s">
        <v>1510</v>
      </c>
      <c r="H2709" s="18">
        <v>1218.51</v>
      </c>
      <c r="I2709" s="18">
        <v>1218.51</v>
      </c>
      <c r="J2709" s="7" t="str">
        <f>IFERROR(_xlfn.XLOOKUP(F2709,ccustos!A:A,ccustos!B:B),"Sem termo")</f>
        <v>DEFIN</v>
      </c>
    </row>
    <row r="2710" spans="1:10" ht="25.5" customHeight="1" x14ac:dyDescent="0.25">
      <c r="A2710" s="14">
        <v>14509</v>
      </c>
      <c r="B2710" s="7" t="s">
        <v>236</v>
      </c>
      <c r="C2710" s="7" t="s">
        <v>237</v>
      </c>
      <c r="D2710" s="7" t="s">
        <v>1509</v>
      </c>
      <c r="E2710" s="7" t="s">
        <v>239</v>
      </c>
      <c r="F2710" s="7" t="s">
        <v>205</v>
      </c>
      <c r="G2710" s="7" t="s">
        <v>1510</v>
      </c>
      <c r="H2710" s="15">
        <v>1218.51</v>
      </c>
      <c r="I2710" s="15">
        <v>1218.51</v>
      </c>
      <c r="J2710" s="7" t="str">
        <f>IFERROR(_xlfn.XLOOKUP(F2710,ccustos!A:A,ccustos!B:B),"Sem termo")</f>
        <v>CCOM</v>
      </c>
    </row>
    <row r="2711" spans="1:10" ht="25.5" customHeight="1" x14ac:dyDescent="0.25">
      <c r="A2711" s="16">
        <v>14510</v>
      </c>
      <c r="B2711" s="17" t="s">
        <v>236</v>
      </c>
      <c r="C2711" s="17" t="s">
        <v>237</v>
      </c>
      <c r="D2711" s="17" t="s">
        <v>1509</v>
      </c>
      <c r="E2711" s="17" t="s">
        <v>239</v>
      </c>
      <c r="F2711" s="17" t="s">
        <v>54</v>
      </c>
      <c r="G2711" s="17" t="s">
        <v>1510</v>
      </c>
      <c r="H2711" s="18">
        <v>1218.51</v>
      </c>
      <c r="I2711" s="18">
        <v>1218.51</v>
      </c>
      <c r="J2711" s="7" t="str">
        <f>IFERROR(_xlfn.XLOOKUP(F2711,ccustos!A:A,ccustos!B:B),"Sem termo")</f>
        <v>DEFIN</v>
      </c>
    </row>
    <row r="2712" spans="1:10" ht="25.5" customHeight="1" x14ac:dyDescent="0.25">
      <c r="A2712" s="14">
        <v>14511</v>
      </c>
      <c r="B2712" s="7" t="s">
        <v>236</v>
      </c>
      <c r="C2712" s="7" t="s">
        <v>237</v>
      </c>
      <c r="D2712" s="7" t="s">
        <v>1509</v>
      </c>
      <c r="E2712" s="7" t="s">
        <v>239</v>
      </c>
      <c r="F2712" s="7" t="s">
        <v>60</v>
      </c>
      <c r="G2712" s="7" t="s">
        <v>1510</v>
      </c>
      <c r="H2712" s="15">
        <v>1218.51</v>
      </c>
      <c r="I2712" s="15">
        <v>1218.51</v>
      </c>
      <c r="J2712" s="7" t="str">
        <f>IFERROR(_xlfn.XLOOKUP(F2712,ccustos!A:A,ccustos!B:B),"Sem termo")</f>
        <v>DEGEP</v>
      </c>
    </row>
    <row r="2713" spans="1:10" ht="25.5" customHeight="1" x14ac:dyDescent="0.25">
      <c r="A2713" s="16">
        <v>14512</v>
      </c>
      <c r="B2713" s="17" t="s">
        <v>236</v>
      </c>
      <c r="C2713" s="17" t="s">
        <v>237</v>
      </c>
      <c r="D2713" s="17" t="s">
        <v>1509</v>
      </c>
      <c r="E2713" s="17" t="s">
        <v>239</v>
      </c>
      <c r="F2713" s="17" t="s">
        <v>35</v>
      </c>
      <c r="G2713" s="17" t="s">
        <v>1510</v>
      </c>
      <c r="H2713" s="18">
        <v>1218.51</v>
      </c>
      <c r="I2713" s="18">
        <v>1218.51</v>
      </c>
      <c r="J2713" s="7" t="str">
        <f>IFERROR(_xlfn.XLOOKUP(F2713,ccustos!A:A,ccustos!B:B),"Sem termo")</f>
        <v>DEINFRA</v>
      </c>
    </row>
    <row r="2714" spans="1:10" ht="25.5" customHeight="1" x14ac:dyDescent="0.25">
      <c r="A2714" s="14">
        <v>14513</v>
      </c>
      <c r="B2714" s="7" t="s">
        <v>236</v>
      </c>
      <c r="C2714" s="7" t="s">
        <v>237</v>
      </c>
      <c r="D2714" s="7" t="s">
        <v>1509</v>
      </c>
      <c r="E2714" s="7" t="s">
        <v>239</v>
      </c>
      <c r="F2714" s="7" t="s">
        <v>205</v>
      </c>
      <c r="G2714" s="7" t="s">
        <v>1510</v>
      </c>
      <c r="H2714" s="15">
        <v>1218.51</v>
      </c>
      <c r="I2714" s="15">
        <v>1218.51</v>
      </c>
      <c r="J2714" s="7" t="str">
        <f>IFERROR(_xlfn.XLOOKUP(F2714,ccustos!A:A,ccustos!B:B),"Sem termo")</f>
        <v>CCOM</v>
      </c>
    </row>
    <row r="2715" spans="1:10" ht="25.5" customHeight="1" x14ac:dyDescent="0.25">
      <c r="A2715" s="16">
        <v>14514</v>
      </c>
      <c r="B2715" s="17" t="s">
        <v>236</v>
      </c>
      <c r="C2715" s="17" t="s">
        <v>237</v>
      </c>
      <c r="D2715" s="17" t="s">
        <v>1509</v>
      </c>
      <c r="E2715" s="17" t="s">
        <v>239</v>
      </c>
      <c r="F2715" s="17" t="s">
        <v>185</v>
      </c>
      <c r="G2715" s="17" t="s">
        <v>1510</v>
      </c>
      <c r="H2715" s="18">
        <v>1218.51</v>
      </c>
      <c r="I2715" s="18">
        <v>1218.51</v>
      </c>
      <c r="J2715" s="7" t="str">
        <f>IFERROR(_xlfn.XLOOKUP(F2715,ccustos!A:A,ccustos!B:B),"Sem termo")</f>
        <v>CGGE</v>
      </c>
    </row>
    <row r="2716" spans="1:10" ht="25.5" customHeight="1" x14ac:dyDescent="0.25">
      <c r="A2716" s="14">
        <v>14515</v>
      </c>
      <c r="B2716" s="7" t="s">
        <v>236</v>
      </c>
      <c r="C2716" s="7" t="s">
        <v>237</v>
      </c>
      <c r="D2716" s="7" t="s">
        <v>1509</v>
      </c>
      <c r="E2716" s="7" t="s">
        <v>239</v>
      </c>
      <c r="F2716" s="7" t="s">
        <v>185</v>
      </c>
      <c r="G2716" s="7" t="s">
        <v>1510</v>
      </c>
      <c r="H2716" s="15">
        <v>1218.51</v>
      </c>
      <c r="I2716" s="15">
        <v>1218.51</v>
      </c>
      <c r="J2716" s="7" t="str">
        <f>IFERROR(_xlfn.XLOOKUP(F2716,ccustos!A:A,ccustos!B:B),"Sem termo")</f>
        <v>CGGE</v>
      </c>
    </row>
    <row r="2717" spans="1:10" ht="25.5" customHeight="1" x14ac:dyDescent="0.25">
      <c r="A2717" s="16">
        <v>14516</v>
      </c>
      <c r="B2717" s="17" t="s">
        <v>236</v>
      </c>
      <c r="C2717" s="17" t="s">
        <v>237</v>
      </c>
      <c r="D2717" s="17" t="s">
        <v>1509</v>
      </c>
      <c r="E2717" s="17" t="s">
        <v>239</v>
      </c>
      <c r="F2717" s="17" t="s">
        <v>185</v>
      </c>
      <c r="G2717" s="17" t="s">
        <v>1510</v>
      </c>
      <c r="H2717" s="18">
        <v>1218.51</v>
      </c>
      <c r="I2717" s="18">
        <v>1218.51</v>
      </c>
      <c r="J2717" s="7" t="str">
        <f>IFERROR(_xlfn.XLOOKUP(F2717,ccustos!A:A,ccustos!B:B),"Sem termo")</f>
        <v>CGGE</v>
      </c>
    </row>
    <row r="2718" spans="1:10" ht="25.5" customHeight="1" x14ac:dyDescent="0.25">
      <c r="A2718" s="14">
        <v>14517</v>
      </c>
      <c r="B2718" s="7" t="s">
        <v>236</v>
      </c>
      <c r="C2718" s="7" t="s">
        <v>237</v>
      </c>
      <c r="D2718" s="7" t="s">
        <v>1509</v>
      </c>
      <c r="E2718" s="7" t="s">
        <v>239</v>
      </c>
      <c r="F2718" s="7" t="s">
        <v>185</v>
      </c>
      <c r="G2718" s="7" t="s">
        <v>1510</v>
      </c>
      <c r="H2718" s="15">
        <v>1218.51</v>
      </c>
      <c r="I2718" s="15">
        <v>1218.51</v>
      </c>
      <c r="J2718" s="7" t="str">
        <f>IFERROR(_xlfn.XLOOKUP(F2718,ccustos!A:A,ccustos!B:B),"Sem termo")</f>
        <v>CGGE</v>
      </c>
    </row>
    <row r="2719" spans="1:10" ht="25.5" customHeight="1" x14ac:dyDescent="0.25">
      <c r="A2719" s="16">
        <v>14518</v>
      </c>
      <c r="B2719" s="17" t="s">
        <v>236</v>
      </c>
      <c r="C2719" s="17" t="s">
        <v>237</v>
      </c>
      <c r="D2719" s="17" t="s">
        <v>1509</v>
      </c>
      <c r="E2719" s="17" t="s">
        <v>239</v>
      </c>
      <c r="F2719" s="17" t="s">
        <v>185</v>
      </c>
      <c r="G2719" s="17" t="s">
        <v>1510</v>
      </c>
      <c r="H2719" s="18">
        <v>1218.51</v>
      </c>
      <c r="I2719" s="18">
        <v>1218.51</v>
      </c>
      <c r="J2719" s="7" t="str">
        <f>IFERROR(_xlfn.XLOOKUP(F2719,ccustos!A:A,ccustos!B:B),"Sem termo")</f>
        <v>CGGE</v>
      </c>
    </row>
    <row r="2720" spans="1:10" ht="25.5" customHeight="1" x14ac:dyDescent="0.25">
      <c r="A2720" s="14">
        <v>14519</v>
      </c>
      <c r="B2720" s="7" t="s">
        <v>236</v>
      </c>
      <c r="C2720" s="7" t="s">
        <v>237</v>
      </c>
      <c r="D2720" s="7" t="s">
        <v>1509</v>
      </c>
      <c r="E2720" s="7" t="s">
        <v>239</v>
      </c>
      <c r="F2720" s="7" t="s">
        <v>185</v>
      </c>
      <c r="G2720" s="7" t="s">
        <v>1510</v>
      </c>
      <c r="H2720" s="15">
        <v>1218.51</v>
      </c>
      <c r="I2720" s="15">
        <v>1218.51</v>
      </c>
      <c r="J2720" s="7" t="str">
        <f>IFERROR(_xlfn.XLOOKUP(F2720,ccustos!A:A,ccustos!B:B),"Sem termo")</f>
        <v>CGGE</v>
      </c>
    </row>
    <row r="2721" spans="1:10" ht="25.5" customHeight="1" x14ac:dyDescent="0.25">
      <c r="A2721" s="16">
        <v>14520</v>
      </c>
      <c r="B2721" s="17" t="s">
        <v>236</v>
      </c>
      <c r="C2721" s="17" t="s">
        <v>237</v>
      </c>
      <c r="D2721" s="17" t="s">
        <v>1509</v>
      </c>
      <c r="E2721" s="17" t="s">
        <v>239</v>
      </c>
      <c r="F2721" s="17" t="s">
        <v>32</v>
      </c>
      <c r="G2721" s="17" t="s">
        <v>1510</v>
      </c>
      <c r="H2721" s="18">
        <v>1218.51</v>
      </c>
      <c r="I2721" s="18">
        <v>1218.51</v>
      </c>
      <c r="J2721" s="7" t="str">
        <f>IFERROR(_xlfn.XLOOKUP(F2721,ccustos!A:A,ccustos!B:B),"Sem termo")</f>
        <v>DECONT</v>
      </c>
    </row>
    <row r="2722" spans="1:10" ht="25.5" customHeight="1" x14ac:dyDescent="0.25">
      <c r="A2722" s="14">
        <v>14521</v>
      </c>
      <c r="B2722" s="7" t="s">
        <v>236</v>
      </c>
      <c r="C2722" s="7" t="s">
        <v>237</v>
      </c>
      <c r="D2722" s="7" t="s">
        <v>1509</v>
      </c>
      <c r="E2722" s="7" t="s">
        <v>239</v>
      </c>
      <c r="F2722" s="7" t="s">
        <v>185</v>
      </c>
      <c r="G2722" s="7" t="s">
        <v>1510</v>
      </c>
      <c r="H2722" s="15">
        <v>1218.51</v>
      </c>
      <c r="I2722" s="15">
        <v>1218.51</v>
      </c>
      <c r="J2722" s="7" t="str">
        <f>IFERROR(_xlfn.XLOOKUP(F2722,ccustos!A:A,ccustos!B:B),"Sem termo")</f>
        <v>CGGE</v>
      </c>
    </row>
    <row r="2723" spans="1:10" ht="25.5" customHeight="1" x14ac:dyDescent="0.25">
      <c r="A2723" s="16">
        <v>14522</v>
      </c>
      <c r="B2723" s="17" t="s">
        <v>236</v>
      </c>
      <c r="C2723" s="17" t="s">
        <v>237</v>
      </c>
      <c r="D2723" s="17" t="s">
        <v>1509</v>
      </c>
      <c r="E2723" s="17" t="s">
        <v>239</v>
      </c>
      <c r="F2723" s="17" t="s">
        <v>185</v>
      </c>
      <c r="G2723" s="17" t="s">
        <v>1510</v>
      </c>
      <c r="H2723" s="18">
        <v>1218.51</v>
      </c>
      <c r="I2723" s="18">
        <v>1218.51</v>
      </c>
      <c r="J2723" s="7" t="str">
        <f>IFERROR(_xlfn.XLOOKUP(F2723,ccustos!A:A,ccustos!B:B),"Sem termo")</f>
        <v>CGGE</v>
      </c>
    </row>
    <row r="2724" spans="1:10" ht="25.5" customHeight="1" x14ac:dyDescent="0.25">
      <c r="A2724" s="14">
        <v>14523</v>
      </c>
      <c r="B2724" s="7" t="s">
        <v>236</v>
      </c>
      <c r="C2724" s="7" t="s">
        <v>237</v>
      </c>
      <c r="D2724" s="7" t="s">
        <v>1509</v>
      </c>
      <c r="E2724" s="7" t="s">
        <v>239</v>
      </c>
      <c r="F2724" s="7" t="s">
        <v>30</v>
      </c>
      <c r="G2724" s="7" t="s">
        <v>1510</v>
      </c>
      <c r="H2724" s="15">
        <v>1218.51</v>
      </c>
      <c r="I2724" s="15">
        <v>1218.51</v>
      </c>
      <c r="J2724" s="7" t="str">
        <f>IFERROR(_xlfn.XLOOKUP(F2724,ccustos!A:A,ccustos!B:B),"Sem termo")</f>
        <v>COFIS</v>
      </c>
    </row>
    <row r="2725" spans="1:10" ht="25.5" customHeight="1" x14ac:dyDescent="0.25">
      <c r="A2725" s="16">
        <v>14524</v>
      </c>
      <c r="B2725" s="17" t="s">
        <v>236</v>
      </c>
      <c r="C2725" s="17" t="s">
        <v>237</v>
      </c>
      <c r="D2725" s="17" t="s">
        <v>1509</v>
      </c>
      <c r="E2725" s="17" t="s">
        <v>239</v>
      </c>
      <c r="F2725" s="17" t="s">
        <v>30</v>
      </c>
      <c r="G2725" s="17" t="s">
        <v>1510</v>
      </c>
      <c r="H2725" s="18">
        <v>1218.51</v>
      </c>
      <c r="I2725" s="18">
        <v>1218.51</v>
      </c>
      <c r="J2725" s="7" t="str">
        <f>IFERROR(_xlfn.XLOOKUP(F2725,ccustos!A:A,ccustos!B:B),"Sem termo")</f>
        <v>COFIS</v>
      </c>
    </row>
    <row r="2726" spans="1:10" ht="25.5" customHeight="1" x14ac:dyDescent="0.25">
      <c r="A2726" s="14">
        <v>14525</v>
      </c>
      <c r="B2726" s="7" t="s">
        <v>236</v>
      </c>
      <c r="C2726" s="7" t="s">
        <v>237</v>
      </c>
      <c r="D2726" s="7" t="s">
        <v>1509</v>
      </c>
      <c r="E2726" s="7" t="s">
        <v>239</v>
      </c>
      <c r="F2726" s="7" t="s">
        <v>30</v>
      </c>
      <c r="G2726" s="7" t="s">
        <v>1510</v>
      </c>
      <c r="H2726" s="15">
        <v>1218.51</v>
      </c>
      <c r="I2726" s="15">
        <v>1218.51</v>
      </c>
      <c r="J2726" s="7" t="str">
        <f>IFERROR(_xlfn.XLOOKUP(F2726,ccustos!A:A,ccustos!B:B),"Sem termo")</f>
        <v>COFIS</v>
      </c>
    </row>
    <row r="2727" spans="1:10" ht="25.5" customHeight="1" x14ac:dyDescent="0.25">
      <c r="A2727" s="16">
        <v>14526</v>
      </c>
      <c r="B2727" s="17" t="s">
        <v>236</v>
      </c>
      <c r="C2727" s="17" t="s">
        <v>237</v>
      </c>
      <c r="D2727" s="17" t="s">
        <v>1509</v>
      </c>
      <c r="E2727" s="17" t="s">
        <v>239</v>
      </c>
      <c r="F2727" s="17" t="s">
        <v>22</v>
      </c>
      <c r="G2727" s="17" t="s">
        <v>1510</v>
      </c>
      <c r="H2727" s="18">
        <v>1218.51</v>
      </c>
      <c r="I2727" s="18">
        <v>1218.51</v>
      </c>
      <c r="J2727" s="7" t="str">
        <f>IFERROR(_xlfn.XLOOKUP(F2727,ccustos!A:A,ccustos!B:B),"Sem termo")</f>
        <v>COTEC</v>
      </c>
    </row>
    <row r="2728" spans="1:10" ht="25.5" customHeight="1" x14ac:dyDescent="0.25">
      <c r="A2728" s="14">
        <v>14527</v>
      </c>
      <c r="B2728" s="7" t="s">
        <v>236</v>
      </c>
      <c r="C2728" s="7" t="s">
        <v>237</v>
      </c>
      <c r="D2728" s="7" t="s">
        <v>1509</v>
      </c>
      <c r="E2728" s="7" t="s">
        <v>239</v>
      </c>
      <c r="F2728" s="7" t="s">
        <v>30</v>
      </c>
      <c r="G2728" s="7" t="s">
        <v>1510</v>
      </c>
      <c r="H2728" s="15">
        <v>1218.51</v>
      </c>
      <c r="I2728" s="15">
        <v>1218.51</v>
      </c>
      <c r="J2728" s="7" t="str">
        <f>IFERROR(_xlfn.XLOOKUP(F2728,ccustos!A:A,ccustos!B:B),"Sem termo")</f>
        <v>COFIS</v>
      </c>
    </row>
    <row r="2729" spans="1:10" ht="25.5" customHeight="1" x14ac:dyDescent="0.25">
      <c r="A2729" s="16">
        <v>14528</v>
      </c>
      <c r="B2729" s="17" t="s">
        <v>236</v>
      </c>
      <c r="C2729" s="17" t="s">
        <v>237</v>
      </c>
      <c r="D2729" s="17" t="s">
        <v>1509</v>
      </c>
      <c r="E2729" s="17" t="s">
        <v>239</v>
      </c>
      <c r="F2729" s="17" t="s">
        <v>30</v>
      </c>
      <c r="G2729" s="17" t="s">
        <v>1510</v>
      </c>
      <c r="H2729" s="18">
        <v>1218.51</v>
      </c>
      <c r="I2729" s="18">
        <v>1218.51</v>
      </c>
      <c r="J2729" s="7" t="str">
        <f>IFERROR(_xlfn.XLOOKUP(F2729,ccustos!A:A,ccustos!B:B),"Sem termo")</f>
        <v>COFIS</v>
      </c>
    </row>
    <row r="2730" spans="1:10" ht="25.5" customHeight="1" x14ac:dyDescent="0.25">
      <c r="A2730" s="14">
        <v>14529</v>
      </c>
      <c r="B2730" s="7" t="s">
        <v>236</v>
      </c>
      <c r="C2730" s="7" t="s">
        <v>237</v>
      </c>
      <c r="D2730" s="7" t="s">
        <v>1509</v>
      </c>
      <c r="E2730" s="7" t="s">
        <v>239</v>
      </c>
      <c r="F2730" s="7" t="s">
        <v>30</v>
      </c>
      <c r="G2730" s="7" t="s">
        <v>1510</v>
      </c>
      <c r="H2730" s="15">
        <v>1218.51</v>
      </c>
      <c r="I2730" s="15">
        <v>1218.51</v>
      </c>
      <c r="J2730" s="7" t="str">
        <f>IFERROR(_xlfn.XLOOKUP(F2730,ccustos!A:A,ccustos!B:B),"Sem termo")</f>
        <v>COFIS</v>
      </c>
    </row>
    <row r="2731" spans="1:10" ht="25.5" customHeight="1" x14ac:dyDescent="0.25">
      <c r="A2731" s="16">
        <v>14530</v>
      </c>
      <c r="B2731" s="17" t="s">
        <v>236</v>
      </c>
      <c r="C2731" s="17" t="s">
        <v>237</v>
      </c>
      <c r="D2731" s="17" t="s">
        <v>1509</v>
      </c>
      <c r="E2731" s="17" t="s">
        <v>239</v>
      </c>
      <c r="F2731" s="17" t="s">
        <v>30</v>
      </c>
      <c r="G2731" s="17" t="s">
        <v>1510</v>
      </c>
      <c r="H2731" s="18">
        <v>1218.51</v>
      </c>
      <c r="I2731" s="18">
        <v>1218.51</v>
      </c>
      <c r="J2731" s="7" t="str">
        <f>IFERROR(_xlfn.XLOOKUP(F2731,ccustos!A:A,ccustos!B:B),"Sem termo")</f>
        <v>COFIS</v>
      </c>
    </row>
    <row r="2732" spans="1:10" ht="25.5" customHeight="1" x14ac:dyDescent="0.25">
      <c r="A2732" s="14">
        <v>14531</v>
      </c>
      <c r="B2732" s="7" t="s">
        <v>236</v>
      </c>
      <c r="C2732" s="7" t="s">
        <v>237</v>
      </c>
      <c r="D2732" s="7" t="s">
        <v>1509</v>
      </c>
      <c r="E2732" s="7" t="s">
        <v>239</v>
      </c>
      <c r="F2732" s="7" t="s">
        <v>205</v>
      </c>
      <c r="G2732" s="7" t="s">
        <v>1510</v>
      </c>
      <c r="H2732" s="15">
        <v>1218.51</v>
      </c>
      <c r="I2732" s="15">
        <v>1218.51</v>
      </c>
      <c r="J2732" s="7" t="str">
        <f>IFERROR(_xlfn.XLOOKUP(F2732,ccustos!A:A,ccustos!B:B),"Sem termo")</f>
        <v>CCOM</v>
      </c>
    </row>
    <row r="2733" spans="1:10" ht="25.5" customHeight="1" x14ac:dyDescent="0.25">
      <c r="A2733" s="16">
        <v>14532</v>
      </c>
      <c r="B2733" s="17" t="s">
        <v>236</v>
      </c>
      <c r="C2733" s="17" t="s">
        <v>237</v>
      </c>
      <c r="D2733" s="17" t="s">
        <v>1509</v>
      </c>
      <c r="E2733" s="17" t="s">
        <v>239</v>
      </c>
      <c r="F2733" s="17" t="s">
        <v>30</v>
      </c>
      <c r="G2733" s="17" t="s">
        <v>1510</v>
      </c>
      <c r="H2733" s="18">
        <v>1218.51</v>
      </c>
      <c r="I2733" s="18">
        <v>1218.51</v>
      </c>
      <c r="J2733" s="7" t="str">
        <f>IFERROR(_xlfn.XLOOKUP(F2733,ccustos!A:A,ccustos!B:B),"Sem termo")</f>
        <v>COFIS</v>
      </c>
    </row>
    <row r="2734" spans="1:10" ht="25.5" customHeight="1" x14ac:dyDescent="0.25">
      <c r="A2734" s="14">
        <v>14533</v>
      </c>
      <c r="B2734" s="7" t="s">
        <v>236</v>
      </c>
      <c r="C2734" s="7" t="s">
        <v>237</v>
      </c>
      <c r="D2734" s="7" t="s">
        <v>1509</v>
      </c>
      <c r="E2734" s="7" t="s">
        <v>239</v>
      </c>
      <c r="F2734" s="7" t="s">
        <v>28</v>
      </c>
      <c r="G2734" s="7" t="s">
        <v>1510</v>
      </c>
      <c r="H2734" s="15">
        <v>1218.51</v>
      </c>
      <c r="I2734" s="15">
        <v>1218.51</v>
      </c>
      <c r="J2734" s="7" t="str">
        <f>IFERROR(_xlfn.XLOOKUP(F2734,ccustos!A:A,ccustos!B:B),"Sem termo")</f>
        <v>COPI</v>
      </c>
    </row>
    <row r="2735" spans="1:10" ht="25.5" customHeight="1" x14ac:dyDescent="0.25">
      <c r="A2735" s="16">
        <v>14534</v>
      </c>
      <c r="B2735" s="17" t="s">
        <v>236</v>
      </c>
      <c r="C2735" s="17" t="s">
        <v>237</v>
      </c>
      <c r="D2735" s="17" t="s">
        <v>1509</v>
      </c>
      <c r="E2735" s="17" t="s">
        <v>239</v>
      </c>
      <c r="F2735" s="17" t="s">
        <v>55</v>
      </c>
      <c r="G2735" s="17" t="s">
        <v>1510</v>
      </c>
      <c r="H2735" s="18">
        <v>1218.51</v>
      </c>
      <c r="I2735" s="18">
        <v>1218.51</v>
      </c>
      <c r="J2735" s="7" t="str">
        <f>IFERROR(_xlfn.XLOOKUP(F2735,ccustos!A:A,ccustos!B:B),"Sem termo")</f>
        <v>DEPAD</v>
      </c>
    </row>
    <row r="2736" spans="1:10" ht="25.5" customHeight="1" x14ac:dyDescent="0.25">
      <c r="A2736" s="14">
        <v>14535</v>
      </c>
      <c r="B2736" s="7" t="s">
        <v>236</v>
      </c>
      <c r="C2736" s="7" t="s">
        <v>237</v>
      </c>
      <c r="D2736" s="7" t="s">
        <v>1509</v>
      </c>
      <c r="E2736" s="7" t="s">
        <v>239</v>
      </c>
      <c r="F2736" s="7" t="s">
        <v>28</v>
      </c>
      <c r="G2736" s="7" t="s">
        <v>1510</v>
      </c>
      <c r="H2736" s="15">
        <v>1218.51</v>
      </c>
      <c r="I2736" s="15">
        <v>1218.51</v>
      </c>
      <c r="J2736" s="7" t="str">
        <f>IFERROR(_xlfn.XLOOKUP(F2736,ccustos!A:A,ccustos!B:B),"Sem termo")</f>
        <v>COPI</v>
      </c>
    </row>
    <row r="2737" spans="1:10" ht="25.5" customHeight="1" x14ac:dyDescent="0.25">
      <c r="A2737" s="16">
        <v>14536</v>
      </c>
      <c r="B2737" s="17" t="s">
        <v>236</v>
      </c>
      <c r="C2737" s="17" t="s">
        <v>237</v>
      </c>
      <c r="D2737" s="17" t="s">
        <v>1509</v>
      </c>
      <c r="E2737" s="17" t="s">
        <v>239</v>
      </c>
      <c r="F2737" s="17" t="s">
        <v>22</v>
      </c>
      <c r="G2737" s="17" t="s">
        <v>1510</v>
      </c>
      <c r="H2737" s="18">
        <v>1218.51</v>
      </c>
      <c r="I2737" s="18">
        <v>1218.51</v>
      </c>
      <c r="J2737" s="7" t="str">
        <f>IFERROR(_xlfn.XLOOKUP(F2737,ccustos!A:A,ccustos!B:B),"Sem termo")</f>
        <v>COTEC</v>
      </c>
    </row>
    <row r="2738" spans="1:10" ht="25.5" customHeight="1" x14ac:dyDescent="0.25">
      <c r="A2738" s="14">
        <v>14537</v>
      </c>
      <c r="B2738" s="7" t="s">
        <v>236</v>
      </c>
      <c r="C2738" s="7" t="s">
        <v>237</v>
      </c>
      <c r="D2738" s="7" t="s">
        <v>1509</v>
      </c>
      <c r="E2738" s="7" t="s">
        <v>239</v>
      </c>
      <c r="F2738" s="7" t="s">
        <v>28</v>
      </c>
      <c r="G2738" s="7" t="s">
        <v>1510</v>
      </c>
      <c r="H2738" s="15">
        <v>1218.51</v>
      </c>
      <c r="I2738" s="15">
        <v>1218.51</v>
      </c>
      <c r="J2738" s="7" t="str">
        <f>IFERROR(_xlfn.XLOOKUP(F2738,ccustos!A:A,ccustos!B:B),"Sem termo")</f>
        <v>COPI</v>
      </c>
    </row>
    <row r="2739" spans="1:10" ht="25.5" customHeight="1" x14ac:dyDescent="0.25">
      <c r="A2739" s="16">
        <v>14538</v>
      </c>
      <c r="B2739" s="17" t="s">
        <v>236</v>
      </c>
      <c r="C2739" s="17" t="s">
        <v>237</v>
      </c>
      <c r="D2739" s="17" t="s">
        <v>1509</v>
      </c>
      <c r="E2739" s="17" t="s">
        <v>239</v>
      </c>
      <c r="F2739" s="17" t="s">
        <v>185</v>
      </c>
      <c r="G2739" s="17" t="s">
        <v>1510</v>
      </c>
      <c r="H2739" s="18">
        <v>1218.51</v>
      </c>
      <c r="I2739" s="18">
        <v>1218.51</v>
      </c>
      <c r="J2739" s="7" t="str">
        <f>IFERROR(_xlfn.XLOOKUP(F2739,ccustos!A:A,ccustos!B:B),"Sem termo")</f>
        <v>CGGE</v>
      </c>
    </row>
    <row r="2740" spans="1:10" ht="25.5" customHeight="1" x14ac:dyDescent="0.25">
      <c r="A2740" s="14">
        <v>14539</v>
      </c>
      <c r="B2740" s="7" t="s">
        <v>236</v>
      </c>
      <c r="C2740" s="7" t="s">
        <v>237</v>
      </c>
      <c r="D2740" s="7" t="s">
        <v>1509</v>
      </c>
      <c r="E2740" s="7" t="s">
        <v>239</v>
      </c>
      <c r="F2740" s="7" t="s">
        <v>303</v>
      </c>
      <c r="G2740" s="7" t="s">
        <v>1510</v>
      </c>
      <c r="H2740" s="15">
        <v>1218.51</v>
      </c>
      <c r="I2740" s="15">
        <v>1218.51</v>
      </c>
      <c r="J2740" s="7" t="str">
        <f>IFERROR(_xlfn.XLOOKUP(F2740,ccustos!A:A,ccustos!B:B),"Sem termo")</f>
        <v>Sem termo</v>
      </c>
    </row>
    <row r="2741" spans="1:10" ht="25.5" customHeight="1" x14ac:dyDescent="0.25">
      <c r="A2741" s="16">
        <v>14540</v>
      </c>
      <c r="B2741" s="17" t="s">
        <v>236</v>
      </c>
      <c r="C2741" s="17" t="s">
        <v>237</v>
      </c>
      <c r="D2741" s="17" t="s">
        <v>1509</v>
      </c>
      <c r="E2741" s="17" t="s">
        <v>239</v>
      </c>
      <c r="F2741" s="17" t="s">
        <v>39</v>
      </c>
      <c r="G2741" s="17" t="s">
        <v>1510</v>
      </c>
      <c r="H2741" s="18">
        <v>1218.51</v>
      </c>
      <c r="I2741" s="18">
        <v>1218.51</v>
      </c>
      <c r="J2741" s="7" t="str">
        <f>IFERROR(_xlfn.XLOOKUP(F2741,ccustos!A:A,ccustos!B:B),"Sem termo")</f>
        <v>COREG</v>
      </c>
    </row>
    <row r="2742" spans="1:10" ht="25.5" customHeight="1" x14ac:dyDescent="0.25">
      <c r="A2742" s="14">
        <v>14541</v>
      </c>
      <c r="B2742" s="7" t="s">
        <v>236</v>
      </c>
      <c r="C2742" s="7" t="s">
        <v>237</v>
      </c>
      <c r="D2742" s="7" t="s">
        <v>1509</v>
      </c>
      <c r="E2742" s="7" t="s">
        <v>239</v>
      </c>
      <c r="F2742" s="7" t="s">
        <v>39</v>
      </c>
      <c r="G2742" s="7" t="s">
        <v>1510</v>
      </c>
      <c r="H2742" s="15">
        <v>1218.51</v>
      </c>
      <c r="I2742" s="15">
        <v>1218.51</v>
      </c>
      <c r="J2742" s="7" t="str">
        <f>IFERROR(_xlfn.XLOOKUP(F2742,ccustos!A:A,ccustos!B:B),"Sem termo")</f>
        <v>COREG</v>
      </c>
    </row>
    <row r="2743" spans="1:10" ht="25.5" customHeight="1" x14ac:dyDescent="0.25">
      <c r="A2743" s="16">
        <v>14542</v>
      </c>
      <c r="B2743" s="17" t="s">
        <v>236</v>
      </c>
      <c r="C2743" s="17" t="s">
        <v>237</v>
      </c>
      <c r="D2743" s="17" t="s">
        <v>1509</v>
      </c>
      <c r="E2743" s="17" t="s">
        <v>239</v>
      </c>
      <c r="F2743" s="17" t="s">
        <v>39</v>
      </c>
      <c r="G2743" s="17" t="s">
        <v>1510</v>
      </c>
      <c r="H2743" s="18">
        <v>1218.51</v>
      </c>
      <c r="I2743" s="18">
        <v>1218.51</v>
      </c>
      <c r="J2743" s="7" t="str">
        <f>IFERROR(_xlfn.XLOOKUP(F2743,ccustos!A:A,ccustos!B:B),"Sem termo")</f>
        <v>COREG</v>
      </c>
    </row>
    <row r="2744" spans="1:10" ht="25.5" customHeight="1" x14ac:dyDescent="0.25">
      <c r="A2744" s="14">
        <v>14543</v>
      </c>
      <c r="B2744" s="7" t="s">
        <v>236</v>
      </c>
      <c r="C2744" s="7" t="s">
        <v>237</v>
      </c>
      <c r="D2744" s="7" t="s">
        <v>1509</v>
      </c>
      <c r="E2744" s="7" t="s">
        <v>239</v>
      </c>
      <c r="F2744" s="7" t="s">
        <v>62</v>
      </c>
      <c r="G2744" s="7" t="s">
        <v>1510</v>
      </c>
      <c r="H2744" s="15">
        <v>1218.51</v>
      </c>
      <c r="I2744" s="15">
        <v>1218.51</v>
      </c>
      <c r="J2744" s="7" t="str">
        <f>IFERROR(_xlfn.XLOOKUP(F2744,ccustos!A:A,ccustos!B:B),"Sem termo")</f>
        <v>SETRAN</v>
      </c>
    </row>
    <row r="2745" spans="1:10" ht="25.5" customHeight="1" x14ac:dyDescent="0.25">
      <c r="A2745" s="16">
        <v>14544</v>
      </c>
      <c r="B2745" s="17" t="s">
        <v>236</v>
      </c>
      <c r="C2745" s="17" t="s">
        <v>237</v>
      </c>
      <c r="D2745" s="17" t="s">
        <v>1509</v>
      </c>
      <c r="E2745" s="17" t="s">
        <v>239</v>
      </c>
      <c r="F2745" s="17" t="s">
        <v>47</v>
      </c>
      <c r="G2745" s="17" t="s">
        <v>1510</v>
      </c>
      <c r="H2745" s="18">
        <v>1218.51</v>
      </c>
      <c r="I2745" s="18">
        <v>1218.51</v>
      </c>
      <c r="J2745" s="7" t="str">
        <f>IFERROR(_xlfn.XLOOKUP(F2745,ccustos!A:A,ccustos!B:B),"Sem termo")</f>
        <v>CDPROF</v>
      </c>
    </row>
    <row r="2746" spans="1:10" ht="25.5" customHeight="1" x14ac:dyDescent="0.25">
      <c r="A2746" s="14">
        <v>14545</v>
      </c>
      <c r="B2746" s="7" t="s">
        <v>236</v>
      </c>
      <c r="C2746" s="7" t="s">
        <v>237</v>
      </c>
      <c r="D2746" s="7" t="s">
        <v>1509</v>
      </c>
      <c r="E2746" s="7" t="s">
        <v>239</v>
      </c>
      <c r="F2746" s="7" t="s">
        <v>47</v>
      </c>
      <c r="G2746" s="7" t="s">
        <v>1510</v>
      </c>
      <c r="H2746" s="15">
        <v>1218.51</v>
      </c>
      <c r="I2746" s="15">
        <v>1218.51</v>
      </c>
      <c r="J2746" s="7" t="str">
        <f>IFERROR(_xlfn.XLOOKUP(F2746,ccustos!A:A,ccustos!B:B),"Sem termo")</f>
        <v>CDPROF</v>
      </c>
    </row>
    <row r="2747" spans="1:10" ht="25.5" customHeight="1" x14ac:dyDescent="0.25">
      <c r="A2747" s="16">
        <v>14546</v>
      </c>
      <c r="B2747" s="17" t="s">
        <v>236</v>
      </c>
      <c r="C2747" s="17" t="s">
        <v>237</v>
      </c>
      <c r="D2747" s="17" t="s">
        <v>1509</v>
      </c>
      <c r="E2747" s="17" t="s">
        <v>239</v>
      </c>
      <c r="F2747" s="17" t="s">
        <v>47</v>
      </c>
      <c r="G2747" s="17" t="s">
        <v>1510</v>
      </c>
      <c r="H2747" s="18">
        <v>1218.51</v>
      </c>
      <c r="I2747" s="18">
        <v>1218.51</v>
      </c>
      <c r="J2747" s="7" t="str">
        <f>IFERROR(_xlfn.XLOOKUP(F2747,ccustos!A:A,ccustos!B:B),"Sem termo")</f>
        <v>CDPROF</v>
      </c>
    </row>
    <row r="2748" spans="1:10" ht="25.5" customHeight="1" x14ac:dyDescent="0.25">
      <c r="A2748" s="14">
        <v>14547</v>
      </c>
      <c r="B2748" s="7" t="s">
        <v>236</v>
      </c>
      <c r="C2748" s="7" t="s">
        <v>237</v>
      </c>
      <c r="D2748" s="7" t="s">
        <v>1509</v>
      </c>
      <c r="E2748" s="7" t="s">
        <v>239</v>
      </c>
      <c r="F2748" s="7" t="s">
        <v>47</v>
      </c>
      <c r="G2748" s="7" t="s">
        <v>1510</v>
      </c>
      <c r="H2748" s="15">
        <v>1269.99</v>
      </c>
      <c r="I2748" s="15">
        <v>1269.99</v>
      </c>
      <c r="J2748" s="7" t="str">
        <f>IFERROR(_xlfn.XLOOKUP(F2748,ccustos!A:A,ccustos!B:B),"Sem termo")</f>
        <v>CDPROF</v>
      </c>
    </row>
    <row r="2749" spans="1:10" ht="25.5" customHeight="1" x14ac:dyDescent="0.25">
      <c r="A2749" s="16">
        <v>14548</v>
      </c>
      <c r="B2749" s="17" t="s">
        <v>236</v>
      </c>
      <c r="C2749" s="17" t="s">
        <v>237</v>
      </c>
      <c r="D2749" s="17" t="s">
        <v>1509</v>
      </c>
      <c r="E2749" s="17" t="s">
        <v>239</v>
      </c>
      <c r="F2749" s="17" t="s">
        <v>47</v>
      </c>
      <c r="G2749" s="17" t="s">
        <v>1510</v>
      </c>
      <c r="H2749" s="18">
        <v>1270</v>
      </c>
      <c r="I2749" s="18">
        <v>1270</v>
      </c>
      <c r="J2749" s="7" t="str">
        <f>IFERROR(_xlfn.XLOOKUP(F2749,ccustos!A:A,ccustos!B:B),"Sem termo")</f>
        <v>CDPROF</v>
      </c>
    </row>
    <row r="2750" spans="1:10" ht="25.5" customHeight="1" x14ac:dyDescent="0.25">
      <c r="A2750" s="14">
        <v>14549</v>
      </c>
      <c r="B2750" s="7" t="s">
        <v>236</v>
      </c>
      <c r="C2750" s="7" t="s">
        <v>237</v>
      </c>
      <c r="D2750" s="7" t="s">
        <v>1509</v>
      </c>
      <c r="E2750" s="7" t="s">
        <v>239</v>
      </c>
      <c r="F2750" s="7" t="s">
        <v>47</v>
      </c>
      <c r="G2750" s="7" t="s">
        <v>1510</v>
      </c>
      <c r="H2750" s="15">
        <v>1270</v>
      </c>
      <c r="I2750" s="15">
        <v>1270</v>
      </c>
      <c r="J2750" s="7" t="str">
        <f>IFERROR(_xlfn.XLOOKUP(F2750,ccustos!A:A,ccustos!B:B),"Sem termo")</f>
        <v>CDPROF</v>
      </c>
    </row>
    <row r="2751" spans="1:10" ht="25.5" customHeight="1" x14ac:dyDescent="0.25">
      <c r="A2751" s="16">
        <v>14550</v>
      </c>
      <c r="B2751" s="17" t="s">
        <v>236</v>
      </c>
      <c r="C2751" s="17" t="s">
        <v>237</v>
      </c>
      <c r="D2751" s="17" t="s">
        <v>1509</v>
      </c>
      <c r="E2751" s="17" t="s">
        <v>239</v>
      </c>
      <c r="F2751" s="17" t="s">
        <v>39</v>
      </c>
      <c r="G2751" s="17" t="s">
        <v>1510</v>
      </c>
      <c r="H2751" s="18">
        <v>1270</v>
      </c>
      <c r="I2751" s="18">
        <v>1270</v>
      </c>
      <c r="J2751" s="7" t="str">
        <f>IFERROR(_xlfn.XLOOKUP(F2751,ccustos!A:A,ccustos!B:B),"Sem termo")</f>
        <v>COREG</v>
      </c>
    </row>
    <row r="2752" spans="1:10" ht="25.5" customHeight="1" x14ac:dyDescent="0.25">
      <c r="A2752" s="14">
        <v>14551</v>
      </c>
      <c r="B2752" s="7" t="s">
        <v>236</v>
      </c>
      <c r="C2752" s="7" t="s">
        <v>237</v>
      </c>
      <c r="D2752" s="7" t="s">
        <v>1509</v>
      </c>
      <c r="E2752" s="7" t="s">
        <v>239</v>
      </c>
      <c r="F2752" s="7" t="s">
        <v>27</v>
      </c>
      <c r="G2752" s="7" t="s">
        <v>1510</v>
      </c>
      <c r="H2752" s="15">
        <v>1270</v>
      </c>
      <c r="I2752" s="15">
        <v>1270</v>
      </c>
      <c r="J2752" s="7" t="str">
        <f>IFERROR(_xlfn.XLOOKUP(F2752,ccustos!A:A,ccustos!B:B),"Sem termo")</f>
        <v>CCI</v>
      </c>
    </row>
    <row r="2753" spans="1:10" ht="25.5" customHeight="1" x14ac:dyDescent="0.25">
      <c r="A2753" s="16">
        <v>14552</v>
      </c>
      <c r="B2753" s="17" t="s">
        <v>236</v>
      </c>
      <c r="C2753" s="17" t="s">
        <v>237</v>
      </c>
      <c r="D2753" s="17" t="s">
        <v>1509</v>
      </c>
      <c r="E2753" s="17" t="s">
        <v>239</v>
      </c>
      <c r="F2753" s="17" t="s">
        <v>47</v>
      </c>
      <c r="G2753" s="17" t="s">
        <v>1510</v>
      </c>
      <c r="H2753" s="18">
        <v>1270</v>
      </c>
      <c r="I2753" s="18">
        <v>1270</v>
      </c>
      <c r="J2753" s="7" t="str">
        <f>IFERROR(_xlfn.XLOOKUP(F2753,ccustos!A:A,ccustos!B:B),"Sem termo")</f>
        <v>CDPROF</v>
      </c>
    </row>
    <row r="2754" spans="1:10" ht="25.5" customHeight="1" x14ac:dyDescent="0.25">
      <c r="A2754" s="14">
        <v>14553</v>
      </c>
      <c r="B2754" s="7" t="s">
        <v>236</v>
      </c>
      <c r="C2754" s="7" t="s">
        <v>237</v>
      </c>
      <c r="D2754" s="7" t="s">
        <v>1509</v>
      </c>
      <c r="E2754" s="7" t="s">
        <v>239</v>
      </c>
      <c r="F2754" s="7" t="s">
        <v>27</v>
      </c>
      <c r="G2754" s="7" t="s">
        <v>1510</v>
      </c>
      <c r="H2754" s="15">
        <v>1270</v>
      </c>
      <c r="I2754" s="15">
        <v>1270</v>
      </c>
      <c r="J2754" s="7" t="str">
        <f>IFERROR(_xlfn.XLOOKUP(F2754,ccustos!A:A,ccustos!B:B),"Sem termo")</f>
        <v>CCI</v>
      </c>
    </row>
    <row r="2755" spans="1:10" ht="25.5" customHeight="1" x14ac:dyDescent="0.25">
      <c r="A2755" s="16">
        <v>14554</v>
      </c>
      <c r="B2755" s="17" t="s">
        <v>236</v>
      </c>
      <c r="C2755" s="17" t="s">
        <v>237</v>
      </c>
      <c r="D2755" s="17" t="s">
        <v>1509</v>
      </c>
      <c r="E2755" s="17" t="s">
        <v>239</v>
      </c>
      <c r="F2755" s="17" t="s">
        <v>8</v>
      </c>
      <c r="G2755" s="17" t="s">
        <v>1510</v>
      </c>
      <c r="H2755" s="18">
        <v>1270</v>
      </c>
      <c r="I2755" s="18">
        <v>1270</v>
      </c>
      <c r="J2755" s="7" t="str">
        <f>IFERROR(_xlfn.XLOOKUP(F2755,ccustos!A:A,ccustos!B:B),"Sem termo")</f>
        <v>DEINFRA</v>
      </c>
    </row>
    <row r="2756" spans="1:10" ht="25.5" customHeight="1" x14ac:dyDescent="0.25">
      <c r="A2756" s="14">
        <v>14555</v>
      </c>
      <c r="B2756" s="7" t="s">
        <v>236</v>
      </c>
      <c r="C2756" s="7" t="s">
        <v>237</v>
      </c>
      <c r="D2756" s="7" t="s">
        <v>1509</v>
      </c>
      <c r="E2756" s="7" t="s">
        <v>239</v>
      </c>
      <c r="F2756" s="7" t="s">
        <v>27</v>
      </c>
      <c r="G2756" s="7" t="s">
        <v>1510</v>
      </c>
      <c r="H2756" s="15">
        <v>1270</v>
      </c>
      <c r="I2756" s="15">
        <v>1270</v>
      </c>
      <c r="J2756" s="7" t="str">
        <f>IFERROR(_xlfn.XLOOKUP(F2756,ccustos!A:A,ccustos!B:B),"Sem termo")</f>
        <v>CCI</v>
      </c>
    </row>
    <row r="2757" spans="1:10" ht="25.5" customHeight="1" x14ac:dyDescent="0.25">
      <c r="A2757" s="16">
        <v>14556</v>
      </c>
      <c r="B2757" s="17" t="s">
        <v>236</v>
      </c>
      <c r="C2757" s="17" t="s">
        <v>237</v>
      </c>
      <c r="D2757" s="17" t="s">
        <v>1509</v>
      </c>
      <c r="E2757" s="17" t="s">
        <v>239</v>
      </c>
      <c r="F2757" s="17" t="s">
        <v>27</v>
      </c>
      <c r="G2757" s="17" t="s">
        <v>1510</v>
      </c>
      <c r="H2757" s="18">
        <v>1270</v>
      </c>
      <c r="I2757" s="18">
        <v>1270</v>
      </c>
      <c r="J2757" s="7" t="str">
        <f>IFERROR(_xlfn.XLOOKUP(F2757,ccustos!A:A,ccustos!B:B),"Sem termo")</f>
        <v>CCI</v>
      </c>
    </row>
    <row r="2758" spans="1:10" ht="25.5" customHeight="1" x14ac:dyDescent="0.25">
      <c r="A2758" s="14">
        <v>14557</v>
      </c>
      <c r="B2758" s="7" t="s">
        <v>236</v>
      </c>
      <c r="C2758" s="7" t="s">
        <v>237</v>
      </c>
      <c r="D2758" s="7" t="s">
        <v>1509</v>
      </c>
      <c r="E2758" s="7" t="s">
        <v>239</v>
      </c>
      <c r="F2758" s="7" t="s">
        <v>27</v>
      </c>
      <c r="G2758" s="7" t="s">
        <v>1510</v>
      </c>
      <c r="H2758" s="15">
        <v>1270</v>
      </c>
      <c r="I2758" s="15">
        <v>1270</v>
      </c>
      <c r="J2758" s="7" t="str">
        <f>IFERROR(_xlfn.XLOOKUP(F2758,ccustos!A:A,ccustos!B:B),"Sem termo")</f>
        <v>CCI</v>
      </c>
    </row>
    <row r="2759" spans="1:10" ht="25.5" customHeight="1" x14ac:dyDescent="0.25">
      <c r="A2759" s="16">
        <v>14558</v>
      </c>
      <c r="B2759" s="17" t="s">
        <v>236</v>
      </c>
      <c r="C2759" s="17" t="s">
        <v>237</v>
      </c>
      <c r="D2759" s="17" t="s">
        <v>1509</v>
      </c>
      <c r="E2759" s="17" t="s">
        <v>239</v>
      </c>
      <c r="F2759" s="17" t="s">
        <v>256</v>
      </c>
      <c r="G2759" s="17" t="s">
        <v>1510</v>
      </c>
      <c r="H2759" s="18">
        <v>1270</v>
      </c>
      <c r="I2759" s="18">
        <v>1270</v>
      </c>
      <c r="J2759" s="7" t="str">
        <f>IFERROR(_xlfn.XLOOKUP(F2759,ccustos!A:A,ccustos!B:B),"Sem termo")</f>
        <v>Sem termo</v>
      </c>
    </row>
    <row r="2760" spans="1:10" ht="25.5" customHeight="1" x14ac:dyDescent="0.25">
      <c r="A2760" s="14">
        <v>14559</v>
      </c>
      <c r="B2760" s="7" t="s">
        <v>236</v>
      </c>
      <c r="C2760" s="7" t="s">
        <v>237</v>
      </c>
      <c r="D2760" s="7" t="s">
        <v>1509</v>
      </c>
      <c r="E2760" s="7" t="s">
        <v>239</v>
      </c>
      <c r="F2760" s="7" t="s">
        <v>27</v>
      </c>
      <c r="G2760" s="7" t="s">
        <v>1510</v>
      </c>
      <c r="H2760" s="15">
        <v>1270</v>
      </c>
      <c r="I2760" s="15">
        <v>1270</v>
      </c>
      <c r="J2760" s="7" t="str">
        <f>IFERROR(_xlfn.XLOOKUP(F2760,ccustos!A:A,ccustos!B:B),"Sem termo")</f>
        <v>CCI</v>
      </c>
    </row>
    <row r="2761" spans="1:10" ht="25.5" customHeight="1" x14ac:dyDescent="0.25">
      <c r="A2761" s="16">
        <v>14560</v>
      </c>
      <c r="B2761" s="17" t="s">
        <v>236</v>
      </c>
      <c r="C2761" s="17" t="s">
        <v>237</v>
      </c>
      <c r="D2761" s="17" t="s">
        <v>1509</v>
      </c>
      <c r="E2761" s="17" t="s">
        <v>239</v>
      </c>
      <c r="F2761" s="17" t="s">
        <v>27</v>
      </c>
      <c r="G2761" s="17" t="s">
        <v>1510</v>
      </c>
      <c r="H2761" s="18">
        <v>1270</v>
      </c>
      <c r="I2761" s="18">
        <v>1270</v>
      </c>
      <c r="J2761" s="7" t="str">
        <f>IFERROR(_xlfn.XLOOKUP(F2761,ccustos!A:A,ccustos!B:B),"Sem termo")</f>
        <v>CCI</v>
      </c>
    </row>
    <row r="2762" spans="1:10" ht="25.5" customHeight="1" x14ac:dyDescent="0.25">
      <c r="A2762" s="14">
        <v>14561</v>
      </c>
      <c r="B2762" s="7" t="s">
        <v>236</v>
      </c>
      <c r="C2762" s="7" t="s">
        <v>237</v>
      </c>
      <c r="D2762" s="7" t="s">
        <v>1509</v>
      </c>
      <c r="E2762" s="7" t="s">
        <v>239</v>
      </c>
      <c r="F2762" s="7" t="s">
        <v>27</v>
      </c>
      <c r="G2762" s="7" t="s">
        <v>1510</v>
      </c>
      <c r="H2762" s="15">
        <v>1270</v>
      </c>
      <c r="I2762" s="15">
        <v>1270</v>
      </c>
      <c r="J2762" s="7" t="str">
        <f>IFERROR(_xlfn.XLOOKUP(F2762,ccustos!A:A,ccustos!B:B),"Sem termo")</f>
        <v>CCI</v>
      </c>
    </row>
    <row r="2763" spans="1:10" ht="25.5" customHeight="1" x14ac:dyDescent="0.25">
      <c r="A2763" s="16">
        <v>14563</v>
      </c>
      <c r="B2763" s="17" t="s">
        <v>236</v>
      </c>
      <c r="C2763" s="17" t="s">
        <v>888</v>
      </c>
      <c r="D2763" s="17" t="s">
        <v>1511</v>
      </c>
      <c r="E2763" s="17" t="s">
        <v>335</v>
      </c>
      <c r="F2763" s="17" t="s">
        <v>20</v>
      </c>
      <c r="G2763" s="17" t="s">
        <v>1512</v>
      </c>
      <c r="H2763" s="18">
        <v>179070.43</v>
      </c>
      <c r="I2763" s="18">
        <v>179070.43</v>
      </c>
      <c r="J2763" s="7" t="str">
        <f>IFERROR(_xlfn.XLOOKUP(F2763,ccustos!A:A,ccustos!B:B),"Sem termo")</f>
        <v>CGTI</v>
      </c>
    </row>
    <row r="2764" spans="1:10" ht="25.5" customHeight="1" x14ac:dyDescent="0.25">
      <c r="A2764" s="14">
        <v>14564</v>
      </c>
      <c r="B2764" s="7" t="s">
        <v>236</v>
      </c>
      <c r="C2764" s="7" t="s">
        <v>1498</v>
      </c>
      <c r="D2764" s="7" t="s">
        <v>1513</v>
      </c>
      <c r="E2764" s="7" t="s">
        <v>1410</v>
      </c>
      <c r="F2764" s="7" t="s">
        <v>183</v>
      </c>
      <c r="G2764" s="7" t="s">
        <v>1514</v>
      </c>
      <c r="H2764" s="15">
        <v>4039</v>
      </c>
      <c r="I2764" s="15">
        <v>4039</v>
      </c>
      <c r="J2764" s="7" t="str">
        <f>IFERROR(_xlfn.XLOOKUP(F2764,ccustos!A:A,ccustos!B:B),"Sem termo")</f>
        <v>CGTI</v>
      </c>
    </row>
    <row r="2765" spans="1:10" ht="25.5" customHeight="1" x14ac:dyDescent="0.25">
      <c r="A2765" s="16">
        <v>14567</v>
      </c>
      <c r="B2765" s="17" t="s">
        <v>236</v>
      </c>
      <c r="C2765" s="17" t="s">
        <v>1515</v>
      </c>
      <c r="D2765" s="17" t="s">
        <v>1516</v>
      </c>
      <c r="E2765" s="17" t="s">
        <v>250</v>
      </c>
      <c r="F2765" s="17" t="s">
        <v>20</v>
      </c>
      <c r="G2765" s="17" t="s">
        <v>1517</v>
      </c>
      <c r="H2765" s="18">
        <v>399.9</v>
      </c>
      <c r="I2765" s="18">
        <v>399.9</v>
      </c>
      <c r="J2765" s="7" t="str">
        <f>IFERROR(_xlfn.XLOOKUP(F2765,ccustos!A:A,ccustos!B:B),"Sem termo")</f>
        <v>CGTI</v>
      </c>
    </row>
    <row r="2766" spans="1:10" ht="25.5" customHeight="1" x14ac:dyDescent="0.25">
      <c r="A2766" s="14">
        <v>14568</v>
      </c>
      <c r="B2766" s="7" t="s">
        <v>236</v>
      </c>
      <c r="C2766" s="7" t="s">
        <v>1518</v>
      </c>
      <c r="D2766" s="7" t="s">
        <v>1519</v>
      </c>
      <c r="E2766" s="7" t="s">
        <v>239</v>
      </c>
      <c r="F2766" s="7" t="s">
        <v>19</v>
      </c>
      <c r="G2766" s="7" t="s">
        <v>1520</v>
      </c>
      <c r="H2766" s="15">
        <v>211260</v>
      </c>
      <c r="I2766" s="15">
        <v>211260</v>
      </c>
      <c r="J2766" s="7" t="str">
        <f>IFERROR(_xlfn.XLOOKUP(F2766,ccustos!A:A,ccustos!B:B),"Sem termo")</f>
        <v>SEGED</v>
      </c>
    </row>
    <row r="2767" spans="1:10" ht="25.5" customHeight="1" x14ac:dyDescent="0.25">
      <c r="A2767" s="16">
        <v>14570</v>
      </c>
      <c r="B2767" s="17" t="s">
        <v>236</v>
      </c>
      <c r="C2767" s="17" t="s">
        <v>831</v>
      </c>
      <c r="D2767" s="17" t="s">
        <v>1521</v>
      </c>
      <c r="E2767" s="17" t="s">
        <v>335</v>
      </c>
      <c r="F2767" s="17" t="s">
        <v>256</v>
      </c>
      <c r="G2767" s="17" t="s">
        <v>1522</v>
      </c>
      <c r="H2767" s="18">
        <v>12285</v>
      </c>
      <c r="I2767" s="18">
        <v>12285</v>
      </c>
      <c r="J2767" s="7" t="str">
        <f>IFERROR(_xlfn.XLOOKUP(F2767,ccustos!A:A,ccustos!B:B),"Sem termo")</f>
        <v>Sem termo</v>
      </c>
    </row>
    <row r="2768" spans="1:10" ht="25.5" customHeight="1" x14ac:dyDescent="0.25">
      <c r="A2768" s="14">
        <v>14571</v>
      </c>
      <c r="B2768" s="7" t="s">
        <v>236</v>
      </c>
      <c r="C2768" s="7" t="s">
        <v>831</v>
      </c>
      <c r="D2768" s="7" t="s">
        <v>1523</v>
      </c>
      <c r="E2768" s="7" t="s">
        <v>335</v>
      </c>
      <c r="F2768" s="7" t="s">
        <v>20</v>
      </c>
      <c r="G2768" s="7" t="s">
        <v>1522</v>
      </c>
      <c r="H2768" s="15">
        <v>12285</v>
      </c>
      <c r="I2768" s="15">
        <v>12285</v>
      </c>
      <c r="J2768" s="7" t="str">
        <f>IFERROR(_xlfn.XLOOKUP(F2768,ccustos!A:A,ccustos!B:B),"Sem termo")</f>
        <v>CGTI</v>
      </c>
    </row>
    <row r="2769" spans="1:10" ht="25.5" customHeight="1" x14ac:dyDescent="0.25">
      <c r="A2769" s="16">
        <v>14572</v>
      </c>
      <c r="B2769" s="17" t="s">
        <v>236</v>
      </c>
      <c r="C2769" s="17" t="s">
        <v>1402</v>
      </c>
      <c r="D2769" s="17" t="s">
        <v>1524</v>
      </c>
      <c r="E2769" s="17" t="s">
        <v>318</v>
      </c>
      <c r="F2769" s="17" t="s">
        <v>16</v>
      </c>
      <c r="G2769" s="17" t="s">
        <v>1525</v>
      </c>
      <c r="H2769" s="18">
        <v>549</v>
      </c>
      <c r="I2769" s="18">
        <v>549</v>
      </c>
      <c r="J2769" s="7" t="str">
        <f>IFERROR(_xlfn.XLOOKUP(F2769,ccustos!A:A,ccustos!B:B),"Sem termo")</f>
        <v>SEPAT</v>
      </c>
    </row>
    <row r="2770" spans="1:10" ht="25.5" customHeight="1" x14ac:dyDescent="0.25">
      <c r="A2770" s="14">
        <v>14573</v>
      </c>
      <c r="B2770" s="7" t="s">
        <v>236</v>
      </c>
      <c r="C2770" s="7" t="s">
        <v>1402</v>
      </c>
      <c r="D2770" s="7" t="s">
        <v>1524</v>
      </c>
      <c r="E2770" s="7" t="s">
        <v>318</v>
      </c>
      <c r="F2770" s="7" t="s">
        <v>15</v>
      </c>
      <c r="G2770" s="7" t="s">
        <v>1525</v>
      </c>
      <c r="H2770" s="15">
        <v>549</v>
      </c>
      <c r="I2770" s="15">
        <v>549</v>
      </c>
      <c r="J2770" s="7" t="str">
        <f>IFERROR(_xlfn.XLOOKUP(F2770,ccustos!A:A,ccustos!B:B),"Sem termo")</f>
        <v>SEPAT</v>
      </c>
    </row>
    <row r="2771" spans="1:10" ht="25.5" customHeight="1" x14ac:dyDescent="0.25">
      <c r="A2771" s="16">
        <v>14574</v>
      </c>
      <c r="B2771" s="17" t="s">
        <v>236</v>
      </c>
      <c r="C2771" s="17" t="s">
        <v>1402</v>
      </c>
      <c r="D2771" s="17" t="s">
        <v>1524</v>
      </c>
      <c r="E2771" s="17" t="s">
        <v>318</v>
      </c>
      <c r="F2771" s="17" t="s">
        <v>16</v>
      </c>
      <c r="G2771" s="17" t="s">
        <v>1525</v>
      </c>
      <c r="H2771" s="18">
        <v>549</v>
      </c>
      <c r="I2771" s="18">
        <v>549</v>
      </c>
      <c r="J2771" s="7" t="str">
        <f>IFERROR(_xlfn.XLOOKUP(F2771,ccustos!A:A,ccustos!B:B),"Sem termo")</f>
        <v>SEPAT</v>
      </c>
    </row>
    <row r="2772" spans="1:10" ht="25.5" customHeight="1" x14ac:dyDescent="0.25">
      <c r="A2772" s="14">
        <v>14575</v>
      </c>
      <c r="B2772" s="7" t="s">
        <v>236</v>
      </c>
      <c r="C2772" s="7" t="s">
        <v>1526</v>
      </c>
      <c r="D2772" s="7" t="s">
        <v>1527</v>
      </c>
      <c r="E2772" s="7" t="s">
        <v>335</v>
      </c>
      <c r="F2772" s="7" t="s">
        <v>190</v>
      </c>
      <c r="G2772" s="7" t="s">
        <v>1528</v>
      </c>
      <c r="H2772" s="15">
        <v>5910</v>
      </c>
      <c r="I2772" s="15">
        <v>5910</v>
      </c>
      <c r="J2772" s="7" t="str">
        <f>IFERROR(_xlfn.XLOOKUP(F2772,ccustos!A:A,ccustos!B:B),"Sem termo")</f>
        <v>TERMOS INDIVIDUAIS</v>
      </c>
    </row>
    <row r="2773" spans="1:10" ht="25.5" customHeight="1" x14ac:dyDescent="0.25">
      <c r="A2773" s="16">
        <v>14576</v>
      </c>
      <c r="B2773" s="17" t="s">
        <v>236</v>
      </c>
      <c r="C2773" s="17" t="s">
        <v>1526</v>
      </c>
      <c r="D2773" s="17" t="s">
        <v>1529</v>
      </c>
      <c r="E2773" s="17" t="s">
        <v>335</v>
      </c>
      <c r="F2773" s="17" t="s">
        <v>190</v>
      </c>
      <c r="G2773" s="17" t="s">
        <v>1528</v>
      </c>
      <c r="H2773" s="18">
        <v>8190</v>
      </c>
      <c r="I2773" s="18">
        <v>8190</v>
      </c>
      <c r="J2773" s="7" t="str">
        <f>IFERROR(_xlfn.XLOOKUP(F2773,ccustos!A:A,ccustos!B:B),"Sem termo")</f>
        <v>TERMOS INDIVIDUAIS</v>
      </c>
    </row>
    <row r="2774" spans="1:10" ht="25.5" customHeight="1" x14ac:dyDescent="0.25">
      <c r="A2774" s="14">
        <v>14577</v>
      </c>
      <c r="B2774" s="7" t="s">
        <v>236</v>
      </c>
      <c r="C2774" s="7" t="s">
        <v>1530</v>
      </c>
      <c r="D2774" s="7" t="s">
        <v>1531</v>
      </c>
      <c r="E2774" s="7" t="s">
        <v>1532</v>
      </c>
      <c r="F2774" s="7" t="s">
        <v>183</v>
      </c>
      <c r="G2774" s="7" t="s">
        <v>1533</v>
      </c>
      <c r="H2774" s="15">
        <v>3642912.95</v>
      </c>
      <c r="I2774" s="15">
        <v>3642912.95</v>
      </c>
      <c r="J2774" s="7" t="str">
        <f>IFERROR(_xlfn.XLOOKUP(F2774,ccustos!A:A,ccustos!B:B),"Sem termo")</f>
        <v>CGTI</v>
      </c>
    </row>
    <row r="2775" spans="1:10" ht="25.5" customHeight="1" x14ac:dyDescent="0.25">
      <c r="A2775" s="16">
        <v>14578</v>
      </c>
      <c r="B2775" s="17" t="s">
        <v>236</v>
      </c>
      <c r="C2775" s="17" t="s">
        <v>1530</v>
      </c>
      <c r="D2775" s="17" t="s">
        <v>1534</v>
      </c>
      <c r="E2775" s="17" t="s">
        <v>1532</v>
      </c>
      <c r="F2775" s="17" t="s">
        <v>183</v>
      </c>
      <c r="G2775" s="17" t="s">
        <v>1533</v>
      </c>
      <c r="H2775" s="18">
        <v>1800621.42</v>
      </c>
      <c r="I2775" s="18">
        <v>1800621.42</v>
      </c>
      <c r="J2775" s="7" t="str">
        <f>IFERROR(_xlfn.XLOOKUP(F2775,ccustos!A:A,ccustos!B:B),"Sem termo")</f>
        <v>CGTI</v>
      </c>
    </row>
    <row r="2776" spans="1:10" ht="25.5" customHeight="1" x14ac:dyDescent="0.25">
      <c r="A2776" s="14">
        <v>14579</v>
      </c>
      <c r="B2776" s="7" t="s">
        <v>236</v>
      </c>
      <c r="C2776" s="7" t="s">
        <v>1209</v>
      </c>
      <c r="D2776" s="7" t="s">
        <v>1535</v>
      </c>
      <c r="E2776" s="7" t="s">
        <v>250</v>
      </c>
      <c r="F2776" s="7" t="s">
        <v>22</v>
      </c>
      <c r="G2776" s="7" t="s">
        <v>1536</v>
      </c>
      <c r="H2776" s="15">
        <v>10546.39</v>
      </c>
      <c r="I2776" s="15">
        <v>10546.39</v>
      </c>
      <c r="J2776" s="7" t="str">
        <f>IFERROR(_xlfn.XLOOKUP(F2776,ccustos!A:A,ccustos!B:B),"Sem termo")</f>
        <v>COTEC</v>
      </c>
    </row>
    <row r="2777" spans="1:10" ht="25.5" customHeight="1" x14ac:dyDescent="0.25">
      <c r="A2777" s="16">
        <v>14580</v>
      </c>
      <c r="B2777" s="17" t="s">
        <v>236</v>
      </c>
      <c r="C2777" s="17" t="s">
        <v>1209</v>
      </c>
      <c r="D2777" s="17" t="s">
        <v>1535</v>
      </c>
      <c r="E2777" s="17" t="s">
        <v>250</v>
      </c>
      <c r="F2777" s="17" t="s">
        <v>22</v>
      </c>
      <c r="G2777" s="17" t="s">
        <v>1536</v>
      </c>
      <c r="H2777" s="18">
        <v>10546.39</v>
      </c>
      <c r="I2777" s="18">
        <v>10546.39</v>
      </c>
      <c r="J2777" s="7" t="str">
        <f>IFERROR(_xlfn.XLOOKUP(F2777,ccustos!A:A,ccustos!B:B),"Sem termo")</f>
        <v>COTEC</v>
      </c>
    </row>
    <row r="2778" spans="1:10" ht="25.5" customHeight="1" x14ac:dyDescent="0.25">
      <c r="A2778" s="14">
        <v>14581</v>
      </c>
      <c r="B2778" s="7" t="s">
        <v>236</v>
      </c>
      <c r="C2778" s="7" t="s">
        <v>1209</v>
      </c>
      <c r="D2778" s="7" t="s">
        <v>1535</v>
      </c>
      <c r="E2778" s="7" t="s">
        <v>250</v>
      </c>
      <c r="F2778" s="7" t="s">
        <v>23</v>
      </c>
      <c r="G2778" s="7" t="s">
        <v>1536</v>
      </c>
      <c r="H2778" s="15">
        <v>10546.39</v>
      </c>
      <c r="I2778" s="15">
        <v>10546.39</v>
      </c>
      <c r="J2778" s="7" t="str">
        <f>IFERROR(_xlfn.XLOOKUP(F2778,ccustos!A:A,ccustos!B:B),"Sem termo")</f>
        <v>CCI</v>
      </c>
    </row>
    <row r="2779" spans="1:10" ht="25.5" customHeight="1" x14ac:dyDescent="0.25">
      <c r="A2779" s="16">
        <v>14582</v>
      </c>
      <c r="B2779" s="17" t="s">
        <v>236</v>
      </c>
      <c r="C2779" s="17" t="s">
        <v>1209</v>
      </c>
      <c r="D2779" s="17" t="s">
        <v>1535</v>
      </c>
      <c r="E2779" s="17" t="s">
        <v>250</v>
      </c>
      <c r="F2779" s="17" t="s">
        <v>46</v>
      </c>
      <c r="G2779" s="17" t="s">
        <v>1536</v>
      </c>
      <c r="H2779" s="18">
        <v>10546.39</v>
      </c>
      <c r="I2779" s="18">
        <v>10546.39</v>
      </c>
      <c r="J2779" s="7" t="str">
        <f>IFERROR(_xlfn.XLOOKUP(F2779,ccustos!A:A,ccustos!B:B),"Sem termo")</f>
        <v>CCI</v>
      </c>
    </row>
    <row r="2780" spans="1:10" ht="25.5" customHeight="1" x14ac:dyDescent="0.25">
      <c r="A2780" s="14">
        <v>14583</v>
      </c>
      <c r="B2780" s="7" t="s">
        <v>236</v>
      </c>
      <c r="C2780" s="7" t="s">
        <v>1209</v>
      </c>
      <c r="D2780" s="7" t="s">
        <v>1535</v>
      </c>
      <c r="E2780" s="7" t="s">
        <v>250</v>
      </c>
      <c r="F2780" s="7" t="s">
        <v>33</v>
      </c>
      <c r="G2780" s="7" t="s">
        <v>1536</v>
      </c>
      <c r="H2780" s="15">
        <v>10546.39</v>
      </c>
      <c r="I2780" s="15">
        <v>10546.39</v>
      </c>
      <c r="J2780" s="7" t="str">
        <f>IFERROR(_xlfn.XLOOKUP(F2780,ccustos!A:A,ccustos!B:B),"Sem termo")</f>
        <v>COPI</v>
      </c>
    </row>
    <row r="2781" spans="1:10" ht="25.5" customHeight="1" x14ac:dyDescent="0.25">
      <c r="A2781" s="16">
        <v>14584</v>
      </c>
      <c r="B2781" s="17" t="s">
        <v>236</v>
      </c>
      <c r="C2781" s="17" t="s">
        <v>1209</v>
      </c>
      <c r="D2781" s="17" t="s">
        <v>1535</v>
      </c>
      <c r="E2781" s="17" t="s">
        <v>250</v>
      </c>
      <c r="F2781" s="17" t="s">
        <v>40</v>
      </c>
      <c r="G2781" s="17" t="s">
        <v>1536</v>
      </c>
      <c r="H2781" s="18">
        <v>10546.38</v>
      </c>
      <c r="I2781" s="18">
        <v>10546.38</v>
      </c>
      <c r="J2781" s="7" t="str">
        <f>IFERROR(_xlfn.XLOOKUP(F2781,ccustos!A:A,ccustos!B:B),"Sem termo")</f>
        <v>COPI</v>
      </c>
    </row>
    <row r="2782" spans="1:10" ht="25.5" customHeight="1" x14ac:dyDescent="0.25">
      <c r="A2782" s="14">
        <v>14585</v>
      </c>
      <c r="B2782" s="7" t="s">
        <v>236</v>
      </c>
      <c r="C2782" s="7" t="s">
        <v>1209</v>
      </c>
      <c r="D2782" s="7" t="s">
        <v>1535</v>
      </c>
      <c r="E2782" s="7" t="s">
        <v>250</v>
      </c>
      <c r="F2782" s="7" t="s">
        <v>38</v>
      </c>
      <c r="G2782" s="7" t="s">
        <v>1536</v>
      </c>
      <c r="H2782" s="15">
        <v>10546.38</v>
      </c>
      <c r="I2782" s="15">
        <v>10546.38</v>
      </c>
      <c r="J2782" s="7" t="str">
        <f>IFERROR(_xlfn.XLOOKUP(F2782,ccustos!A:A,ccustos!B:B),"Sem termo")</f>
        <v>CDPROF</v>
      </c>
    </row>
    <row r="2783" spans="1:10" ht="25.5" customHeight="1" x14ac:dyDescent="0.25">
      <c r="A2783" s="16">
        <v>14586</v>
      </c>
      <c r="B2783" s="17" t="s">
        <v>236</v>
      </c>
      <c r="C2783" s="17" t="s">
        <v>1209</v>
      </c>
      <c r="D2783" s="17" t="s">
        <v>1535</v>
      </c>
      <c r="E2783" s="17" t="s">
        <v>250</v>
      </c>
      <c r="F2783" s="17" t="s">
        <v>67</v>
      </c>
      <c r="G2783" s="17" t="s">
        <v>1536</v>
      </c>
      <c r="H2783" s="18">
        <v>10546.38</v>
      </c>
      <c r="I2783" s="18">
        <v>10546.38</v>
      </c>
      <c r="J2783" s="7" t="str">
        <f>IFERROR(_xlfn.XLOOKUP(F2783,ccustos!A:A,ccustos!B:B),"Sem termo")</f>
        <v>CDPROF</v>
      </c>
    </row>
    <row r="2784" spans="1:10" ht="25.5" customHeight="1" x14ac:dyDescent="0.25">
      <c r="A2784" s="14">
        <v>14587</v>
      </c>
      <c r="B2784" s="7" t="s">
        <v>236</v>
      </c>
      <c r="C2784" s="7" t="s">
        <v>1209</v>
      </c>
      <c r="D2784" s="7" t="s">
        <v>1535</v>
      </c>
      <c r="E2784" s="7" t="s">
        <v>250</v>
      </c>
      <c r="F2784" s="7" t="s">
        <v>83</v>
      </c>
      <c r="G2784" s="7" t="s">
        <v>1536</v>
      </c>
      <c r="H2784" s="15">
        <v>10546.38</v>
      </c>
      <c r="I2784" s="15">
        <v>10546.38</v>
      </c>
      <c r="J2784" s="7" t="str">
        <f>IFERROR(_xlfn.XLOOKUP(F2784,ccustos!A:A,ccustos!B:B),"Sem termo")</f>
        <v>GABIN</v>
      </c>
    </row>
    <row r="2785" spans="1:10" ht="25.5" customHeight="1" x14ac:dyDescent="0.25">
      <c r="A2785" s="16">
        <v>14588</v>
      </c>
      <c r="B2785" s="17" t="s">
        <v>236</v>
      </c>
      <c r="C2785" s="17" t="s">
        <v>320</v>
      </c>
      <c r="D2785" s="17" t="s">
        <v>1537</v>
      </c>
      <c r="E2785" s="17" t="s">
        <v>250</v>
      </c>
      <c r="F2785" s="17" t="s">
        <v>186</v>
      </c>
      <c r="G2785" s="17" t="s">
        <v>1538</v>
      </c>
      <c r="H2785" s="18">
        <v>5800</v>
      </c>
      <c r="I2785" s="18">
        <v>5800</v>
      </c>
      <c r="J2785" s="7" t="str">
        <f>IFERROR(_xlfn.XLOOKUP(F2785,ccustos!A:A,ccustos!B:B),"Sem termo")</f>
        <v>CGGE</v>
      </c>
    </row>
    <row r="2786" spans="1:10" ht="25.5" customHeight="1" x14ac:dyDescent="0.25">
      <c r="A2786" s="14">
        <v>14589</v>
      </c>
      <c r="B2786" s="7" t="s">
        <v>236</v>
      </c>
      <c r="C2786" s="7" t="s">
        <v>320</v>
      </c>
      <c r="D2786" s="7" t="s">
        <v>1537</v>
      </c>
      <c r="E2786" s="7" t="s">
        <v>250</v>
      </c>
      <c r="F2786" s="7" t="s">
        <v>33</v>
      </c>
      <c r="G2786" s="7" t="s">
        <v>1538</v>
      </c>
      <c r="H2786" s="15">
        <v>5800</v>
      </c>
      <c r="I2786" s="15">
        <v>5800</v>
      </c>
      <c r="J2786" s="7" t="str">
        <f>IFERROR(_xlfn.XLOOKUP(F2786,ccustos!A:A,ccustos!B:B),"Sem termo")</f>
        <v>COPI</v>
      </c>
    </row>
    <row r="2787" spans="1:10" ht="25.5" customHeight="1" x14ac:dyDescent="0.25">
      <c r="A2787" s="16">
        <v>14590</v>
      </c>
      <c r="B2787" s="17" t="s">
        <v>236</v>
      </c>
      <c r="C2787" s="17" t="s">
        <v>320</v>
      </c>
      <c r="D2787" s="17" t="s">
        <v>1537</v>
      </c>
      <c r="E2787" s="17" t="s">
        <v>250</v>
      </c>
      <c r="F2787" s="17" t="s">
        <v>52</v>
      </c>
      <c r="G2787" s="17" t="s">
        <v>1538</v>
      </c>
      <c r="H2787" s="18">
        <v>5800</v>
      </c>
      <c r="I2787" s="18">
        <v>5800</v>
      </c>
      <c r="J2787" s="7" t="str">
        <f>IFERROR(_xlfn.XLOOKUP(F2787,ccustos!A:A,ccustos!B:B),"Sem termo")</f>
        <v>COREG</v>
      </c>
    </row>
    <row r="2788" spans="1:10" ht="25.5" customHeight="1" x14ac:dyDescent="0.25">
      <c r="A2788" s="14">
        <v>14591</v>
      </c>
      <c r="B2788" s="7" t="s">
        <v>236</v>
      </c>
      <c r="C2788" s="7" t="s">
        <v>320</v>
      </c>
      <c r="D2788" s="7" t="s">
        <v>1537</v>
      </c>
      <c r="E2788" s="7" t="s">
        <v>250</v>
      </c>
      <c r="F2788" s="7" t="s">
        <v>38</v>
      </c>
      <c r="G2788" s="7" t="s">
        <v>1538</v>
      </c>
      <c r="H2788" s="15">
        <v>5800</v>
      </c>
      <c r="I2788" s="15">
        <v>5800</v>
      </c>
      <c r="J2788" s="7" t="str">
        <f>IFERROR(_xlfn.XLOOKUP(F2788,ccustos!A:A,ccustos!B:B),"Sem termo")</f>
        <v>CDPROF</v>
      </c>
    </row>
    <row r="2789" spans="1:10" ht="25.5" customHeight="1" x14ac:dyDescent="0.25">
      <c r="A2789" s="16">
        <v>14592</v>
      </c>
      <c r="B2789" s="17" t="s">
        <v>236</v>
      </c>
      <c r="C2789" s="17" t="s">
        <v>320</v>
      </c>
      <c r="D2789" s="17" t="s">
        <v>1537</v>
      </c>
      <c r="E2789" s="17" t="s">
        <v>250</v>
      </c>
      <c r="F2789" s="17" t="s">
        <v>187</v>
      </c>
      <c r="G2789" s="17" t="s">
        <v>1538</v>
      </c>
      <c r="H2789" s="18">
        <v>5800</v>
      </c>
      <c r="I2789" s="18">
        <v>5800</v>
      </c>
      <c r="J2789" s="7" t="str">
        <f>IFERROR(_xlfn.XLOOKUP(F2789,ccustos!A:A,ccustos!B:B),"Sem termo")</f>
        <v>CGGE</v>
      </c>
    </row>
    <row r="2790" spans="1:10" ht="25.5" customHeight="1" x14ac:dyDescent="0.25">
      <c r="A2790" s="14">
        <v>14593</v>
      </c>
      <c r="B2790" s="7" t="s">
        <v>236</v>
      </c>
      <c r="C2790" s="7" t="s">
        <v>320</v>
      </c>
      <c r="D2790" s="7" t="s">
        <v>1537</v>
      </c>
      <c r="E2790" s="7" t="s">
        <v>250</v>
      </c>
      <c r="F2790" s="7" t="s">
        <v>34</v>
      </c>
      <c r="G2790" s="7" t="s">
        <v>1538</v>
      </c>
      <c r="H2790" s="15">
        <v>5800</v>
      </c>
      <c r="I2790" s="15">
        <v>5800</v>
      </c>
      <c r="J2790" s="7" t="str">
        <f>IFERROR(_xlfn.XLOOKUP(F2790,ccustos!A:A,ccustos!B:B),"Sem termo")</f>
        <v>COFIS</v>
      </c>
    </row>
    <row r="2791" spans="1:10" ht="25.5" customHeight="1" x14ac:dyDescent="0.25">
      <c r="A2791" s="16">
        <v>14594</v>
      </c>
      <c r="B2791" s="17" t="s">
        <v>236</v>
      </c>
      <c r="C2791" s="17" t="s">
        <v>320</v>
      </c>
      <c r="D2791" s="17" t="s">
        <v>1537</v>
      </c>
      <c r="E2791" s="17" t="s">
        <v>250</v>
      </c>
      <c r="F2791" s="17" t="s">
        <v>23</v>
      </c>
      <c r="G2791" s="17" t="s">
        <v>1538</v>
      </c>
      <c r="H2791" s="18">
        <v>5800</v>
      </c>
      <c r="I2791" s="18">
        <v>5800</v>
      </c>
      <c r="J2791" s="7" t="str">
        <f>IFERROR(_xlfn.XLOOKUP(F2791,ccustos!A:A,ccustos!B:B),"Sem termo")</f>
        <v>CCI</v>
      </c>
    </row>
    <row r="2792" spans="1:10" ht="25.5" customHeight="1" x14ac:dyDescent="0.25">
      <c r="A2792" s="14">
        <v>14595</v>
      </c>
      <c r="B2792" s="7" t="s">
        <v>236</v>
      </c>
      <c r="C2792" s="7" t="s">
        <v>320</v>
      </c>
      <c r="D2792" s="7" t="s">
        <v>1537</v>
      </c>
      <c r="E2792" s="7" t="s">
        <v>250</v>
      </c>
      <c r="F2792" s="7" t="s">
        <v>211</v>
      </c>
      <c r="G2792" s="7" t="s">
        <v>1538</v>
      </c>
      <c r="H2792" s="15">
        <v>5800</v>
      </c>
      <c r="I2792" s="15">
        <v>5800</v>
      </c>
      <c r="J2792" s="7" t="str">
        <f>IFERROR(_xlfn.XLOOKUP(F2792,ccustos!A:A,ccustos!B:B),"Sem termo")</f>
        <v>DIGEO</v>
      </c>
    </row>
    <row r="2793" spans="1:10" ht="25.5" customHeight="1" x14ac:dyDescent="0.25">
      <c r="A2793" s="16">
        <v>14596</v>
      </c>
      <c r="B2793" s="17" t="s">
        <v>236</v>
      </c>
      <c r="C2793" s="17" t="s">
        <v>320</v>
      </c>
      <c r="D2793" s="17" t="s">
        <v>1537</v>
      </c>
      <c r="E2793" s="17" t="s">
        <v>250</v>
      </c>
      <c r="F2793" s="17" t="s">
        <v>83</v>
      </c>
      <c r="G2793" s="17" t="s">
        <v>1538</v>
      </c>
      <c r="H2793" s="18">
        <v>5800</v>
      </c>
      <c r="I2793" s="18">
        <v>5800</v>
      </c>
      <c r="J2793" s="7" t="str">
        <f>IFERROR(_xlfn.XLOOKUP(F2793,ccustos!A:A,ccustos!B:B),"Sem termo")</f>
        <v>GABIN</v>
      </c>
    </row>
    <row r="2794" spans="1:10" ht="25.5" customHeight="1" x14ac:dyDescent="0.25">
      <c r="A2794" s="14">
        <v>14597</v>
      </c>
      <c r="B2794" s="7" t="s">
        <v>236</v>
      </c>
      <c r="C2794" s="7" t="s">
        <v>320</v>
      </c>
      <c r="D2794" s="7" t="s">
        <v>1537</v>
      </c>
      <c r="E2794" s="7" t="s">
        <v>250</v>
      </c>
      <c r="F2794" s="7" t="s">
        <v>1125</v>
      </c>
      <c r="G2794" s="7" t="s">
        <v>1538</v>
      </c>
      <c r="H2794" s="15">
        <v>5800</v>
      </c>
      <c r="I2794" s="15">
        <v>5800</v>
      </c>
      <c r="J2794" s="7" t="str">
        <f>IFERROR(_xlfn.XLOOKUP(F2794,ccustos!A:A,ccustos!B:B),"Sem termo")</f>
        <v>Sem termo</v>
      </c>
    </row>
    <row r="2795" spans="1:10" ht="25.5" customHeight="1" x14ac:dyDescent="0.25">
      <c r="A2795" s="16">
        <v>14598</v>
      </c>
      <c r="B2795" s="17" t="s">
        <v>236</v>
      </c>
      <c r="C2795" s="17" t="s">
        <v>320</v>
      </c>
      <c r="D2795" s="17" t="s">
        <v>1537</v>
      </c>
      <c r="E2795" s="17" t="s">
        <v>250</v>
      </c>
      <c r="F2795" s="17" t="s">
        <v>83</v>
      </c>
      <c r="G2795" s="17" t="s">
        <v>1538</v>
      </c>
      <c r="H2795" s="18">
        <v>5800</v>
      </c>
      <c r="I2795" s="18">
        <v>5800</v>
      </c>
      <c r="J2795" s="7" t="str">
        <f>IFERROR(_xlfn.XLOOKUP(F2795,ccustos!A:A,ccustos!B:B),"Sem termo")</f>
        <v>GABIN</v>
      </c>
    </row>
    <row r="2796" spans="1:10" ht="25.5" customHeight="1" x14ac:dyDescent="0.25">
      <c r="A2796" s="14">
        <v>14599</v>
      </c>
      <c r="B2796" s="7" t="s">
        <v>236</v>
      </c>
      <c r="C2796" s="7" t="s">
        <v>320</v>
      </c>
      <c r="D2796" s="7" t="s">
        <v>1537</v>
      </c>
      <c r="E2796" s="7" t="s">
        <v>250</v>
      </c>
      <c r="F2796" s="7" t="s">
        <v>21</v>
      </c>
      <c r="G2796" s="7" t="s">
        <v>1538</v>
      </c>
      <c r="H2796" s="15">
        <v>5800</v>
      </c>
      <c r="I2796" s="15">
        <v>5800</v>
      </c>
      <c r="J2796" s="7" t="str">
        <f>IFERROR(_xlfn.XLOOKUP(F2796,ccustos!A:A,ccustos!B:B),"Sem termo")</f>
        <v>COTEC</v>
      </c>
    </row>
    <row r="2797" spans="1:10" ht="25.5" customHeight="1" x14ac:dyDescent="0.25">
      <c r="A2797" s="16">
        <v>14600</v>
      </c>
      <c r="B2797" s="17" t="s">
        <v>236</v>
      </c>
      <c r="C2797" s="17" t="s">
        <v>320</v>
      </c>
      <c r="D2797" s="17" t="s">
        <v>1537</v>
      </c>
      <c r="E2797" s="17" t="s">
        <v>250</v>
      </c>
      <c r="F2797" s="17" t="s">
        <v>49</v>
      </c>
      <c r="G2797" s="17" t="s">
        <v>1538</v>
      </c>
      <c r="H2797" s="18">
        <v>5800</v>
      </c>
      <c r="I2797" s="18">
        <v>5800</v>
      </c>
      <c r="J2797" s="7" t="str">
        <f>IFERROR(_xlfn.XLOOKUP(F2797,ccustos!A:A,ccustos!B:B),"Sem termo")</f>
        <v>COAD</v>
      </c>
    </row>
    <row r="2798" spans="1:10" ht="25.5" customHeight="1" x14ac:dyDescent="0.25">
      <c r="A2798" s="14">
        <v>14601</v>
      </c>
      <c r="B2798" s="7" t="s">
        <v>236</v>
      </c>
      <c r="C2798" s="7" t="s">
        <v>803</v>
      </c>
      <c r="D2798" s="7" t="s">
        <v>1539</v>
      </c>
      <c r="E2798" s="7" t="s">
        <v>239</v>
      </c>
      <c r="F2798" s="7" t="s">
        <v>33</v>
      </c>
      <c r="G2798" s="7" t="s">
        <v>1538</v>
      </c>
      <c r="H2798" s="15">
        <v>80</v>
      </c>
      <c r="I2798" s="15">
        <v>80</v>
      </c>
      <c r="J2798" s="7" t="str">
        <f>IFERROR(_xlfn.XLOOKUP(F2798,ccustos!A:A,ccustos!B:B),"Sem termo")</f>
        <v>COPI</v>
      </c>
    </row>
    <row r="2799" spans="1:10" ht="25.5" customHeight="1" x14ac:dyDescent="0.25">
      <c r="A2799" s="16">
        <v>14602</v>
      </c>
      <c r="B2799" s="17" t="s">
        <v>236</v>
      </c>
      <c r="C2799" s="17" t="s">
        <v>803</v>
      </c>
      <c r="D2799" s="17" t="s">
        <v>1539</v>
      </c>
      <c r="E2799" s="17" t="s">
        <v>239</v>
      </c>
      <c r="F2799" s="17" t="s">
        <v>38</v>
      </c>
      <c r="G2799" s="17" t="s">
        <v>1538</v>
      </c>
      <c r="H2799" s="18">
        <v>80</v>
      </c>
      <c r="I2799" s="18">
        <v>80</v>
      </c>
      <c r="J2799" s="7" t="str">
        <f>IFERROR(_xlfn.XLOOKUP(F2799,ccustos!A:A,ccustos!B:B),"Sem termo")</f>
        <v>CDPROF</v>
      </c>
    </row>
    <row r="2800" spans="1:10" ht="25.5" customHeight="1" x14ac:dyDescent="0.25">
      <c r="A2800" s="14">
        <v>14603</v>
      </c>
      <c r="B2800" s="7" t="s">
        <v>236</v>
      </c>
      <c r="C2800" s="7" t="s">
        <v>803</v>
      </c>
      <c r="D2800" s="7" t="s">
        <v>1539</v>
      </c>
      <c r="E2800" s="7" t="s">
        <v>239</v>
      </c>
      <c r="F2800" s="7" t="s">
        <v>23</v>
      </c>
      <c r="G2800" s="7" t="s">
        <v>1538</v>
      </c>
      <c r="H2800" s="15">
        <v>80</v>
      </c>
      <c r="I2800" s="15">
        <v>80</v>
      </c>
      <c r="J2800" s="7" t="str">
        <f>IFERROR(_xlfn.XLOOKUP(F2800,ccustos!A:A,ccustos!B:B),"Sem termo")</f>
        <v>CCI</v>
      </c>
    </row>
    <row r="2801" spans="1:10" ht="25.5" customHeight="1" x14ac:dyDescent="0.25">
      <c r="A2801" s="16">
        <v>14604</v>
      </c>
      <c r="B2801" s="17" t="s">
        <v>236</v>
      </c>
      <c r="C2801" s="17" t="s">
        <v>803</v>
      </c>
      <c r="D2801" s="17" t="s">
        <v>1539</v>
      </c>
      <c r="E2801" s="17" t="s">
        <v>239</v>
      </c>
      <c r="F2801" s="17" t="s">
        <v>83</v>
      </c>
      <c r="G2801" s="17" t="s">
        <v>1538</v>
      </c>
      <c r="H2801" s="18">
        <v>80</v>
      </c>
      <c r="I2801" s="18">
        <v>80</v>
      </c>
      <c r="J2801" s="7" t="str">
        <f>IFERROR(_xlfn.XLOOKUP(F2801,ccustos!A:A,ccustos!B:B),"Sem termo")</f>
        <v>GABIN</v>
      </c>
    </row>
    <row r="2802" spans="1:10" ht="25.5" customHeight="1" x14ac:dyDescent="0.25">
      <c r="A2802" s="14">
        <v>14605</v>
      </c>
      <c r="B2802" s="7" t="s">
        <v>236</v>
      </c>
      <c r="C2802" s="7" t="s">
        <v>803</v>
      </c>
      <c r="D2802" s="7" t="s">
        <v>1539</v>
      </c>
      <c r="E2802" s="7" t="s">
        <v>239</v>
      </c>
      <c r="F2802" s="7" t="s">
        <v>211</v>
      </c>
      <c r="G2802" s="7" t="s">
        <v>1538</v>
      </c>
      <c r="H2802" s="15">
        <v>80</v>
      </c>
      <c r="I2802" s="15">
        <v>80</v>
      </c>
      <c r="J2802" s="7" t="str">
        <f>IFERROR(_xlfn.XLOOKUP(F2802,ccustos!A:A,ccustos!B:B),"Sem termo")</f>
        <v>DIGEO</v>
      </c>
    </row>
    <row r="2803" spans="1:10" ht="25.5" customHeight="1" x14ac:dyDescent="0.25">
      <c r="A2803" s="16">
        <v>14606</v>
      </c>
      <c r="B2803" s="17" t="s">
        <v>236</v>
      </c>
      <c r="C2803" s="17" t="s">
        <v>803</v>
      </c>
      <c r="D2803" s="17" t="s">
        <v>1539</v>
      </c>
      <c r="E2803" s="17" t="s">
        <v>239</v>
      </c>
      <c r="F2803" s="17" t="s">
        <v>20</v>
      </c>
      <c r="G2803" s="17" t="s">
        <v>1538</v>
      </c>
      <c r="H2803" s="18">
        <v>80</v>
      </c>
      <c r="I2803" s="18">
        <v>80</v>
      </c>
      <c r="J2803" s="7" t="str">
        <f>IFERROR(_xlfn.XLOOKUP(F2803,ccustos!A:A,ccustos!B:B),"Sem termo")</f>
        <v>CGTI</v>
      </c>
    </row>
    <row r="2804" spans="1:10" ht="25.5" customHeight="1" x14ac:dyDescent="0.25">
      <c r="A2804" s="14">
        <v>14607</v>
      </c>
      <c r="B2804" s="7" t="s">
        <v>236</v>
      </c>
      <c r="C2804" s="7" t="s">
        <v>803</v>
      </c>
      <c r="D2804" s="7" t="s">
        <v>1539</v>
      </c>
      <c r="E2804" s="7" t="s">
        <v>239</v>
      </c>
      <c r="F2804" s="7" t="s">
        <v>20</v>
      </c>
      <c r="G2804" s="7" t="s">
        <v>1538</v>
      </c>
      <c r="H2804" s="15">
        <v>80</v>
      </c>
      <c r="I2804" s="15">
        <v>80</v>
      </c>
      <c r="J2804" s="7" t="str">
        <f>IFERROR(_xlfn.XLOOKUP(F2804,ccustos!A:A,ccustos!B:B),"Sem termo")</f>
        <v>CGTI</v>
      </c>
    </row>
    <row r="2805" spans="1:10" ht="25.5" customHeight="1" x14ac:dyDescent="0.25">
      <c r="A2805" s="16">
        <v>14608</v>
      </c>
      <c r="B2805" s="17" t="s">
        <v>236</v>
      </c>
      <c r="C2805" s="17" t="s">
        <v>803</v>
      </c>
      <c r="D2805" s="17" t="s">
        <v>1539</v>
      </c>
      <c r="E2805" s="17" t="s">
        <v>239</v>
      </c>
      <c r="F2805" s="17" t="s">
        <v>34</v>
      </c>
      <c r="G2805" s="17" t="s">
        <v>1538</v>
      </c>
      <c r="H2805" s="18">
        <v>80</v>
      </c>
      <c r="I2805" s="18">
        <v>80</v>
      </c>
      <c r="J2805" s="7" t="str">
        <f>IFERROR(_xlfn.XLOOKUP(F2805,ccustos!A:A,ccustos!B:B),"Sem termo")</f>
        <v>COFIS</v>
      </c>
    </row>
    <row r="2806" spans="1:10" ht="25.5" customHeight="1" x14ac:dyDescent="0.25">
      <c r="A2806" s="14">
        <v>14609</v>
      </c>
      <c r="B2806" s="7" t="s">
        <v>236</v>
      </c>
      <c r="C2806" s="7" t="s">
        <v>803</v>
      </c>
      <c r="D2806" s="7" t="s">
        <v>1539</v>
      </c>
      <c r="E2806" s="7" t="s">
        <v>239</v>
      </c>
      <c r="F2806" s="7" t="s">
        <v>52</v>
      </c>
      <c r="G2806" s="7" t="s">
        <v>1538</v>
      </c>
      <c r="H2806" s="15">
        <v>80</v>
      </c>
      <c r="I2806" s="15">
        <v>80</v>
      </c>
      <c r="J2806" s="7" t="str">
        <f>IFERROR(_xlfn.XLOOKUP(F2806,ccustos!A:A,ccustos!B:B),"Sem termo")</f>
        <v>COREG</v>
      </c>
    </row>
    <row r="2807" spans="1:10" ht="25.5" customHeight="1" x14ac:dyDescent="0.25">
      <c r="A2807" s="16">
        <v>14610</v>
      </c>
      <c r="B2807" s="17" t="s">
        <v>236</v>
      </c>
      <c r="C2807" s="17" t="s">
        <v>803</v>
      </c>
      <c r="D2807" s="17" t="s">
        <v>1539</v>
      </c>
      <c r="E2807" s="17" t="s">
        <v>239</v>
      </c>
      <c r="F2807" s="17" t="s">
        <v>49</v>
      </c>
      <c r="G2807" s="17" t="s">
        <v>1538</v>
      </c>
      <c r="H2807" s="18">
        <v>80</v>
      </c>
      <c r="I2807" s="18">
        <v>80</v>
      </c>
      <c r="J2807" s="7" t="str">
        <f>IFERROR(_xlfn.XLOOKUP(F2807,ccustos!A:A,ccustos!B:B),"Sem termo")</f>
        <v>COAD</v>
      </c>
    </row>
    <row r="2808" spans="1:10" ht="25.5" customHeight="1" x14ac:dyDescent="0.25">
      <c r="A2808" s="14">
        <v>14611</v>
      </c>
      <c r="B2808" s="7" t="s">
        <v>236</v>
      </c>
      <c r="C2808" s="7" t="s">
        <v>831</v>
      </c>
      <c r="D2808" s="7" t="s">
        <v>1540</v>
      </c>
      <c r="E2808" s="7" t="s">
        <v>335</v>
      </c>
      <c r="F2808" s="7" t="s">
        <v>205</v>
      </c>
      <c r="G2808" s="7" t="s">
        <v>1541</v>
      </c>
      <c r="H2808" s="15">
        <v>7920</v>
      </c>
      <c r="I2808" s="15">
        <v>7920</v>
      </c>
      <c r="J2808" s="7" t="str">
        <f>IFERROR(_xlfn.XLOOKUP(F2808,ccustos!A:A,ccustos!B:B),"Sem termo")</f>
        <v>CCOM</v>
      </c>
    </row>
    <row r="2809" spans="1:10" ht="25.5" customHeight="1" x14ac:dyDescent="0.25">
      <c r="A2809" s="16">
        <v>14612</v>
      </c>
      <c r="B2809" s="17" t="s">
        <v>236</v>
      </c>
      <c r="C2809" s="17" t="s">
        <v>831</v>
      </c>
      <c r="D2809" s="17" t="s">
        <v>1542</v>
      </c>
      <c r="E2809" s="17" t="s">
        <v>335</v>
      </c>
      <c r="F2809" s="17" t="s">
        <v>205</v>
      </c>
      <c r="G2809" s="17" t="s">
        <v>1541</v>
      </c>
      <c r="H2809" s="18">
        <v>7920</v>
      </c>
      <c r="I2809" s="18">
        <v>7920</v>
      </c>
      <c r="J2809" s="7" t="str">
        <f>IFERROR(_xlfn.XLOOKUP(F2809,ccustos!A:A,ccustos!B:B),"Sem termo")</f>
        <v>CCOM</v>
      </c>
    </row>
    <row r="2810" spans="1:10" ht="25.5" customHeight="1" x14ac:dyDescent="0.25">
      <c r="A2810" s="14">
        <v>14613</v>
      </c>
      <c r="B2810" s="7" t="s">
        <v>236</v>
      </c>
      <c r="C2810" s="7" t="s">
        <v>831</v>
      </c>
      <c r="D2810" s="7" t="s">
        <v>1543</v>
      </c>
      <c r="E2810" s="7" t="s">
        <v>335</v>
      </c>
      <c r="F2810" s="7" t="s">
        <v>205</v>
      </c>
      <c r="G2810" s="7" t="s">
        <v>1541</v>
      </c>
      <c r="H2810" s="15">
        <v>7920</v>
      </c>
      <c r="I2810" s="15">
        <v>7920</v>
      </c>
      <c r="J2810" s="7" t="str">
        <f>IFERROR(_xlfn.XLOOKUP(F2810,ccustos!A:A,ccustos!B:B),"Sem termo")</f>
        <v>CCOM</v>
      </c>
    </row>
    <row r="2811" spans="1:10" ht="25.5" customHeight="1" x14ac:dyDescent="0.25">
      <c r="A2811" s="16">
        <v>14614</v>
      </c>
      <c r="B2811" s="17" t="s">
        <v>236</v>
      </c>
      <c r="C2811" s="17" t="s">
        <v>831</v>
      </c>
      <c r="D2811" s="17" t="s">
        <v>1544</v>
      </c>
      <c r="E2811" s="17" t="s">
        <v>335</v>
      </c>
      <c r="F2811" s="17" t="s">
        <v>205</v>
      </c>
      <c r="G2811" s="17" t="s">
        <v>1541</v>
      </c>
      <c r="H2811" s="18">
        <v>7920</v>
      </c>
      <c r="I2811" s="18">
        <v>7920</v>
      </c>
      <c r="J2811" s="7" t="str">
        <f>IFERROR(_xlfn.XLOOKUP(F2811,ccustos!A:A,ccustos!B:B),"Sem termo")</f>
        <v>CCOM</v>
      </c>
    </row>
    <row r="2812" spans="1:10" ht="25.5" customHeight="1" x14ac:dyDescent="0.25">
      <c r="A2812" s="14">
        <v>14615</v>
      </c>
      <c r="B2812" s="7" t="s">
        <v>236</v>
      </c>
      <c r="C2812" s="7" t="s">
        <v>831</v>
      </c>
      <c r="D2812" s="7" t="s">
        <v>1545</v>
      </c>
      <c r="E2812" s="7" t="s">
        <v>335</v>
      </c>
      <c r="F2812" s="7" t="s">
        <v>185</v>
      </c>
      <c r="G2812" s="7" t="s">
        <v>1541</v>
      </c>
      <c r="H2812" s="15">
        <v>7920</v>
      </c>
      <c r="I2812" s="15">
        <v>7920</v>
      </c>
      <c r="J2812" s="7" t="str">
        <f>IFERROR(_xlfn.XLOOKUP(F2812,ccustos!A:A,ccustos!B:B),"Sem termo")</f>
        <v>CGGE</v>
      </c>
    </row>
    <row r="2813" spans="1:10" ht="25.5" customHeight="1" x14ac:dyDescent="0.25">
      <c r="A2813" s="16">
        <v>14616</v>
      </c>
      <c r="B2813" s="17" t="s">
        <v>236</v>
      </c>
      <c r="C2813" s="17" t="s">
        <v>831</v>
      </c>
      <c r="D2813" s="17" t="s">
        <v>1546</v>
      </c>
      <c r="E2813" s="17" t="s">
        <v>335</v>
      </c>
      <c r="F2813" s="17" t="s">
        <v>205</v>
      </c>
      <c r="G2813" s="17" t="s">
        <v>1541</v>
      </c>
      <c r="H2813" s="18">
        <v>7920</v>
      </c>
      <c r="I2813" s="18">
        <v>7920</v>
      </c>
      <c r="J2813" s="7" t="str">
        <f>IFERROR(_xlfn.XLOOKUP(F2813,ccustos!A:A,ccustos!B:B),"Sem termo")</f>
        <v>CCOM</v>
      </c>
    </row>
    <row r="2814" spans="1:10" ht="25.5" customHeight="1" x14ac:dyDescent="0.25">
      <c r="A2814" s="14">
        <v>14617</v>
      </c>
      <c r="B2814" s="7" t="s">
        <v>236</v>
      </c>
      <c r="C2814" s="7" t="s">
        <v>831</v>
      </c>
      <c r="D2814" s="7" t="s">
        <v>1547</v>
      </c>
      <c r="E2814" s="7" t="s">
        <v>335</v>
      </c>
      <c r="F2814" s="7" t="s">
        <v>205</v>
      </c>
      <c r="G2814" s="7" t="s">
        <v>1541</v>
      </c>
      <c r="H2814" s="15">
        <v>7920</v>
      </c>
      <c r="I2814" s="15">
        <v>7920</v>
      </c>
      <c r="J2814" s="7" t="str">
        <f>IFERROR(_xlfn.XLOOKUP(F2814,ccustos!A:A,ccustos!B:B),"Sem termo")</f>
        <v>CCOM</v>
      </c>
    </row>
    <row r="2815" spans="1:10" ht="25.5" customHeight="1" x14ac:dyDescent="0.25">
      <c r="A2815" s="16">
        <v>14618</v>
      </c>
      <c r="B2815" s="17" t="s">
        <v>236</v>
      </c>
      <c r="C2815" s="17" t="s">
        <v>831</v>
      </c>
      <c r="D2815" s="17" t="s">
        <v>1548</v>
      </c>
      <c r="E2815" s="17" t="s">
        <v>335</v>
      </c>
      <c r="F2815" s="17" t="s">
        <v>20</v>
      </c>
      <c r="G2815" s="17" t="s">
        <v>1541</v>
      </c>
      <c r="H2815" s="18">
        <v>7920</v>
      </c>
      <c r="I2815" s="18">
        <v>7920</v>
      </c>
      <c r="J2815" s="7" t="str">
        <f>IFERROR(_xlfn.XLOOKUP(F2815,ccustos!A:A,ccustos!B:B),"Sem termo")</f>
        <v>CGTI</v>
      </c>
    </row>
    <row r="2816" spans="1:10" ht="25.5" customHeight="1" x14ac:dyDescent="0.25">
      <c r="A2816" s="14">
        <v>14619</v>
      </c>
      <c r="B2816" s="7" t="s">
        <v>236</v>
      </c>
      <c r="C2816" s="7" t="s">
        <v>831</v>
      </c>
      <c r="D2816" s="7" t="s">
        <v>1549</v>
      </c>
      <c r="E2816" s="7" t="s">
        <v>335</v>
      </c>
      <c r="F2816" s="7" t="s">
        <v>20</v>
      </c>
      <c r="G2816" s="7" t="s">
        <v>1541</v>
      </c>
      <c r="H2816" s="15">
        <v>7920</v>
      </c>
      <c r="I2816" s="15">
        <v>7920</v>
      </c>
      <c r="J2816" s="7" t="str">
        <f>IFERROR(_xlfn.XLOOKUP(F2816,ccustos!A:A,ccustos!B:B),"Sem termo")</f>
        <v>CGTI</v>
      </c>
    </row>
    <row r="2817" spans="1:10" ht="25.5" customHeight="1" x14ac:dyDescent="0.25">
      <c r="A2817" s="16">
        <v>14620</v>
      </c>
      <c r="B2817" s="17" t="s">
        <v>236</v>
      </c>
      <c r="C2817" s="17" t="s">
        <v>831</v>
      </c>
      <c r="D2817" s="17" t="s">
        <v>1550</v>
      </c>
      <c r="E2817" s="17" t="s">
        <v>335</v>
      </c>
      <c r="F2817" s="17" t="s">
        <v>205</v>
      </c>
      <c r="G2817" s="17" t="s">
        <v>1541</v>
      </c>
      <c r="H2817" s="18">
        <v>7920</v>
      </c>
      <c r="I2817" s="18">
        <v>7920</v>
      </c>
      <c r="J2817" s="7" t="str">
        <f>IFERROR(_xlfn.XLOOKUP(F2817,ccustos!A:A,ccustos!B:B),"Sem termo")</f>
        <v>CCOM</v>
      </c>
    </row>
    <row r="2818" spans="1:10" ht="25.5" customHeight="1" x14ac:dyDescent="0.25">
      <c r="A2818" s="14">
        <v>14621</v>
      </c>
      <c r="B2818" s="7" t="s">
        <v>236</v>
      </c>
      <c r="C2818" s="7" t="s">
        <v>831</v>
      </c>
      <c r="D2818" s="7" t="s">
        <v>1551</v>
      </c>
      <c r="E2818" s="7" t="s">
        <v>335</v>
      </c>
      <c r="F2818" s="7" t="s">
        <v>20</v>
      </c>
      <c r="G2818" s="7" t="s">
        <v>1541</v>
      </c>
      <c r="H2818" s="15">
        <v>7920</v>
      </c>
      <c r="I2818" s="15">
        <v>7920</v>
      </c>
      <c r="J2818" s="7" t="str">
        <f>IFERROR(_xlfn.XLOOKUP(F2818,ccustos!A:A,ccustos!B:B),"Sem termo")</f>
        <v>CGTI</v>
      </c>
    </row>
    <row r="2819" spans="1:10" ht="25.5" customHeight="1" x14ac:dyDescent="0.25">
      <c r="A2819" s="16">
        <v>14622</v>
      </c>
      <c r="B2819" s="17" t="s">
        <v>236</v>
      </c>
      <c r="C2819" s="17" t="s">
        <v>831</v>
      </c>
      <c r="D2819" s="17" t="s">
        <v>1552</v>
      </c>
      <c r="E2819" s="17" t="s">
        <v>335</v>
      </c>
      <c r="F2819" s="17" t="s">
        <v>20</v>
      </c>
      <c r="G2819" s="17" t="s">
        <v>1541</v>
      </c>
      <c r="H2819" s="18">
        <v>7920</v>
      </c>
      <c r="I2819" s="18">
        <v>7920</v>
      </c>
      <c r="J2819" s="7" t="str">
        <f>IFERROR(_xlfn.XLOOKUP(F2819,ccustos!A:A,ccustos!B:B),"Sem termo")</f>
        <v>CGTI</v>
      </c>
    </row>
    <row r="2820" spans="1:10" ht="25.5" customHeight="1" x14ac:dyDescent="0.25">
      <c r="A2820" s="14">
        <v>14623</v>
      </c>
      <c r="B2820" s="7" t="s">
        <v>236</v>
      </c>
      <c r="C2820" s="7" t="s">
        <v>831</v>
      </c>
      <c r="D2820" s="7" t="s">
        <v>1553</v>
      </c>
      <c r="E2820" s="7" t="s">
        <v>335</v>
      </c>
      <c r="F2820" s="7" t="s">
        <v>20</v>
      </c>
      <c r="G2820" s="7" t="s">
        <v>1541</v>
      </c>
      <c r="H2820" s="15">
        <v>7920</v>
      </c>
      <c r="I2820" s="15">
        <v>7920</v>
      </c>
      <c r="J2820" s="7" t="str">
        <f>IFERROR(_xlfn.XLOOKUP(F2820,ccustos!A:A,ccustos!B:B),"Sem termo")</f>
        <v>CGTI</v>
      </c>
    </row>
    <row r="2821" spans="1:10" ht="25.5" customHeight="1" x14ac:dyDescent="0.25">
      <c r="A2821" s="16">
        <v>14624</v>
      </c>
      <c r="B2821" s="17" t="s">
        <v>236</v>
      </c>
      <c r="C2821" s="17" t="s">
        <v>831</v>
      </c>
      <c r="D2821" s="17" t="s">
        <v>1554</v>
      </c>
      <c r="E2821" s="17" t="s">
        <v>335</v>
      </c>
      <c r="F2821" s="17" t="s">
        <v>213</v>
      </c>
      <c r="G2821" s="17" t="s">
        <v>1541</v>
      </c>
      <c r="H2821" s="18">
        <v>7920</v>
      </c>
      <c r="I2821" s="18">
        <v>7920</v>
      </c>
      <c r="J2821" s="7" t="str">
        <f>IFERROR(_xlfn.XLOOKUP(F2821,ccustos!A:A,ccustos!B:B),"Sem termo")</f>
        <v>DIEPG</v>
      </c>
    </row>
    <row r="2822" spans="1:10" ht="25.5" customHeight="1" x14ac:dyDescent="0.25">
      <c r="A2822" s="14">
        <v>14625</v>
      </c>
      <c r="B2822" s="7" t="s">
        <v>236</v>
      </c>
      <c r="C2822" s="7" t="s">
        <v>831</v>
      </c>
      <c r="D2822" s="7" t="s">
        <v>1555</v>
      </c>
      <c r="E2822" s="7" t="s">
        <v>335</v>
      </c>
      <c r="F2822" s="7" t="s">
        <v>20</v>
      </c>
      <c r="G2822" s="7" t="s">
        <v>1541</v>
      </c>
      <c r="H2822" s="15">
        <v>7920</v>
      </c>
      <c r="I2822" s="15">
        <v>7920</v>
      </c>
      <c r="J2822" s="7" t="str">
        <f>IFERROR(_xlfn.XLOOKUP(F2822,ccustos!A:A,ccustos!B:B),"Sem termo")</f>
        <v>CGTI</v>
      </c>
    </row>
    <row r="2823" spans="1:10" ht="25.5" customHeight="1" x14ac:dyDescent="0.25">
      <c r="A2823" s="16">
        <v>14626</v>
      </c>
      <c r="B2823" s="17" t="s">
        <v>236</v>
      </c>
      <c r="C2823" s="17" t="s">
        <v>831</v>
      </c>
      <c r="D2823" s="17" t="s">
        <v>1556</v>
      </c>
      <c r="E2823" s="17" t="s">
        <v>335</v>
      </c>
      <c r="F2823" s="17" t="s">
        <v>20</v>
      </c>
      <c r="G2823" s="17" t="s">
        <v>1541</v>
      </c>
      <c r="H2823" s="18">
        <v>7920</v>
      </c>
      <c r="I2823" s="18">
        <v>7920</v>
      </c>
      <c r="J2823" s="7" t="str">
        <f>IFERROR(_xlfn.XLOOKUP(F2823,ccustos!A:A,ccustos!B:B),"Sem termo")</f>
        <v>CGTI</v>
      </c>
    </row>
    <row r="2824" spans="1:10" ht="25.5" customHeight="1" x14ac:dyDescent="0.25">
      <c r="A2824" s="14">
        <v>14627</v>
      </c>
      <c r="B2824" s="7" t="s">
        <v>236</v>
      </c>
      <c r="C2824" s="7" t="s">
        <v>831</v>
      </c>
      <c r="D2824" s="7" t="s">
        <v>1556</v>
      </c>
      <c r="E2824" s="7" t="s">
        <v>335</v>
      </c>
      <c r="F2824" s="7" t="s">
        <v>20</v>
      </c>
      <c r="G2824" s="7" t="s">
        <v>1541</v>
      </c>
      <c r="H2824" s="15">
        <v>7920</v>
      </c>
      <c r="I2824" s="15">
        <v>7920</v>
      </c>
      <c r="J2824" s="7" t="str">
        <f>IFERROR(_xlfn.XLOOKUP(F2824,ccustos!A:A,ccustos!B:B),"Sem termo")</f>
        <v>CGTI</v>
      </c>
    </row>
    <row r="2825" spans="1:10" ht="25.5" customHeight="1" x14ac:dyDescent="0.25">
      <c r="A2825" s="16">
        <v>14628</v>
      </c>
      <c r="B2825" s="17" t="s">
        <v>236</v>
      </c>
      <c r="C2825" s="17" t="s">
        <v>333</v>
      </c>
      <c r="D2825" s="17" t="s">
        <v>1557</v>
      </c>
      <c r="E2825" s="17" t="s">
        <v>335</v>
      </c>
      <c r="F2825" s="17" t="s">
        <v>205</v>
      </c>
      <c r="G2825" s="17" t="s">
        <v>1558</v>
      </c>
      <c r="H2825" s="18">
        <v>1500</v>
      </c>
      <c r="I2825" s="18">
        <v>1500</v>
      </c>
      <c r="J2825" s="7" t="str">
        <f>IFERROR(_xlfn.XLOOKUP(F2825,ccustos!A:A,ccustos!B:B),"Sem termo")</f>
        <v>CCOM</v>
      </c>
    </row>
    <row r="2826" spans="1:10" ht="25.5" customHeight="1" x14ac:dyDescent="0.25">
      <c r="A2826" s="14">
        <v>14629</v>
      </c>
      <c r="B2826" s="7" t="s">
        <v>236</v>
      </c>
      <c r="C2826" s="7" t="s">
        <v>333</v>
      </c>
      <c r="D2826" s="7" t="s">
        <v>1559</v>
      </c>
      <c r="E2826" s="7" t="s">
        <v>335</v>
      </c>
      <c r="F2826" s="7" t="s">
        <v>205</v>
      </c>
      <c r="G2826" s="7" t="s">
        <v>1558</v>
      </c>
      <c r="H2826" s="15">
        <v>1500</v>
      </c>
      <c r="I2826" s="15">
        <v>1500</v>
      </c>
      <c r="J2826" s="7" t="str">
        <f>IFERROR(_xlfn.XLOOKUP(F2826,ccustos!A:A,ccustos!B:B),"Sem termo")</f>
        <v>CCOM</v>
      </c>
    </row>
    <row r="2827" spans="1:10" ht="25.5" customHeight="1" x14ac:dyDescent="0.25">
      <c r="A2827" s="16">
        <v>14630</v>
      </c>
      <c r="B2827" s="17" t="s">
        <v>236</v>
      </c>
      <c r="C2827" s="17" t="s">
        <v>333</v>
      </c>
      <c r="D2827" s="17" t="s">
        <v>1560</v>
      </c>
      <c r="E2827" s="17" t="s">
        <v>335</v>
      </c>
      <c r="F2827" s="17" t="s">
        <v>205</v>
      </c>
      <c r="G2827" s="17" t="s">
        <v>1558</v>
      </c>
      <c r="H2827" s="18">
        <v>1500</v>
      </c>
      <c r="I2827" s="18">
        <v>1500</v>
      </c>
      <c r="J2827" s="7" t="str">
        <f>IFERROR(_xlfn.XLOOKUP(F2827,ccustos!A:A,ccustos!B:B),"Sem termo")</f>
        <v>CCOM</v>
      </c>
    </row>
    <row r="2828" spans="1:10" ht="25.5" customHeight="1" x14ac:dyDescent="0.25">
      <c r="A2828" s="14">
        <v>14631</v>
      </c>
      <c r="B2828" s="7" t="s">
        <v>236</v>
      </c>
      <c r="C2828" s="7" t="s">
        <v>333</v>
      </c>
      <c r="D2828" s="7" t="s">
        <v>1561</v>
      </c>
      <c r="E2828" s="7" t="s">
        <v>335</v>
      </c>
      <c r="F2828" s="7" t="s">
        <v>205</v>
      </c>
      <c r="G2828" s="7" t="s">
        <v>1558</v>
      </c>
      <c r="H2828" s="15">
        <v>1500</v>
      </c>
      <c r="I2828" s="15">
        <v>1500</v>
      </c>
      <c r="J2828" s="7" t="str">
        <f>IFERROR(_xlfn.XLOOKUP(F2828,ccustos!A:A,ccustos!B:B),"Sem termo")</f>
        <v>CCOM</v>
      </c>
    </row>
    <row r="2829" spans="1:10" ht="25.5" customHeight="1" x14ac:dyDescent="0.25">
      <c r="A2829" s="16">
        <v>14632</v>
      </c>
      <c r="B2829" s="17" t="s">
        <v>236</v>
      </c>
      <c r="C2829" s="17" t="s">
        <v>333</v>
      </c>
      <c r="D2829" s="17" t="s">
        <v>1562</v>
      </c>
      <c r="E2829" s="17" t="s">
        <v>335</v>
      </c>
      <c r="F2829" s="17" t="s">
        <v>205</v>
      </c>
      <c r="G2829" s="17" t="s">
        <v>1558</v>
      </c>
      <c r="H2829" s="18">
        <v>1500</v>
      </c>
      <c r="I2829" s="18">
        <v>1500</v>
      </c>
      <c r="J2829" s="7" t="str">
        <f>IFERROR(_xlfn.XLOOKUP(F2829,ccustos!A:A,ccustos!B:B),"Sem termo")</f>
        <v>CCOM</v>
      </c>
    </row>
    <row r="2830" spans="1:10" ht="25.5" customHeight="1" x14ac:dyDescent="0.25">
      <c r="A2830" s="14">
        <v>14633</v>
      </c>
      <c r="B2830" s="7" t="s">
        <v>236</v>
      </c>
      <c r="C2830" s="7" t="s">
        <v>333</v>
      </c>
      <c r="D2830" s="7" t="s">
        <v>1563</v>
      </c>
      <c r="E2830" s="7" t="s">
        <v>335</v>
      </c>
      <c r="F2830" s="7" t="s">
        <v>205</v>
      </c>
      <c r="G2830" s="7" t="s">
        <v>1558</v>
      </c>
      <c r="H2830" s="15">
        <v>1500</v>
      </c>
      <c r="I2830" s="15">
        <v>1500</v>
      </c>
      <c r="J2830" s="7" t="str">
        <f>IFERROR(_xlfn.XLOOKUP(F2830,ccustos!A:A,ccustos!B:B),"Sem termo")</f>
        <v>CCOM</v>
      </c>
    </row>
    <row r="2831" spans="1:10" ht="25.5" customHeight="1" x14ac:dyDescent="0.25">
      <c r="A2831" s="16">
        <v>14634</v>
      </c>
      <c r="B2831" s="17" t="s">
        <v>236</v>
      </c>
      <c r="C2831" s="17" t="s">
        <v>333</v>
      </c>
      <c r="D2831" s="17" t="s">
        <v>1564</v>
      </c>
      <c r="E2831" s="17" t="s">
        <v>335</v>
      </c>
      <c r="F2831" s="17" t="s">
        <v>205</v>
      </c>
      <c r="G2831" s="17" t="s">
        <v>1558</v>
      </c>
      <c r="H2831" s="18">
        <v>1500</v>
      </c>
      <c r="I2831" s="18">
        <v>1500</v>
      </c>
      <c r="J2831" s="7" t="str">
        <f>IFERROR(_xlfn.XLOOKUP(F2831,ccustos!A:A,ccustos!B:B),"Sem termo")</f>
        <v>CCOM</v>
      </c>
    </row>
    <row r="2832" spans="1:10" ht="25.5" customHeight="1" x14ac:dyDescent="0.25">
      <c r="A2832" s="14">
        <v>14635</v>
      </c>
      <c r="B2832" s="7" t="s">
        <v>236</v>
      </c>
      <c r="C2832" s="7" t="s">
        <v>333</v>
      </c>
      <c r="D2832" s="7" t="s">
        <v>1565</v>
      </c>
      <c r="E2832" s="7" t="s">
        <v>335</v>
      </c>
      <c r="F2832" s="7" t="s">
        <v>20</v>
      </c>
      <c r="G2832" s="7" t="s">
        <v>1558</v>
      </c>
      <c r="H2832" s="15">
        <v>1500</v>
      </c>
      <c r="I2832" s="15">
        <v>1500</v>
      </c>
      <c r="J2832" s="7" t="str">
        <f>IFERROR(_xlfn.XLOOKUP(F2832,ccustos!A:A,ccustos!B:B),"Sem termo")</f>
        <v>CGTI</v>
      </c>
    </row>
    <row r="2833" spans="1:10" ht="25.5" customHeight="1" x14ac:dyDescent="0.25">
      <c r="A2833" s="16">
        <v>14636</v>
      </c>
      <c r="B2833" s="17" t="s">
        <v>236</v>
      </c>
      <c r="C2833" s="17" t="s">
        <v>333</v>
      </c>
      <c r="D2833" s="17" t="s">
        <v>1566</v>
      </c>
      <c r="E2833" s="17" t="s">
        <v>335</v>
      </c>
      <c r="F2833" s="17" t="s">
        <v>20</v>
      </c>
      <c r="G2833" s="17" t="s">
        <v>1558</v>
      </c>
      <c r="H2833" s="18">
        <v>1500</v>
      </c>
      <c r="I2833" s="18">
        <v>1500</v>
      </c>
      <c r="J2833" s="7" t="str">
        <f>IFERROR(_xlfn.XLOOKUP(F2833,ccustos!A:A,ccustos!B:B),"Sem termo")</f>
        <v>CGTI</v>
      </c>
    </row>
    <row r="2834" spans="1:10" ht="25.5" customHeight="1" x14ac:dyDescent="0.25">
      <c r="A2834" s="14">
        <v>14637</v>
      </c>
      <c r="B2834" s="7" t="s">
        <v>236</v>
      </c>
      <c r="C2834" s="7" t="s">
        <v>333</v>
      </c>
      <c r="D2834" s="7" t="s">
        <v>1567</v>
      </c>
      <c r="E2834" s="7" t="s">
        <v>335</v>
      </c>
      <c r="F2834" s="7" t="s">
        <v>213</v>
      </c>
      <c r="G2834" s="7" t="s">
        <v>1558</v>
      </c>
      <c r="H2834" s="15">
        <v>1500</v>
      </c>
      <c r="I2834" s="15">
        <v>1500</v>
      </c>
      <c r="J2834" s="7" t="str">
        <f>IFERROR(_xlfn.XLOOKUP(F2834,ccustos!A:A,ccustos!B:B),"Sem termo")</f>
        <v>DIEPG</v>
      </c>
    </row>
    <row r="2835" spans="1:10" ht="25.5" customHeight="1" x14ac:dyDescent="0.25">
      <c r="A2835" s="16">
        <v>14638</v>
      </c>
      <c r="B2835" s="17" t="s">
        <v>236</v>
      </c>
      <c r="C2835" s="17" t="s">
        <v>333</v>
      </c>
      <c r="D2835" s="17" t="s">
        <v>1568</v>
      </c>
      <c r="E2835" s="17" t="s">
        <v>335</v>
      </c>
      <c r="F2835" s="17" t="s">
        <v>20</v>
      </c>
      <c r="G2835" s="17" t="s">
        <v>1558</v>
      </c>
      <c r="H2835" s="18">
        <v>1500</v>
      </c>
      <c r="I2835" s="18">
        <v>1500</v>
      </c>
      <c r="J2835" s="7" t="str">
        <f>IFERROR(_xlfn.XLOOKUP(F2835,ccustos!A:A,ccustos!B:B),"Sem termo")</f>
        <v>CGTI</v>
      </c>
    </row>
    <row r="2836" spans="1:10" ht="25.5" customHeight="1" x14ac:dyDescent="0.25">
      <c r="A2836" s="14">
        <v>14639</v>
      </c>
      <c r="B2836" s="7" t="s">
        <v>236</v>
      </c>
      <c r="C2836" s="7" t="s">
        <v>333</v>
      </c>
      <c r="D2836" s="7" t="s">
        <v>1569</v>
      </c>
      <c r="E2836" s="7" t="s">
        <v>335</v>
      </c>
      <c r="F2836" s="7" t="s">
        <v>20</v>
      </c>
      <c r="G2836" s="7" t="s">
        <v>1558</v>
      </c>
      <c r="H2836" s="15">
        <v>1500</v>
      </c>
      <c r="I2836" s="15">
        <v>1500</v>
      </c>
      <c r="J2836" s="7" t="str">
        <f>IFERROR(_xlfn.XLOOKUP(F2836,ccustos!A:A,ccustos!B:B),"Sem termo")</f>
        <v>CGTI</v>
      </c>
    </row>
    <row r="2837" spans="1:10" ht="25.5" customHeight="1" x14ac:dyDescent="0.25">
      <c r="A2837" s="16">
        <v>14640</v>
      </c>
      <c r="B2837" s="17" t="s">
        <v>236</v>
      </c>
      <c r="C2837" s="17" t="s">
        <v>333</v>
      </c>
      <c r="D2837" s="17" t="s">
        <v>1570</v>
      </c>
      <c r="E2837" s="17" t="s">
        <v>335</v>
      </c>
      <c r="F2837" s="17" t="s">
        <v>20</v>
      </c>
      <c r="G2837" s="17" t="s">
        <v>1558</v>
      </c>
      <c r="H2837" s="18">
        <v>1500</v>
      </c>
      <c r="I2837" s="18">
        <v>1500</v>
      </c>
      <c r="J2837" s="7" t="str">
        <f>IFERROR(_xlfn.XLOOKUP(F2837,ccustos!A:A,ccustos!B:B),"Sem termo")</f>
        <v>CGTI</v>
      </c>
    </row>
    <row r="2838" spans="1:10" ht="25.5" customHeight="1" x14ac:dyDescent="0.25">
      <c r="A2838" s="14">
        <v>14641</v>
      </c>
      <c r="B2838" s="7" t="s">
        <v>236</v>
      </c>
      <c r="C2838" s="7" t="s">
        <v>333</v>
      </c>
      <c r="D2838" s="7" t="s">
        <v>1557</v>
      </c>
      <c r="E2838" s="7" t="s">
        <v>335</v>
      </c>
      <c r="F2838" s="7" t="s">
        <v>20</v>
      </c>
      <c r="G2838" s="7" t="s">
        <v>1558</v>
      </c>
      <c r="H2838" s="15">
        <v>1500</v>
      </c>
      <c r="I2838" s="15">
        <v>1500</v>
      </c>
      <c r="J2838" s="7" t="str">
        <f>IFERROR(_xlfn.XLOOKUP(F2838,ccustos!A:A,ccustos!B:B),"Sem termo")</f>
        <v>CGTI</v>
      </c>
    </row>
    <row r="2839" spans="1:10" ht="25.5" customHeight="1" x14ac:dyDescent="0.25">
      <c r="A2839" s="16">
        <v>14642</v>
      </c>
      <c r="B2839" s="17" t="s">
        <v>236</v>
      </c>
      <c r="C2839" s="17" t="s">
        <v>333</v>
      </c>
      <c r="D2839" s="17" t="s">
        <v>1557</v>
      </c>
      <c r="E2839" s="17" t="s">
        <v>335</v>
      </c>
      <c r="F2839" s="17" t="s">
        <v>20</v>
      </c>
      <c r="G2839" s="17" t="s">
        <v>1558</v>
      </c>
      <c r="H2839" s="18">
        <v>1500</v>
      </c>
      <c r="I2839" s="18">
        <v>1500</v>
      </c>
      <c r="J2839" s="7" t="str">
        <f>IFERROR(_xlfn.XLOOKUP(F2839,ccustos!A:A,ccustos!B:B),"Sem termo")</f>
        <v>CGTI</v>
      </c>
    </row>
    <row r="2840" spans="1:10" ht="25.5" customHeight="1" x14ac:dyDescent="0.25">
      <c r="A2840" s="14">
        <v>14643</v>
      </c>
      <c r="B2840" s="7" t="s">
        <v>236</v>
      </c>
      <c r="C2840" s="7" t="s">
        <v>333</v>
      </c>
      <c r="D2840" s="7" t="s">
        <v>1557</v>
      </c>
      <c r="E2840" s="7" t="s">
        <v>335</v>
      </c>
      <c r="F2840" s="7" t="s">
        <v>20</v>
      </c>
      <c r="G2840" s="7" t="s">
        <v>1558</v>
      </c>
      <c r="H2840" s="15">
        <v>1500</v>
      </c>
      <c r="I2840" s="15">
        <v>1500</v>
      </c>
      <c r="J2840" s="7" t="str">
        <f>IFERROR(_xlfn.XLOOKUP(F2840,ccustos!A:A,ccustos!B:B),"Sem termo")</f>
        <v>CGTI</v>
      </c>
    </row>
    <row r="2841" spans="1:10" ht="25.5" customHeight="1" x14ac:dyDescent="0.25">
      <c r="A2841" s="16">
        <v>14644</v>
      </c>
      <c r="B2841" s="17" t="s">
        <v>236</v>
      </c>
      <c r="C2841" s="17" t="s">
        <v>333</v>
      </c>
      <c r="D2841" s="17" t="s">
        <v>1557</v>
      </c>
      <c r="E2841" s="17" t="s">
        <v>335</v>
      </c>
      <c r="F2841" s="17" t="s">
        <v>20</v>
      </c>
      <c r="G2841" s="17" t="s">
        <v>1558</v>
      </c>
      <c r="H2841" s="18">
        <v>1500</v>
      </c>
      <c r="I2841" s="18">
        <v>1500</v>
      </c>
      <c r="J2841" s="7" t="str">
        <f>IFERROR(_xlfn.XLOOKUP(F2841,ccustos!A:A,ccustos!B:B),"Sem termo")</f>
        <v>CGTI</v>
      </c>
    </row>
    <row r="2842" spans="1:10" ht="25.5" customHeight="1" x14ac:dyDescent="0.25">
      <c r="A2842" s="14">
        <v>14645</v>
      </c>
      <c r="B2842" s="7" t="s">
        <v>236</v>
      </c>
      <c r="C2842" s="7" t="s">
        <v>1571</v>
      </c>
      <c r="D2842" s="7" t="s">
        <v>1572</v>
      </c>
      <c r="E2842" s="7" t="s">
        <v>239</v>
      </c>
      <c r="F2842" s="7" t="s">
        <v>83</v>
      </c>
      <c r="G2842" s="7" t="s">
        <v>1573</v>
      </c>
      <c r="H2842" s="15">
        <v>909</v>
      </c>
      <c r="I2842" s="15">
        <v>909</v>
      </c>
      <c r="J2842" s="7" t="str">
        <f>IFERROR(_xlfn.XLOOKUP(F2842,ccustos!A:A,ccustos!B:B),"Sem termo")</f>
        <v>GABIN</v>
      </c>
    </row>
    <row r="2843" spans="1:10" ht="25.5" customHeight="1" x14ac:dyDescent="0.25">
      <c r="A2843" s="16">
        <v>14646</v>
      </c>
      <c r="B2843" s="17" t="s">
        <v>236</v>
      </c>
      <c r="C2843" s="17" t="s">
        <v>1571</v>
      </c>
      <c r="D2843" s="17" t="s">
        <v>1572</v>
      </c>
      <c r="E2843" s="17" t="s">
        <v>239</v>
      </c>
      <c r="F2843" s="17" t="s">
        <v>1125</v>
      </c>
      <c r="G2843" s="17" t="s">
        <v>1573</v>
      </c>
      <c r="H2843" s="18">
        <v>909</v>
      </c>
      <c r="I2843" s="18">
        <v>909</v>
      </c>
      <c r="J2843" s="7" t="str">
        <f>IFERROR(_xlfn.XLOOKUP(F2843,ccustos!A:A,ccustos!B:B),"Sem termo")</f>
        <v>Sem termo</v>
      </c>
    </row>
    <row r="2844" spans="1:10" ht="25.5" customHeight="1" x14ac:dyDescent="0.25">
      <c r="A2844" s="14">
        <v>14647</v>
      </c>
      <c r="B2844" s="7" t="s">
        <v>236</v>
      </c>
      <c r="C2844" s="7" t="s">
        <v>1571</v>
      </c>
      <c r="D2844" s="7" t="s">
        <v>1572</v>
      </c>
      <c r="E2844" s="7" t="s">
        <v>239</v>
      </c>
      <c r="F2844" s="7" t="s">
        <v>21</v>
      </c>
      <c r="G2844" s="7" t="s">
        <v>1573</v>
      </c>
      <c r="H2844" s="15">
        <v>909</v>
      </c>
      <c r="I2844" s="15">
        <v>909</v>
      </c>
      <c r="J2844" s="7" t="str">
        <f>IFERROR(_xlfn.XLOOKUP(F2844,ccustos!A:A,ccustos!B:B),"Sem termo")</f>
        <v>COTEC</v>
      </c>
    </row>
    <row r="2845" spans="1:10" ht="25.5" customHeight="1" x14ac:dyDescent="0.25">
      <c r="A2845" s="16">
        <v>14648</v>
      </c>
      <c r="B2845" s="17" t="s">
        <v>236</v>
      </c>
      <c r="C2845" s="17" t="s">
        <v>1209</v>
      </c>
      <c r="D2845" s="17" t="s">
        <v>1535</v>
      </c>
      <c r="E2845" s="17" t="s">
        <v>250</v>
      </c>
      <c r="F2845" s="17" t="s">
        <v>66</v>
      </c>
      <c r="G2845" s="17" t="s">
        <v>1574</v>
      </c>
      <c r="H2845" s="18">
        <v>10505.09</v>
      </c>
      <c r="I2845" s="18">
        <v>10505.09</v>
      </c>
      <c r="J2845" s="7" t="str">
        <f>IFERROR(_xlfn.XLOOKUP(F2845,ccustos!A:A,ccustos!B:B),"Sem termo")</f>
        <v>COAD</v>
      </c>
    </row>
    <row r="2846" spans="1:10" ht="25.5" customHeight="1" x14ac:dyDescent="0.25">
      <c r="A2846" s="14">
        <v>14649</v>
      </c>
      <c r="B2846" s="7" t="s">
        <v>236</v>
      </c>
      <c r="C2846" s="7" t="s">
        <v>1209</v>
      </c>
      <c r="D2846" s="7" t="s">
        <v>1535</v>
      </c>
      <c r="E2846" s="7" t="s">
        <v>250</v>
      </c>
      <c r="F2846" s="7" t="s">
        <v>60</v>
      </c>
      <c r="G2846" s="7" t="s">
        <v>1574</v>
      </c>
      <c r="H2846" s="15">
        <v>10505.09</v>
      </c>
      <c r="I2846" s="15">
        <v>10505.09</v>
      </c>
      <c r="J2846" s="7" t="str">
        <f>IFERROR(_xlfn.XLOOKUP(F2846,ccustos!A:A,ccustos!B:B),"Sem termo")</f>
        <v>DEGEP</v>
      </c>
    </row>
    <row r="2847" spans="1:10" ht="25.5" customHeight="1" x14ac:dyDescent="0.25">
      <c r="A2847" s="16">
        <v>14650</v>
      </c>
      <c r="B2847" s="17" t="s">
        <v>236</v>
      </c>
      <c r="C2847" s="17" t="s">
        <v>1209</v>
      </c>
      <c r="D2847" s="17" t="s">
        <v>1535</v>
      </c>
      <c r="E2847" s="17" t="s">
        <v>250</v>
      </c>
      <c r="F2847" s="17" t="s">
        <v>48</v>
      </c>
      <c r="G2847" s="17" t="s">
        <v>1574</v>
      </c>
      <c r="H2847" s="18">
        <v>10505.09</v>
      </c>
      <c r="I2847" s="18">
        <v>10505.09</v>
      </c>
      <c r="J2847" s="7" t="str">
        <f>IFERROR(_xlfn.XLOOKUP(F2847,ccustos!A:A,ccustos!B:B),"Sem termo")</f>
        <v>DEPES</v>
      </c>
    </row>
    <row r="2848" spans="1:10" ht="25.5" customHeight="1" x14ac:dyDescent="0.25">
      <c r="A2848" s="14">
        <v>14651</v>
      </c>
      <c r="B2848" s="7" t="s">
        <v>236</v>
      </c>
      <c r="C2848" s="7" t="s">
        <v>1209</v>
      </c>
      <c r="D2848" s="7" t="s">
        <v>1535</v>
      </c>
      <c r="E2848" s="7" t="s">
        <v>250</v>
      </c>
      <c r="F2848" s="7" t="s">
        <v>187</v>
      </c>
      <c r="G2848" s="7" t="s">
        <v>1574</v>
      </c>
      <c r="H2848" s="15">
        <v>10505.09</v>
      </c>
      <c r="I2848" s="15">
        <v>10505.09</v>
      </c>
      <c r="J2848" s="7" t="str">
        <f>IFERROR(_xlfn.XLOOKUP(F2848,ccustos!A:A,ccustos!B:B),"Sem termo")</f>
        <v>CGGE</v>
      </c>
    </row>
    <row r="2849" spans="1:10" ht="25.5" customHeight="1" x14ac:dyDescent="0.25">
      <c r="A2849" s="16">
        <v>14652</v>
      </c>
      <c r="B2849" s="17" t="s">
        <v>236</v>
      </c>
      <c r="C2849" s="17" t="s">
        <v>1209</v>
      </c>
      <c r="D2849" s="17" t="s">
        <v>1535</v>
      </c>
      <c r="E2849" s="17" t="s">
        <v>250</v>
      </c>
      <c r="F2849" s="17" t="s">
        <v>34</v>
      </c>
      <c r="G2849" s="17" t="s">
        <v>1574</v>
      </c>
      <c r="H2849" s="18">
        <v>10505.09</v>
      </c>
      <c r="I2849" s="18">
        <v>10505.09</v>
      </c>
      <c r="J2849" s="7" t="str">
        <f>IFERROR(_xlfn.XLOOKUP(F2849,ccustos!A:A,ccustos!B:B),"Sem termo")</f>
        <v>COFIS</v>
      </c>
    </row>
    <row r="2850" spans="1:10" ht="25.5" customHeight="1" x14ac:dyDescent="0.25">
      <c r="A2850" s="14">
        <v>14653</v>
      </c>
      <c r="B2850" s="7" t="s">
        <v>236</v>
      </c>
      <c r="C2850" s="7" t="s">
        <v>1209</v>
      </c>
      <c r="D2850" s="7" t="s">
        <v>1535</v>
      </c>
      <c r="E2850" s="7" t="s">
        <v>250</v>
      </c>
      <c r="F2850" s="7" t="s">
        <v>34</v>
      </c>
      <c r="G2850" s="7" t="s">
        <v>1574</v>
      </c>
      <c r="H2850" s="15">
        <v>10505.09</v>
      </c>
      <c r="I2850" s="15">
        <v>10505.09</v>
      </c>
      <c r="J2850" s="7" t="str">
        <f>IFERROR(_xlfn.XLOOKUP(F2850,ccustos!A:A,ccustos!B:B),"Sem termo")</f>
        <v>COFIS</v>
      </c>
    </row>
    <row r="2851" spans="1:10" ht="25.5" customHeight="1" x14ac:dyDescent="0.25">
      <c r="A2851" s="16">
        <v>14654</v>
      </c>
      <c r="B2851" s="17" t="s">
        <v>236</v>
      </c>
      <c r="C2851" s="17" t="s">
        <v>1209</v>
      </c>
      <c r="D2851" s="17" t="s">
        <v>1535</v>
      </c>
      <c r="E2851" s="17" t="s">
        <v>250</v>
      </c>
      <c r="F2851" s="17" t="s">
        <v>185</v>
      </c>
      <c r="G2851" s="17" t="s">
        <v>1574</v>
      </c>
      <c r="H2851" s="18">
        <v>10505.09</v>
      </c>
      <c r="I2851" s="18">
        <v>10505.09</v>
      </c>
      <c r="J2851" s="7" t="str">
        <f>IFERROR(_xlfn.XLOOKUP(F2851,ccustos!A:A,ccustos!B:B),"Sem termo")</f>
        <v>CGGE</v>
      </c>
    </row>
    <row r="2852" spans="1:10" ht="25.5" customHeight="1" x14ac:dyDescent="0.25">
      <c r="A2852" s="14">
        <v>14655</v>
      </c>
      <c r="B2852" s="7" t="s">
        <v>236</v>
      </c>
      <c r="C2852" s="7" t="s">
        <v>1209</v>
      </c>
      <c r="D2852" s="7" t="s">
        <v>1535</v>
      </c>
      <c r="E2852" s="7" t="s">
        <v>250</v>
      </c>
      <c r="F2852" s="7" t="s">
        <v>49</v>
      </c>
      <c r="G2852" s="7" t="s">
        <v>1574</v>
      </c>
      <c r="H2852" s="15">
        <v>10505.09</v>
      </c>
      <c r="I2852" s="15">
        <v>10505.09</v>
      </c>
      <c r="J2852" s="7" t="str">
        <f>IFERROR(_xlfn.XLOOKUP(F2852,ccustos!A:A,ccustos!B:B),"Sem termo")</f>
        <v>COAD</v>
      </c>
    </row>
    <row r="2853" spans="1:10" ht="25.5" customHeight="1" x14ac:dyDescent="0.25">
      <c r="A2853" s="16">
        <v>14656</v>
      </c>
      <c r="B2853" s="17" t="s">
        <v>236</v>
      </c>
      <c r="C2853" s="17" t="s">
        <v>1575</v>
      </c>
      <c r="D2853" s="17" t="s">
        <v>1576</v>
      </c>
      <c r="E2853" s="17" t="s">
        <v>250</v>
      </c>
      <c r="F2853" s="17" t="s">
        <v>20</v>
      </c>
      <c r="G2853" s="17" t="s">
        <v>1577</v>
      </c>
      <c r="H2853" s="18">
        <v>5015.96</v>
      </c>
      <c r="I2853" s="18">
        <v>5015.96</v>
      </c>
      <c r="J2853" s="7" t="str">
        <f>IFERROR(_xlfn.XLOOKUP(F2853,ccustos!A:A,ccustos!B:B),"Sem termo")</f>
        <v>CGTI</v>
      </c>
    </row>
    <row r="2854" spans="1:10" ht="25.5" customHeight="1" x14ac:dyDescent="0.25">
      <c r="A2854" s="14">
        <v>14657</v>
      </c>
      <c r="B2854" s="7" t="s">
        <v>236</v>
      </c>
      <c r="C2854" s="7" t="s">
        <v>1575</v>
      </c>
      <c r="D2854" s="7" t="s">
        <v>1576</v>
      </c>
      <c r="E2854" s="7" t="s">
        <v>250</v>
      </c>
      <c r="F2854" s="7" t="s">
        <v>20</v>
      </c>
      <c r="G2854" s="7" t="s">
        <v>1577</v>
      </c>
      <c r="H2854" s="15">
        <v>5015.96</v>
      </c>
      <c r="I2854" s="15">
        <v>5015.96</v>
      </c>
      <c r="J2854" s="7" t="str">
        <f>IFERROR(_xlfn.XLOOKUP(F2854,ccustos!A:A,ccustos!B:B),"Sem termo")</f>
        <v>CGTI</v>
      </c>
    </row>
    <row r="2855" spans="1:10" ht="25.5" customHeight="1" x14ac:dyDescent="0.25">
      <c r="A2855" s="16">
        <v>14658</v>
      </c>
      <c r="B2855" s="17" t="s">
        <v>236</v>
      </c>
      <c r="C2855" s="17" t="s">
        <v>1575</v>
      </c>
      <c r="D2855" s="17" t="s">
        <v>1576</v>
      </c>
      <c r="E2855" s="17" t="s">
        <v>250</v>
      </c>
      <c r="F2855" s="17" t="s">
        <v>20</v>
      </c>
      <c r="G2855" s="17" t="s">
        <v>1577</v>
      </c>
      <c r="H2855" s="18">
        <v>5015.96</v>
      </c>
      <c r="I2855" s="18">
        <v>5015.96</v>
      </c>
      <c r="J2855" s="7" t="str">
        <f>IFERROR(_xlfn.XLOOKUP(F2855,ccustos!A:A,ccustos!B:B),"Sem termo")</f>
        <v>CGTI</v>
      </c>
    </row>
    <row r="2856" spans="1:10" ht="25.5" customHeight="1" x14ac:dyDescent="0.25">
      <c r="A2856" s="14">
        <v>14659</v>
      </c>
      <c r="B2856" s="7" t="s">
        <v>236</v>
      </c>
      <c r="C2856" s="7" t="s">
        <v>1209</v>
      </c>
      <c r="D2856" s="7" t="s">
        <v>1578</v>
      </c>
      <c r="E2856" s="7" t="s">
        <v>250</v>
      </c>
      <c r="F2856" s="7" t="s">
        <v>83</v>
      </c>
      <c r="G2856" s="7" t="s">
        <v>1574</v>
      </c>
      <c r="H2856" s="15">
        <v>10585.32</v>
      </c>
      <c r="I2856" s="15">
        <v>10585.32</v>
      </c>
      <c r="J2856" s="7" t="str">
        <f>IFERROR(_xlfn.XLOOKUP(F2856,ccustos!A:A,ccustos!B:B),"Sem termo")</f>
        <v>GABIN</v>
      </c>
    </row>
    <row r="2857" spans="1:10" ht="25.5" customHeight="1" x14ac:dyDescent="0.25">
      <c r="A2857" s="16">
        <v>14660</v>
      </c>
      <c r="B2857" s="17" t="s">
        <v>236</v>
      </c>
      <c r="C2857" s="17" t="s">
        <v>1209</v>
      </c>
      <c r="D2857" s="17" t="s">
        <v>1578</v>
      </c>
      <c r="E2857" s="17" t="s">
        <v>250</v>
      </c>
      <c r="F2857" s="17" t="s">
        <v>83</v>
      </c>
      <c r="G2857" s="17" t="s">
        <v>1574</v>
      </c>
      <c r="H2857" s="18">
        <v>10585.32</v>
      </c>
      <c r="I2857" s="18">
        <v>10585.32</v>
      </c>
      <c r="J2857" s="7" t="str">
        <f>IFERROR(_xlfn.XLOOKUP(F2857,ccustos!A:A,ccustos!B:B),"Sem termo")</f>
        <v>GABIN</v>
      </c>
    </row>
    <row r="2858" spans="1:10" ht="25.5" customHeight="1" x14ac:dyDescent="0.25">
      <c r="A2858" s="14">
        <v>14661</v>
      </c>
      <c r="B2858" s="7" t="s">
        <v>236</v>
      </c>
      <c r="C2858" s="7" t="s">
        <v>1209</v>
      </c>
      <c r="D2858" s="7" t="s">
        <v>1578</v>
      </c>
      <c r="E2858" s="7" t="s">
        <v>250</v>
      </c>
      <c r="F2858" s="7" t="s">
        <v>52</v>
      </c>
      <c r="G2858" s="7" t="s">
        <v>1574</v>
      </c>
      <c r="H2858" s="15">
        <v>10585.32</v>
      </c>
      <c r="I2858" s="15">
        <v>10585.32</v>
      </c>
      <c r="J2858" s="7" t="str">
        <f>IFERROR(_xlfn.XLOOKUP(F2858,ccustos!A:A,ccustos!B:B),"Sem termo")</f>
        <v>COREG</v>
      </c>
    </row>
    <row r="2859" spans="1:10" ht="25.5" customHeight="1" x14ac:dyDescent="0.25">
      <c r="A2859" s="16">
        <v>14662</v>
      </c>
      <c r="B2859" s="17" t="s">
        <v>236</v>
      </c>
      <c r="C2859" s="17" t="s">
        <v>1209</v>
      </c>
      <c r="D2859" s="17" t="s">
        <v>1578</v>
      </c>
      <c r="E2859" s="17" t="s">
        <v>250</v>
      </c>
      <c r="F2859" s="17" t="s">
        <v>205</v>
      </c>
      <c r="G2859" s="17" t="s">
        <v>1574</v>
      </c>
      <c r="H2859" s="18">
        <v>10585.32</v>
      </c>
      <c r="I2859" s="18">
        <v>10585.32</v>
      </c>
      <c r="J2859" s="7" t="str">
        <f>IFERROR(_xlfn.XLOOKUP(F2859,ccustos!A:A,ccustos!B:B),"Sem termo")</f>
        <v>CCOM</v>
      </c>
    </row>
    <row r="2860" spans="1:10" ht="25.5" customHeight="1" x14ac:dyDescent="0.25">
      <c r="A2860" s="14">
        <v>14663</v>
      </c>
      <c r="B2860" s="7" t="s">
        <v>236</v>
      </c>
      <c r="C2860" s="7" t="s">
        <v>1271</v>
      </c>
      <c r="D2860" s="7" t="s">
        <v>1579</v>
      </c>
      <c r="E2860" s="7" t="s">
        <v>335</v>
      </c>
      <c r="F2860" s="7" t="s">
        <v>190</v>
      </c>
      <c r="G2860" s="7" t="s">
        <v>1580</v>
      </c>
      <c r="H2860" s="15">
        <v>5312.5</v>
      </c>
      <c r="I2860" s="15">
        <v>5312.5</v>
      </c>
      <c r="J2860" s="7" t="str">
        <f>IFERROR(_xlfn.XLOOKUP(F2860,ccustos!A:A,ccustos!B:B),"Sem termo")</f>
        <v>TERMOS INDIVIDUAIS</v>
      </c>
    </row>
    <row r="2861" spans="1:10" ht="25.5" customHeight="1" x14ac:dyDescent="0.25">
      <c r="A2861" s="16">
        <v>14664</v>
      </c>
      <c r="B2861" s="17" t="s">
        <v>236</v>
      </c>
      <c r="C2861" s="17" t="s">
        <v>1271</v>
      </c>
      <c r="D2861" s="17" t="s">
        <v>1581</v>
      </c>
      <c r="E2861" s="17" t="s">
        <v>335</v>
      </c>
      <c r="F2861" s="17" t="s">
        <v>190</v>
      </c>
      <c r="G2861" s="17" t="s">
        <v>1580</v>
      </c>
      <c r="H2861" s="18">
        <v>5312.5</v>
      </c>
      <c r="I2861" s="18">
        <v>5312.5</v>
      </c>
      <c r="J2861" s="7" t="str">
        <f>IFERROR(_xlfn.XLOOKUP(F2861,ccustos!A:A,ccustos!B:B),"Sem termo")</f>
        <v>TERMOS INDIVIDUAIS</v>
      </c>
    </row>
    <row r="2862" spans="1:10" ht="25.5" customHeight="1" x14ac:dyDescent="0.25">
      <c r="A2862" s="14">
        <v>14665</v>
      </c>
      <c r="B2862" s="7" t="s">
        <v>236</v>
      </c>
      <c r="C2862" s="7" t="s">
        <v>1271</v>
      </c>
      <c r="D2862" s="7" t="s">
        <v>1582</v>
      </c>
      <c r="E2862" s="7" t="s">
        <v>335</v>
      </c>
      <c r="F2862" s="7" t="s">
        <v>190</v>
      </c>
      <c r="G2862" s="7" t="s">
        <v>1580</v>
      </c>
      <c r="H2862" s="15">
        <v>5312.5</v>
      </c>
      <c r="I2862" s="15">
        <v>5312.5</v>
      </c>
      <c r="J2862" s="7" t="str">
        <f>IFERROR(_xlfn.XLOOKUP(F2862,ccustos!A:A,ccustos!B:B),"Sem termo")</f>
        <v>TERMOS INDIVIDUAIS</v>
      </c>
    </row>
    <row r="2863" spans="1:10" ht="25.5" customHeight="1" x14ac:dyDescent="0.25">
      <c r="A2863" s="16">
        <v>14666</v>
      </c>
      <c r="B2863" s="17" t="s">
        <v>236</v>
      </c>
      <c r="C2863" s="17" t="s">
        <v>1271</v>
      </c>
      <c r="D2863" s="17" t="s">
        <v>1583</v>
      </c>
      <c r="E2863" s="17" t="s">
        <v>335</v>
      </c>
      <c r="F2863" s="17" t="s">
        <v>190</v>
      </c>
      <c r="G2863" s="17" t="s">
        <v>1580</v>
      </c>
      <c r="H2863" s="18">
        <v>5312.5</v>
      </c>
      <c r="I2863" s="18">
        <v>5312.5</v>
      </c>
      <c r="J2863" s="7" t="str">
        <f>IFERROR(_xlfn.XLOOKUP(F2863,ccustos!A:A,ccustos!B:B),"Sem termo")</f>
        <v>TERMOS INDIVIDUAIS</v>
      </c>
    </row>
    <row r="2864" spans="1:10" ht="25.5" customHeight="1" x14ac:dyDescent="0.25">
      <c r="A2864" s="14">
        <v>14667</v>
      </c>
      <c r="B2864" s="7" t="s">
        <v>236</v>
      </c>
      <c r="C2864" s="7" t="s">
        <v>1271</v>
      </c>
      <c r="D2864" s="7" t="s">
        <v>1584</v>
      </c>
      <c r="E2864" s="7" t="s">
        <v>335</v>
      </c>
      <c r="F2864" s="7" t="s">
        <v>22</v>
      </c>
      <c r="G2864" s="7" t="s">
        <v>1580</v>
      </c>
      <c r="H2864" s="15">
        <v>5312.5</v>
      </c>
      <c r="I2864" s="15">
        <v>5312.5</v>
      </c>
      <c r="J2864" s="7" t="str">
        <f>IFERROR(_xlfn.XLOOKUP(F2864,ccustos!A:A,ccustos!B:B),"Sem termo")</f>
        <v>COTEC</v>
      </c>
    </row>
    <row r="2865" spans="1:10" ht="25.5" customHeight="1" x14ac:dyDescent="0.25">
      <c r="A2865" s="16">
        <v>14668</v>
      </c>
      <c r="B2865" s="17" t="s">
        <v>236</v>
      </c>
      <c r="C2865" s="17" t="s">
        <v>1271</v>
      </c>
      <c r="D2865" s="17" t="s">
        <v>1585</v>
      </c>
      <c r="E2865" s="17" t="s">
        <v>335</v>
      </c>
      <c r="F2865" s="17" t="s">
        <v>22</v>
      </c>
      <c r="G2865" s="17" t="s">
        <v>1580</v>
      </c>
      <c r="H2865" s="18">
        <v>5312.5</v>
      </c>
      <c r="I2865" s="18">
        <v>5312.5</v>
      </c>
      <c r="J2865" s="7" t="str">
        <f>IFERROR(_xlfn.XLOOKUP(F2865,ccustos!A:A,ccustos!B:B),"Sem termo")</f>
        <v>COTEC</v>
      </c>
    </row>
    <row r="2866" spans="1:10" ht="25.5" customHeight="1" x14ac:dyDescent="0.25">
      <c r="A2866" s="14">
        <v>14669</v>
      </c>
      <c r="B2866" s="7" t="s">
        <v>236</v>
      </c>
      <c r="C2866" s="7" t="s">
        <v>1271</v>
      </c>
      <c r="D2866" s="7" t="s">
        <v>1586</v>
      </c>
      <c r="E2866" s="7" t="s">
        <v>335</v>
      </c>
      <c r="F2866" s="7" t="s">
        <v>190</v>
      </c>
      <c r="G2866" s="7" t="s">
        <v>1580</v>
      </c>
      <c r="H2866" s="15">
        <v>5312.5</v>
      </c>
      <c r="I2866" s="15">
        <v>5312.5</v>
      </c>
      <c r="J2866" s="7" t="str">
        <f>IFERROR(_xlfn.XLOOKUP(F2866,ccustos!A:A,ccustos!B:B),"Sem termo")</f>
        <v>TERMOS INDIVIDUAIS</v>
      </c>
    </row>
    <row r="2867" spans="1:10" ht="25.5" customHeight="1" x14ac:dyDescent="0.25">
      <c r="A2867" s="16">
        <v>14670</v>
      </c>
      <c r="B2867" s="17" t="s">
        <v>236</v>
      </c>
      <c r="C2867" s="17" t="s">
        <v>1271</v>
      </c>
      <c r="D2867" s="17" t="s">
        <v>1587</v>
      </c>
      <c r="E2867" s="17" t="s">
        <v>335</v>
      </c>
      <c r="F2867" s="17" t="s">
        <v>190</v>
      </c>
      <c r="G2867" s="17" t="s">
        <v>1580</v>
      </c>
      <c r="H2867" s="18">
        <v>5312.5</v>
      </c>
      <c r="I2867" s="18">
        <v>5312.5</v>
      </c>
      <c r="J2867" s="7" t="str">
        <f>IFERROR(_xlfn.XLOOKUP(F2867,ccustos!A:A,ccustos!B:B),"Sem termo")</f>
        <v>TERMOS INDIVIDUAIS</v>
      </c>
    </row>
    <row r="2868" spans="1:10" ht="25.5" customHeight="1" x14ac:dyDescent="0.25">
      <c r="A2868" s="14">
        <v>14671</v>
      </c>
      <c r="B2868" s="7" t="s">
        <v>236</v>
      </c>
      <c r="C2868" s="7" t="s">
        <v>1271</v>
      </c>
      <c r="D2868" s="7" t="s">
        <v>1588</v>
      </c>
      <c r="E2868" s="7" t="s">
        <v>335</v>
      </c>
      <c r="F2868" s="7" t="s">
        <v>190</v>
      </c>
      <c r="G2868" s="7" t="s">
        <v>1580</v>
      </c>
      <c r="H2868" s="15">
        <v>5312.5</v>
      </c>
      <c r="I2868" s="15">
        <v>5312.5</v>
      </c>
      <c r="J2868" s="7" t="str">
        <f>IFERROR(_xlfn.XLOOKUP(F2868,ccustos!A:A,ccustos!B:B),"Sem termo")</f>
        <v>TERMOS INDIVIDUAIS</v>
      </c>
    </row>
    <row r="2869" spans="1:10" ht="25.5" customHeight="1" x14ac:dyDescent="0.25">
      <c r="A2869" s="16">
        <v>14672</v>
      </c>
      <c r="B2869" s="17" t="s">
        <v>236</v>
      </c>
      <c r="C2869" s="17" t="s">
        <v>1271</v>
      </c>
      <c r="D2869" s="17" t="s">
        <v>1589</v>
      </c>
      <c r="E2869" s="17" t="s">
        <v>335</v>
      </c>
      <c r="F2869" s="17" t="s">
        <v>190</v>
      </c>
      <c r="G2869" s="17" t="s">
        <v>1580</v>
      </c>
      <c r="H2869" s="18">
        <v>5312.5</v>
      </c>
      <c r="I2869" s="18">
        <v>5312.5</v>
      </c>
      <c r="J2869" s="7" t="str">
        <f>IFERROR(_xlfn.XLOOKUP(F2869,ccustos!A:A,ccustos!B:B),"Sem termo")</f>
        <v>TERMOS INDIVIDUAIS</v>
      </c>
    </row>
    <row r="2870" spans="1:10" ht="25.5" customHeight="1" x14ac:dyDescent="0.25">
      <c r="A2870" s="14">
        <v>14673</v>
      </c>
      <c r="B2870" s="7" t="s">
        <v>236</v>
      </c>
      <c r="C2870" s="7" t="s">
        <v>1271</v>
      </c>
      <c r="D2870" s="7" t="s">
        <v>1590</v>
      </c>
      <c r="E2870" s="7" t="s">
        <v>335</v>
      </c>
      <c r="F2870" s="7" t="s">
        <v>190</v>
      </c>
      <c r="G2870" s="7" t="s">
        <v>1580</v>
      </c>
      <c r="H2870" s="15">
        <v>5312.5</v>
      </c>
      <c r="I2870" s="15">
        <v>5312.5</v>
      </c>
      <c r="J2870" s="7" t="str">
        <f>IFERROR(_xlfn.XLOOKUP(F2870,ccustos!A:A,ccustos!B:B),"Sem termo")</f>
        <v>TERMOS INDIVIDUAIS</v>
      </c>
    </row>
    <row r="2871" spans="1:10" ht="25.5" customHeight="1" x14ac:dyDescent="0.25">
      <c r="A2871" s="16">
        <v>14674</v>
      </c>
      <c r="B2871" s="17" t="s">
        <v>236</v>
      </c>
      <c r="C2871" s="17" t="s">
        <v>1271</v>
      </c>
      <c r="D2871" s="17" t="s">
        <v>1591</v>
      </c>
      <c r="E2871" s="17" t="s">
        <v>335</v>
      </c>
      <c r="F2871" s="17" t="s">
        <v>23</v>
      </c>
      <c r="G2871" s="17" t="s">
        <v>1580</v>
      </c>
      <c r="H2871" s="18">
        <v>5312.5</v>
      </c>
      <c r="I2871" s="18">
        <v>5312.5</v>
      </c>
      <c r="J2871" s="7" t="str">
        <f>IFERROR(_xlfn.XLOOKUP(F2871,ccustos!A:A,ccustos!B:B),"Sem termo")</f>
        <v>CCI</v>
      </c>
    </row>
    <row r="2872" spans="1:10" ht="25.5" customHeight="1" x14ac:dyDescent="0.25">
      <c r="A2872" s="14">
        <v>14675</v>
      </c>
      <c r="B2872" s="7" t="s">
        <v>236</v>
      </c>
      <c r="C2872" s="7" t="s">
        <v>1271</v>
      </c>
      <c r="D2872" s="7" t="s">
        <v>1592</v>
      </c>
      <c r="E2872" s="7" t="s">
        <v>335</v>
      </c>
      <c r="F2872" s="7" t="s">
        <v>20</v>
      </c>
      <c r="G2872" s="7" t="s">
        <v>1580</v>
      </c>
      <c r="H2872" s="15">
        <v>5312.5</v>
      </c>
      <c r="I2872" s="15">
        <v>5312.5</v>
      </c>
      <c r="J2872" s="7" t="str">
        <f>IFERROR(_xlfn.XLOOKUP(F2872,ccustos!A:A,ccustos!B:B),"Sem termo")</f>
        <v>CGTI</v>
      </c>
    </row>
    <row r="2873" spans="1:10" ht="25.5" customHeight="1" x14ac:dyDescent="0.25">
      <c r="A2873" s="16">
        <v>14676</v>
      </c>
      <c r="B2873" s="17" t="s">
        <v>236</v>
      </c>
      <c r="C2873" s="17" t="s">
        <v>1271</v>
      </c>
      <c r="D2873" s="17" t="s">
        <v>1593</v>
      </c>
      <c r="E2873" s="17" t="s">
        <v>335</v>
      </c>
      <c r="F2873" s="17" t="s">
        <v>190</v>
      </c>
      <c r="G2873" s="17" t="s">
        <v>1580</v>
      </c>
      <c r="H2873" s="18">
        <v>5312.5</v>
      </c>
      <c r="I2873" s="18">
        <v>5312.5</v>
      </c>
      <c r="J2873" s="7" t="str">
        <f>IFERROR(_xlfn.XLOOKUP(F2873,ccustos!A:A,ccustos!B:B),"Sem termo")</f>
        <v>TERMOS INDIVIDUAIS</v>
      </c>
    </row>
    <row r="2874" spans="1:10" ht="25.5" customHeight="1" x14ac:dyDescent="0.25">
      <c r="A2874" s="14">
        <v>14677</v>
      </c>
      <c r="B2874" s="7" t="s">
        <v>236</v>
      </c>
      <c r="C2874" s="7" t="s">
        <v>1271</v>
      </c>
      <c r="D2874" s="7" t="s">
        <v>1594</v>
      </c>
      <c r="E2874" s="7" t="s">
        <v>335</v>
      </c>
      <c r="F2874" s="7" t="s">
        <v>190</v>
      </c>
      <c r="G2874" s="7" t="s">
        <v>1580</v>
      </c>
      <c r="H2874" s="15">
        <v>5312.5</v>
      </c>
      <c r="I2874" s="15">
        <v>5312.5</v>
      </c>
      <c r="J2874" s="7" t="str">
        <f>IFERROR(_xlfn.XLOOKUP(F2874,ccustos!A:A,ccustos!B:B),"Sem termo")</f>
        <v>TERMOS INDIVIDUAIS</v>
      </c>
    </row>
    <row r="2875" spans="1:10" ht="25.5" customHeight="1" x14ac:dyDescent="0.25">
      <c r="A2875" s="16">
        <v>14678</v>
      </c>
      <c r="B2875" s="17" t="s">
        <v>236</v>
      </c>
      <c r="C2875" s="17" t="s">
        <v>1271</v>
      </c>
      <c r="D2875" s="17" t="s">
        <v>1595</v>
      </c>
      <c r="E2875" s="17" t="s">
        <v>335</v>
      </c>
      <c r="F2875" s="17" t="s">
        <v>190</v>
      </c>
      <c r="G2875" s="17" t="s">
        <v>1580</v>
      </c>
      <c r="H2875" s="18">
        <v>5312.5</v>
      </c>
      <c r="I2875" s="18">
        <v>5312.5</v>
      </c>
      <c r="J2875" s="7" t="str">
        <f>IFERROR(_xlfn.XLOOKUP(F2875,ccustos!A:A,ccustos!B:B),"Sem termo")</f>
        <v>TERMOS INDIVIDUAIS</v>
      </c>
    </row>
    <row r="2876" spans="1:10" ht="25.5" customHeight="1" x14ac:dyDescent="0.25">
      <c r="A2876" s="14">
        <v>14679</v>
      </c>
      <c r="B2876" s="7" t="s">
        <v>236</v>
      </c>
      <c r="C2876" s="7" t="s">
        <v>1271</v>
      </c>
      <c r="D2876" s="7" t="s">
        <v>1596</v>
      </c>
      <c r="E2876" s="7" t="s">
        <v>335</v>
      </c>
      <c r="F2876" s="7" t="s">
        <v>190</v>
      </c>
      <c r="G2876" s="7" t="s">
        <v>1580</v>
      </c>
      <c r="H2876" s="15">
        <v>5312.5</v>
      </c>
      <c r="I2876" s="15">
        <v>5312.5</v>
      </c>
      <c r="J2876" s="7" t="str">
        <f>IFERROR(_xlfn.XLOOKUP(F2876,ccustos!A:A,ccustos!B:B),"Sem termo")</f>
        <v>TERMOS INDIVIDUAIS</v>
      </c>
    </row>
    <row r="2877" spans="1:10" ht="25.5" customHeight="1" x14ac:dyDescent="0.25">
      <c r="A2877" s="16">
        <v>14680</v>
      </c>
      <c r="B2877" s="17" t="s">
        <v>236</v>
      </c>
      <c r="C2877" s="17" t="s">
        <v>1271</v>
      </c>
      <c r="D2877" s="17" t="s">
        <v>1597</v>
      </c>
      <c r="E2877" s="17" t="s">
        <v>335</v>
      </c>
      <c r="F2877" s="17" t="s">
        <v>30</v>
      </c>
      <c r="G2877" s="17" t="s">
        <v>1580</v>
      </c>
      <c r="H2877" s="18">
        <v>5312.5</v>
      </c>
      <c r="I2877" s="18">
        <v>5312.5</v>
      </c>
      <c r="J2877" s="7" t="str">
        <f>IFERROR(_xlfn.XLOOKUP(F2877,ccustos!A:A,ccustos!B:B),"Sem termo")</f>
        <v>COFIS</v>
      </c>
    </row>
    <row r="2878" spans="1:10" ht="25.5" customHeight="1" x14ac:dyDescent="0.25">
      <c r="A2878" s="14">
        <v>14681</v>
      </c>
      <c r="B2878" s="7" t="s">
        <v>236</v>
      </c>
      <c r="C2878" s="7" t="s">
        <v>1271</v>
      </c>
      <c r="D2878" s="7" t="s">
        <v>1598</v>
      </c>
      <c r="E2878" s="7" t="s">
        <v>335</v>
      </c>
      <c r="F2878" s="7" t="s">
        <v>190</v>
      </c>
      <c r="G2878" s="7" t="s">
        <v>1580</v>
      </c>
      <c r="H2878" s="15">
        <v>5312.5</v>
      </c>
      <c r="I2878" s="15">
        <v>5312.5</v>
      </c>
      <c r="J2878" s="7" t="str">
        <f>IFERROR(_xlfn.XLOOKUP(F2878,ccustos!A:A,ccustos!B:B),"Sem termo")</f>
        <v>TERMOS INDIVIDUAIS</v>
      </c>
    </row>
    <row r="2879" spans="1:10" ht="25.5" customHeight="1" x14ac:dyDescent="0.25">
      <c r="A2879" s="16">
        <v>14682</v>
      </c>
      <c r="B2879" s="17" t="s">
        <v>236</v>
      </c>
      <c r="C2879" s="17" t="s">
        <v>1271</v>
      </c>
      <c r="D2879" s="17" t="s">
        <v>1599</v>
      </c>
      <c r="E2879" s="17" t="s">
        <v>335</v>
      </c>
      <c r="F2879" s="17" t="s">
        <v>190</v>
      </c>
      <c r="G2879" s="17" t="s">
        <v>1580</v>
      </c>
      <c r="H2879" s="18">
        <v>5312.5</v>
      </c>
      <c r="I2879" s="18">
        <v>5312.5</v>
      </c>
      <c r="J2879" s="7" t="str">
        <f>IFERROR(_xlfn.XLOOKUP(F2879,ccustos!A:A,ccustos!B:B),"Sem termo")</f>
        <v>TERMOS INDIVIDUAIS</v>
      </c>
    </row>
    <row r="2880" spans="1:10" ht="25.5" customHeight="1" x14ac:dyDescent="0.25">
      <c r="A2880" s="14">
        <v>14683</v>
      </c>
      <c r="B2880" s="7" t="s">
        <v>236</v>
      </c>
      <c r="C2880" s="7" t="s">
        <v>1271</v>
      </c>
      <c r="D2880" s="7" t="s">
        <v>1600</v>
      </c>
      <c r="E2880" s="7" t="s">
        <v>335</v>
      </c>
      <c r="F2880" s="7" t="s">
        <v>190</v>
      </c>
      <c r="G2880" s="7" t="s">
        <v>1580</v>
      </c>
      <c r="H2880" s="15">
        <v>5312.5</v>
      </c>
      <c r="I2880" s="15">
        <v>5312.5</v>
      </c>
      <c r="J2880" s="7" t="str">
        <f>IFERROR(_xlfn.XLOOKUP(F2880,ccustos!A:A,ccustos!B:B),"Sem termo")</f>
        <v>TERMOS INDIVIDUAIS</v>
      </c>
    </row>
    <row r="2881" spans="1:10" ht="25.5" customHeight="1" x14ac:dyDescent="0.25">
      <c r="A2881" s="16">
        <v>14684</v>
      </c>
      <c r="B2881" s="17" t="s">
        <v>236</v>
      </c>
      <c r="C2881" s="17" t="s">
        <v>1271</v>
      </c>
      <c r="D2881" s="17" t="s">
        <v>1601</v>
      </c>
      <c r="E2881" s="17" t="s">
        <v>335</v>
      </c>
      <c r="F2881" s="17" t="s">
        <v>190</v>
      </c>
      <c r="G2881" s="17" t="s">
        <v>1580</v>
      </c>
      <c r="H2881" s="18">
        <v>5312.5</v>
      </c>
      <c r="I2881" s="18">
        <v>5312.5</v>
      </c>
      <c r="J2881" s="7" t="str">
        <f>IFERROR(_xlfn.XLOOKUP(F2881,ccustos!A:A,ccustos!B:B),"Sem termo")</f>
        <v>TERMOS INDIVIDUAIS</v>
      </c>
    </row>
    <row r="2882" spans="1:10" ht="25.5" customHeight="1" x14ac:dyDescent="0.25">
      <c r="A2882" s="14">
        <v>14685</v>
      </c>
      <c r="B2882" s="7" t="s">
        <v>236</v>
      </c>
      <c r="C2882" s="7" t="s">
        <v>1271</v>
      </c>
      <c r="D2882" s="7" t="s">
        <v>1602</v>
      </c>
      <c r="E2882" s="7" t="s">
        <v>335</v>
      </c>
      <c r="F2882" s="7" t="s">
        <v>190</v>
      </c>
      <c r="G2882" s="7" t="s">
        <v>1580</v>
      </c>
      <c r="H2882" s="15">
        <v>5312.5</v>
      </c>
      <c r="I2882" s="15">
        <v>5312.5</v>
      </c>
      <c r="J2882" s="7" t="str">
        <f>IFERROR(_xlfn.XLOOKUP(F2882,ccustos!A:A,ccustos!B:B),"Sem termo")</f>
        <v>TERMOS INDIVIDUAIS</v>
      </c>
    </row>
    <row r="2883" spans="1:10" ht="25.5" customHeight="1" x14ac:dyDescent="0.25">
      <c r="A2883" s="16">
        <v>14686</v>
      </c>
      <c r="B2883" s="17" t="s">
        <v>236</v>
      </c>
      <c r="C2883" s="17" t="s">
        <v>1271</v>
      </c>
      <c r="D2883" s="17" t="s">
        <v>1603</v>
      </c>
      <c r="E2883" s="17" t="s">
        <v>335</v>
      </c>
      <c r="F2883" s="17" t="s">
        <v>190</v>
      </c>
      <c r="G2883" s="17" t="s">
        <v>1580</v>
      </c>
      <c r="H2883" s="18">
        <v>5312.5</v>
      </c>
      <c r="I2883" s="18">
        <v>5312.5</v>
      </c>
      <c r="J2883" s="7" t="str">
        <f>IFERROR(_xlfn.XLOOKUP(F2883,ccustos!A:A,ccustos!B:B),"Sem termo")</f>
        <v>TERMOS INDIVIDUAIS</v>
      </c>
    </row>
    <row r="2884" spans="1:10" ht="25.5" customHeight="1" x14ac:dyDescent="0.25">
      <c r="A2884" s="14">
        <v>14687</v>
      </c>
      <c r="B2884" s="7" t="s">
        <v>236</v>
      </c>
      <c r="C2884" s="7" t="s">
        <v>1271</v>
      </c>
      <c r="D2884" s="7" t="s">
        <v>1604</v>
      </c>
      <c r="E2884" s="7" t="s">
        <v>335</v>
      </c>
      <c r="F2884" s="7" t="s">
        <v>190</v>
      </c>
      <c r="G2884" s="7" t="s">
        <v>1580</v>
      </c>
      <c r="H2884" s="15">
        <v>5312.5</v>
      </c>
      <c r="I2884" s="15">
        <v>5312.5</v>
      </c>
      <c r="J2884" s="7" t="str">
        <f>IFERROR(_xlfn.XLOOKUP(F2884,ccustos!A:A,ccustos!B:B),"Sem termo")</f>
        <v>TERMOS INDIVIDUAIS</v>
      </c>
    </row>
    <row r="2885" spans="1:10" ht="25.5" customHeight="1" x14ac:dyDescent="0.25">
      <c r="A2885" s="16">
        <v>14688</v>
      </c>
      <c r="B2885" s="17" t="s">
        <v>236</v>
      </c>
      <c r="C2885" s="17" t="s">
        <v>1271</v>
      </c>
      <c r="D2885" s="17" t="s">
        <v>1605</v>
      </c>
      <c r="E2885" s="17" t="s">
        <v>335</v>
      </c>
      <c r="F2885" s="17" t="s">
        <v>53</v>
      </c>
      <c r="G2885" s="17" t="s">
        <v>1580</v>
      </c>
      <c r="H2885" s="18">
        <v>5312.5</v>
      </c>
      <c r="I2885" s="18">
        <v>5312.5</v>
      </c>
      <c r="J2885" s="7" t="str">
        <f>IFERROR(_xlfn.XLOOKUP(F2885,ccustos!A:A,ccustos!B:B),"Sem termo")</f>
        <v>DELIC</v>
      </c>
    </row>
    <row r="2886" spans="1:10" ht="25.5" customHeight="1" x14ac:dyDescent="0.25">
      <c r="A2886" s="14">
        <v>14689</v>
      </c>
      <c r="B2886" s="7" t="s">
        <v>236</v>
      </c>
      <c r="C2886" s="7" t="s">
        <v>1271</v>
      </c>
      <c r="D2886" s="7" t="s">
        <v>1606</v>
      </c>
      <c r="E2886" s="7" t="s">
        <v>335</v>
      </c>
      <c r="F2886" s="7" t="s">
        <v>190</v>
      </c>
      <c r="G2886" s="7" t="s">
        <v>1580</v>
      </c>
      <c r="H2886" s="15">
        <v>5312.5</v>
      </c>
      <c r="I2886" s="15">
        <v>5312.5</v>
      </c>
      <c r="J2886" s="7" t="str">
        <f>IFERROR(_xlfn.XLOOKUP(F2886,ccustos!A:A,ccustos!B:B),"Sem termo")</f>
        <v>TERMOS INDIVIDUAIS</v>
      </c>
    </row>
    <row r="2887" spans="1:10" ht="25.5" customHeight="1" x14ac:dyDescent="0.25">
      <c r="A2887" s="16">
        <v>14690</v>
      </c>
      <c r="B2887" s="17" t="s">
        <v>236</v>
      </c>
      <c r="C2887" s="17" t="s">
        <v>1271</v>
      </c>
      <c r="D2887" s="17" t="s">
        <v>1607</v>
      </c>
      <c r="E2887" s="17" t="s">
        <v>335</v>
      </c>
      <c r="F2887" s="17" t="s">
        <v>190</v>
      </c>
      <c r="G2887" s="17" t="s">
        <v>1580</v>
      </c>
      <c r="H2887" s="18">
        <v>5312.5</v>
      </c>
      <c r="I2887" s="18">
        <v>5312.5</v>
      </c>
      <c r="J2887" s="7" t="str">
        <f>IFERROR(_xlfn.XLOOKUP(F2887,ccustos!A:A,ccustos!B:B),"Sem termo")</f>
        <v>TERMOS INDIVIDUAIS</v>
      </c>
    </row>
    <row r="2888" spans="1:10" ht="25.5" customHeight="1" x14ac:dyDescent="0.25">
      <c r="A2888" s="14">
        <v>14691</v>
      </c>
      <c r="B2888" s="7" t="s">
        <v>236</v>
      </c>
      <c r="C2888" s="7" t="s">
        <v>1271</v>
      </c>
      <c r="D2888" s="7" t="s">
        <v>1608</v>
      </c>
      <c r="E2888" s="7" t="s">
        <v>335</v>
      </c>
      <c r="F2888" s="7" t="s">
        <v>190</v>
      </c>
      <c r="G2888" s="7" t="s">
        <v>1580</v>
      </c>
      <c r="H2888" s="15">
        <v>5312.5</v>
      </c>
      <c r="I2888" s="15">
        <v>5312.5</v>
      </c>
      <c r="J2888" s="7" t="str">
        <f>IFERROR(_xlfn.XLOOKUP(F2888,ccustos!A:A,ccustos!B:B),"Sem termo")</f>
        <v>TERMOS INDIVIDUAIS</v>
      </c>
    </row>
    <row r="2889" spans="1:10" ht="25.5" customHeight="1" x14ac:dyDescent="0.25">
      <c r="A2889" s="16">
        <v>14692</v>
      </c>
      <c r="B2889" s="17" t="s">
        <v>236</v>
      </c>
      <c r="C2889" s="17" t="s">
        <v>1271</v>
      </c>
      <c r="D2889" s="17" t="s">
        <v>1609</v>
      </c>
      <c r="E2889" s="17" t="s">
        <v>335</v>
      </c>
      <c r="F2889" s="17" t="s">
        <v>48</v>
      </c>
      <c r="G2889" s="17" t="s">
        <v>1580</v>
      </c>
      <c r="H2889" s="18">
        <v>5312.5</v>
      </c>
      <c r="I2889" s="18">
        <v>5312.5</v>
      </c>
      <c r="J2889" s="7" t="str">
        <f>IFERROR(_xlfn.XLOOKUP(F2889,ccustos!A:A,ccustos!B:B),"Sem termo")</f>
        <v>DEPES</v>
      </c>
    </row>
    <row r="2890" spans="1:10" ht="25.5" customHeight="1" x14ac:dyDescent="0.25">
      <c r="A2890" s="14">
        <v>14693</v>
      </c>
      <c r="B2890" s="7" t="s">
        <v>236</v>
      </c>
      <c r="C2890" s="7" t="s">
        <v>1271</v>
      </c>
      <c r="D2890" s="7" t="s">
        <v>1610</v>
      </c>
      <c r="E2890" s="7" t="s">
        <v>335</v>
      </c>
      <c r="F2890" s="7" t="s">
        <v>190</v>
      </c>
      <c r="G2890" s="7" t="s">
        <v>1580</v>
      </c>
      <c r="H2890" s="15">
        <v>5312.5</v>
      </c>
      <c r="I2890" s="15">
        <v>5312.5</v>
      </c>
      <c r="J2890" s="7" t="str">
        <f>IFERROR(_xlfn.XLOOKUP(F2890,ccustos!A:A,ccustos!B:B),"Sem termo")</f>
        <v>TERMOS INDIVIDUAIS</v>
      </c>
    </row>
    <row r="2891" spans="1:10" ht="25.5" customHeight="1" x14ac:dyDescent="0.25">
      <c r="A2891" s="16">
        <v>14694</v>
      </c>
      <c r="B2891" s="17" t="s">
        <v>236</v>
      </c>
      <c r="C2891" s="17" t="s">
        <v>1271</v>
      </c>
      <c r="D2891" s="17" t="s">
        <v>1611</v>
      </c>
      <c r="E2891" s="17" t="s">
        <v>335</v>
      </c>
      <c r="F2891" s="17" t="s">
        <v>190</v>
      </c>
      <c r="G2891" s="17" t="s">
        <v>1580</v>
      </c>
      <c r="H2891" s="18">
        <v>5312.5</v>
      </c>
      <c r="I2891" s="18">
        <v>5312.5</v>
      </c>
      <c r="J2891" s="7" t="str">
        <f>IFERROR(_xlfn.XLOOKUP(F2891,ccustos!A:A,ccustos!B:B),"Sem termo")</f>
        <v>TERMOS INDIVIDUAIS</v>
      </c>
    </row>
    <row r="2892" spans="1:10" ht="25.5" customHeight="1" x14ac:dyDescent="0.25">
      <c r="A2892" s="14">
        <v>14695</v>
      </c>
      <c r="B2892" s="7" t="s">
        <v>236</v>
      </c>
      <c r="C2892" s="7" t="s">
        <v>1271</v>
      </c>
      <c r="D2892" s="7" t="s">
        <v>1612</v>
      </c>
      <c r="E2892" s="7" t="s">
        <v>335</v>
      </c>
      <c r="F2892" s="7" t="s">
        <v>186</v>
      </c>
      <c r="G2892" s="7" t="s">
        <v>1580</v>
      </c>
      <c r="H2892" s="15">
        <v>5312.5</v>
      </c>
      <c r="I2892" s="15">
        <v>5312.5</v>
      </c>
      <c r="J2892" s="7" t="str">
        <f>IFERROR(_xlfn.XLOOKUP(F2892,ccustos!A:A,ccustos!B:B),"Sem termo")</f>
        <v>CGGE</v>
      </c>
    </row>
    <row r="2893" spans="1:10" ht="25.5" customHeight="1" x14ac:dyDescent="0.25">
      <c r="A2893" s="16">
        <v>14696</v>
      </c>
      <c r="B2893" s="17" t="s">
        <v>236</v>
      </c>
      <c r="C2893" s="17" t="s">
        <v>1271</v>
      </c>
      <c r="D2893" s="17" t="s">
        <v>1613</v>
      </c>
      <c r="E2893" s="17" t="s">
        <v>335</v>
      </c>
      <c r="F2893" s="17" t="s">
        <v>20</v>
      </c>
      <c r="G2893" s="17" t="s">
        <v>1580</v>
      </c>
      <c r="H2893" s="18">
        <v>5312.5</v>
      </c>
      <c r="I2893" s="18">
        <v>5312.5</v>
      </c>
      <c r="J2893" s="7" t="str">
        <f>IFERROR(_xlfn.XLOOKUP(F2893,ccustos!A:A,ccustos!B:B),"Sem termo")</f>
        <v>CGTI</v>
      </c>
    </row>
    <row r="2894" spans="1:10" ht="25.5" customHeight="1" x14ac:dyDescent="0.25">
      <c r="A2894" s="14">
        <v>14697</v>
      </c>
      <c r="B2894" s="7" t="s">
        <v>236</v>
      </c>
      <c r="C2894" s="7" t="s">
        <v>1271</v>
      </c>
      <c r="D2894" s="7" t="s">
        <v>1614</v>
      </c>
      <c r="E2894" s="7" t="s">
        <v>335</v>
      </c>
      <c r="F2894" s="7" t="s">
        <v>190</v>
      </c>
      <c r="G2894" s="7" t="s">
        <v>1580</v>
      </c>
      <c r="H2894" s="15">
        <v>5312.5</v>
      </c>
      <c r="I2894" s="15">
        <v>5312.5</v>
      </c>
      <c r="J2894" s="7" t="str">
        <f>IFERROR(_xlfn.XLOOKUP(F2894,ccustos!A:A,ccustos!B:B),"Sem termo")</f>
        <v>TERMOS INDIVIDUAIS</v>
      </c>
    </row>
    <row r="2895" spans="1:10" ht="25.5" customHeight="1" x14ac:dyDescent="0.25">
      <c r="A2895" s="16">
        <v>14698</v>
      </c>
      <c r="B2895" s="17" t="s">
        <v>236</v>
      </c>
      <c r="C2895" s="17" t="s">
        <v>1271</v>
      </c>
      <c r="D2895" s="17" t="s">
        <v>1615</v>
      </c>
      <c r="E2895" s="17" t="s">
        <v>335</v>
      </c>
      <c r="F2895" s="17" t="s">
        <v>190</v>
      </c>
      <c r="G2895" s="17" t="s">
        <v>1580</v>
      </c>
      <c r="H2895" s="18">
        <v>5312.5</v>
      </c>
      <c r="I2895" s="18">
        <v>5312.5</v>
      </c>
      <c r="J2895" s="7" t="str">
        <f>IFERROR(_xlfn.XLOOKUP(F2895,ccustos!A:A,ccustos!B:B),"Sem termo")</f>
        <v>TERMOS INDIVIDUAIS</v>
      </c>
    </row>
    <row r="2896" spans="1:10" ht="25.5" customHeight="1" x14ac:dyDescent="0.25">
      <c r="A2896" s="14">
        <v>14699</v>
      </c>
      <c r="B2896" s="7" t="s">
        <v>236</v>
      </c>
      <c r="C2896" s="7" t="s">
        <v>1271</v>
      </c>
      <c r="D2896" s="7" t="s">
        <v>1616</v>
      </c>
      <c r="E2896" s="7" t="s">
        <v>335</v>
      </c>
      <c r="F2896" s="7" t="s">
        <v>190</v>
      </c>
      <c r="G2896" s="7" t="s">
        <v>1580</v>
      </c>
      <c r="H2896" s="15">
        <v>5312.5</v>
      </c>
      <c r="I2896" s="15">
        <v>5312.5</v>
      </c>
      <c r="J2896" s="7" t="str">
        <f>IFERROR(_xlfn.XLOOKUP(F2896,ccustos!A:A,ccustos!B:B),"Sem termo")</f>
        <v>TERMOS INDIVIDUAIS</v>
      </c>
    </row>
    <row r="2897" spans="1:10" ht="25.5" customHeight="1" x14ac:dyDescent="0.25">
      <c r="A2897" s="16">
        <v>14700</v>
      </c>
      <c r="B2897" s="17" t="s">
        <v>236</v>
      </c>
      <c r="C2897" s="17" t="s">
        <v>1271</v>
      </c>
      <c r="D2897" s="17" t="s">
        <v>1617</v>
      </c>
      <c r="E2897" s="17" t="s">
        <v>335</v>
      </c>
      <c r="F2897" s="17" t="s">
        <v>190</v>
      </c>
      <c r="G2897" s="17" t="s">
        <v>1580</v>
      </c>
      <c r="H2897" s="18">
        <v>5312.5</v>
      </c>
      <c r="I2897" s="18">
        <v>5312.5</v>
      </c>
      <c r="J2897" s="7" t="str">
        <f>IFERROR(_xlfn.XLOOKUP(F2897,ccustos!A:A,ccustos!B:B),"Sem termo")</f>
        <v>TERMOS INDIVIDUAIS</v>
      </c>
    </row>
    <row r="2898" spans="1:10" ht="25.5" customHeight="1" x14ac:dyDescent="0.25">
      <c r="A2898" s="14">
        <v>14701</v>
      </c>
      <c r="B2898" s="7" t="s">
        <v>236</v>
      </c>
      <c r="C2898" s="7" t="s">
        <v>1271</v>
      </c>
      <c r="D2898" s="7" t="s">
        <v>1618</v>
      </c>
      <c r="E2898" s="7" t="s">
        <v>335</v>
      </c>
      <c r="F2898" s="7" t="s">
        <v>190</v>
      </c>
      <c r="G2898" s="7" t="s">
        <v>1580</v>
      </c>
      <c r="H2898" s="15">
        <v>5312.5</v>
      </c>
      <c r="I2898" s="15">
        <v>5312.5</v>
      </c>
      <c r="J2898" s="7" t="str">
        <f>IFERROR(_xlfn.XLOOKUP(F2898,ccustos!A:A,ccustos!B:B),"Sem termo")</f>
        <v>TERMOS INDIVIDUAIS</v>
      </c>
    </row>
    <row r="2899" spans="1:10" ht="25.5" customHeight="1" x14ac:dyDescent="0.25">
      <c r="A2899" s="16">
        <v>14702</v>
      </c>
      <c r="B2899" s="17" t="s">
        <v>236</v>
      </c>
      <c r="C2899" s="17" t="s">
        <v>1271</v>
      </c>
      <c r="D2899" s="17" t="s">
        <v>1619</v>
      </c>
      <c r="E2899" s="17" t="s">
        <v>335</v>
      </c>
      <c r="F2899" s="17" t="s">
        <v>190</v>
      </c>
      <c r="G2899" s="17" t="s">
        <v>1580</v>
      </c>
      <c r="H2899" s="18">
        <v>5312.5</v>
      </c>
      <c r="I2899" s="18">
        <v>5312.5</v>
      </c>
      <c r="J2899" s="7" t="str">
        <f>IFERROR(_xlfn.XLOOKUP(F2899,ccustos!A:A,ccustos!B:B),"Sem termo")</f>
        <v>TERMOS INDIVIDUAIS</v>
      </c>
    </row>
    <row r="2900" spans="1:10" ht="25.5" customHeight="1" x14ac:dyDescent="0.25">
      <c r="A2900" s="14">
        <v>14703</v>
      </c>
      <c r="B2900" s="7" t="s">
        <v>236</v>
      </c>
      <c r="C2900" s="7" t="s">
        <v>917</v>
      </c>
      <c r="D2900" s="7" t="s">
        <v>1620</v>
      </c>
      <c r="E2900" s="7" t="s">
        <v>250</v>
      </c>
      <c r="F2900" s="7" t="s">
        <v>9</v>
      </c>
      <c r="G2900" s="7" t="s">
        <v>1621</v>
      </c>
      <c r="H2900" s="15">
        <v>1210</v>
      </c>
      <c r="I2900" s="15">
        <v>1210</v>
      </c>
      <c r="J2900" s="7" t="str">
        <f>IFERROR(_xlfn.XLOOKUP(F2900,ccustos!A:A,ccustos!B:B),"Sem termo")</f>
        <v>DEINFRA</v>
      </c>
    </row>
    <row r="2901" spans="1:10" ht="25.5" customHeight="1" x14ac:dyDescent="0.25">
      <c r="A2901" s="16">
        <v>14704</v>
      </c>
      <c r="B2901" s="17" t="s">
        <v>236</v>
      </c>
      <c r="C2901" s="17" t="s">
        <v>917</v>
      </c>
      <c r="D2901" s="17" t="s">
        <v>1622</v>
      </c>
      <c r="E2901" s="17" t="s">
        <v>250</v>
      </c>
      <c r="F2901" s="17" t="s">
        <v>13</v>
      </c>
      <c r="G2901" s="17" t="s">
        <v>1621</v>
      </c>
      <c r="H2901" s="18">
        <v>1210</v>
      </c>
      <c r="I2901" s="18">
        <v>1210</v>
      </c>
      <c r="J2901" s="7" t="str">
        <f>IFERROR(_xlfn.XLOOKUP(F2901,ccustos!A:A,ccustos!B:B),"Sem termo")</f>
        <v>SEPROT</v>
      </c>
    </row>
    <row r="2902" spans="1:10" ht="25.5" customHeight="1" x14ac:dyDescent="0.25">
      <c r="A2902" s="14">
        <v>14706</v>
      </c>
      <c r="B2902" s="7" t="s">
        <v>236</v>
      </c>
      <c r="C2902" s="7" t="s">
        <v>1526</v>
      </c>
      <c r="D2902" s="7" t="s">
        <v>1623</v>
      </c>
      <c r="E2902" s="7" t="s">
        <v>335</v>
      </c>
      <c r="F2902" s="7" t="s">
        <v>190</v>
      </c>
      <c r="G2902" s="7" t="s">
        <v>1624</v>
      </c>
      <c r="H2902" s="15">
        <v>2004.51</v>
      </c>
      <c r="I2902" s="15">
        <v>2004.51</v>
      </c>
      <c r="J2902" s="7" t="str">
        <f>IFERROR(_xlfn.XLOOKUP(F2902,ccustos!A:A,ccustos!B:B),"Sem termo")</f>
        <v>TERMOS INDIVIDUAIS</v>
      </c>
    </row>
    <row r="2903" spans="1:10" ht="36.75" customHeight="1" x14ac:dyDescent="0.25">
      <c r="A2903" s="16">
        <v>14707</v>
      </c>
      <c r="B2903" s="17" t="s">
        <v>236</v>
      </c>
      <c r="C2903" s="17" t="s">
        <v>1526</v>
      </c>
      <c r="D2903" s="17" t="s">
        <v>1625</v>
      </c>
      <c r="E2903" s="17" t="s">
        <v>335</v>
      </c>
      <c r="F2903" s="17" t="s">
        <v>190</v>
      </c>
      <c r="G2903" s="17" t="s">
        <v>1624</v>
      </c>
      <c r="H2903" s="18">
        <v>2004.51</v>
      </c>
      <c r="I2903" s="18">
        <v>2004.51</v>
      </c>
      <c r="J2903" s="7" t="str">
        <f>IFERROR(_xlfn.XLOOKUP(F2903,ccustos!A:A,ccustos!B:B),"Sem termo")</f>
        <v>TERMOS INDIVIDUAIS</v>
      </c>
    </row>
    <row r="2904" spans="1:10" ht="36.75" customHeight="1" x14ac:dyDescent="0.25">
      <c r="A2904" s="14">
        <v>14708</v>
      </c>
      <c r="B2904" s="7" t="s">
        <v>236</v>
      </c>
      <c r="C2904" s="7" t="s">
        <v>248</v>
      </c>
      <c r="D2904" s="7" t="s">
        <v>1626</v>
      </c>
      <c r="E2904" s="7" t="s">
        <v>250</v>
      </c>
      <c r="F2904" s="7" t="s">
        <v>14</v>
      </c>
      <c r="G2904" s="7" t="s">
        <v>1627</v>
      </c>
      <c r="H2904" s="15">
        <v>36900</v>
      </c>
      <c r="I2904" s="15">
        <v>36900</v>
      </c>
      <c r="J2904" s="7" t="str">
        <f>IFERROR(_xlfn.XLOOKUP(F2904,ccustos!A:A,ccustos!B:B),"Sem termo")</f>
        <v>SEPAT</v>
      </c>
    </row>
    <row r="2905" spans="1:10" ht="36.75" customHeight="1" x14ac:dyDescent="0.25">
      <c r="A2905" s="16">
        <v>14709</v>
      </c>
      <c r="B2905" s="17" t="s">
        <v>236</v>
      </c>
      <c r="C2905" s="17" t="s">
        <v>1628</v>
      </c>
      <c r="D2905" s="17" t="s">
        <v>1629</v>
      </c>
      <c r="E2905" s="17" t="s">
        <v>250</v>
      </c>
      <c r="F2905" s="17" t="s">
        <v>14</v>
      </c>
      <c r="G2905" s="17" t="s">
        <v>1627</v>
      </c>
      <c r="H2905" s="18">
        <v>4150</v>
      </c>
      <c r="I2905" s="18">
        <v>4150</v>
      </c>
      <c r="J2905" s="7" t="str">
        <f>IFERROR(_xlfn.XLOOKUP(F2905,ccustos!A:A,ccustos!B:B),"Sem termo")</f>
        <v>SEPAT</v>
      </c>
    </row>
    <row r="2906" spans="1:10" ht="36.75" customHeight="1" x14ac:dyDescent="0.25">
      <c r="A2906" s="14">
        <v>14710</v>
      </c>
      <c r="B2906" s="7" t="s">
        <v>236</v>
      </c>
      <c r="C2906" s="7" t="s">
        <v>1628</v>
      </c>
      <c r="D2906" s="7" t="s">
        <v>1629</v>
      </c>
      <c r="E2906" s="7" t="s">
        <v>250</v>
      </c>
      <c r="F2906" s="7" t="s">
        <v>14</v>
      </c>
      <c r="G2906" s="7" t="s">
        <v>1627</v>
      </c>
      <c r="H2906" s="15">
        <v>4150</v>
      </c>
      <c r="I2906" s="15">
        <v>4150</v>
      </c>
      <c r="J2906" s="7" t="str">
        <f>IFERROR(_xlfn.XLOOKUP(F2906,ccustos!A:A,ccustos!B:B),"Sem termo")</f>
        <v>SEPAT</v>
      </c>
    </row>
    <row r="2907" spans="1:10" ht="36.75" customHeight="1" x14ac:dyDescent="0.25">
      <c r="A2907" s="16">
        <v>14711</v>
      </c>
      <c r="B2907" s="17" t="s">
        <v>236</v>
      </c>
      <c r="C2907" s="17" t="s">
        <v>1628</v>
      </c>
      <c r="D2907" s="17" t="s">
        <v>1629</v>
      </c>
      <c r="E2907" s="17" t="s">
        <v>250</v>
      </c>
      <c r="F2907" s="17" t="s">
        <v>14</v>
      </c>
      <c r="G2907" s="17" t="s">
        <v>1627</v>
      </c>
      <c r="H2907" s="18">
        <v>4150</v>
      </c>
      <c r="I2907" s="18">
        <v>4150</v>
      </c>
      <c r="J2907" s="7" t="str">
        <f>IFERROR(_xlfn.XLOOKUP(F2907,ccustos!A:A,ccustos!B:B),"Sem termo")</f>
        <v>SEPAT</v>
      </c>
    </row>
    <row r="2908" spans="1:10" ht="36.75" customHeight="1" x14ac:dyDescent="0.25">
      <c r="A2908" s="14">
        <v>14712</v>
      </c>
      <c r="B2908" s="7" t="s">
        <v>236</v>
      </c>
      <c r="C2908" s="7" t="s">
        <v>1628</v>
      </c>
      <c r="D2908" s="7" t="s">
        <v>1629</v>
      </c>
      <c r="E2908" s="7" t="s">
        <v>250</v>
      </c>
      <c r="F2908" s="7" t="s">
        <v>14</v>
      </c>
      <c r="G2908" s="7" t="s">
        <v>1627</v>
      </c>
      <c r="H2908" s="15">
        <v>4150</v>
      </c>
      <c r="I2908" s="15">
        <v>4150</v>
      </c>
      <c r="J2908" s="7" t="str">
        <f>IFERROR(_xlfn.XLOOKUP(F2908,ccustos!A:A,ccustos!B:B),"Sem termo")</f>
        <v>SEPAT</v>
      </c>
    </row>
    <row r="2909" spans="1:10" ht="36.75" customHeight="1" x14ac:dyDescent="0.25">
      <c r="A2909" s="16">
        <v>14713</v>
      </c>
      <c r="B2909" s="17" t="s">
        <v>236</v>
      </c>
      <c r="C2909" s="17" t="s">
        <v>1408</v>
      </c>
      <c r="D2909" s="17" t="s">
        <v>1630</v>
      </c>
      <c r="E2909" s="17" t="s">
        <v>1410</v>
      </c>
      <c r="F2909" s="17" t="s">
        <v>183</v>
      </c>
      <c r="G2909" s="17" t="s">
        <v>1631</v>
      </c>
      <c r="H2909" s="18">
        <v>74999</v>
      </c>
      <c r="I2909" s="18">
        <v>74999</v>
      </c>
      <c r="J2909" s="7" t="str">
        <f>IFERROR(_xlfn.XLOOKUP(F2909,ccustos!A:A,ccustos!B:B),"Sem termo")</f>
        <v>CGTI</v>
      </c>
    </row>
    <row r="2910" spans="1:10" ht="36.75" customHeight="1" x14ac:dyDescent="0.25">
      <c r="A2910" s="14">
        <v>14714</v>
      </c>
      <c r="B2910" s="7" t="s">
        <v>236</v>
      </c>
      <c r="C2910" s="7" t="s">
        <v>333</v>
      </c>
      <c r="D2910" s="7" t="s">
        <v>1632</v>
      </c>
      <c r="E2910" s="7" t="s">
        <v>335</v>
      </c>
      <c r="F2910" s="7" t="s">
        <v>20</v>
      </c>
      <c r="G2910" s="7" t="s">
        <v>1633</v>
      </c>
      <c r="H2910" s="15">
        <v>690</v>
      </c>
      <c r="I2910" s="15">
        <v>690</v>
      </c>
      <c r="J2910" s="7" t="str">
        <f>IFERROR(_xlfn.XLOOKUP(F2910,ccustos!A:A,ccustos!B:B),"Sem termo")</f>
        <v>CGTI</v>
      </c>
    </row>
    <row r="2911" spans="1:10" ht="36.75" customHeight="1" x14ac:dyDescent="0.25">
      <c r="A2911" s="16">
        <v>14715</v>
      </c>
      <c r="B2911" s="17" t="s">
        <v>236</v>
      </c>
      <c r="C2911" s="17" t="s">
        <v>333</v>
      </c>
      <c r="D2911" s="17" t="s">
        <v>1634</v>
      </c>
      <c r="E2911" s="17" t="s">
        <v>335</v>
      </c>
      <c r="F2911" s="17" t="s">
        <v>205</v>
      </c>
      <c r="G2911" s="17" t="s">
        <v>1633</v>
      </c>
      <c r="H2911" s="18">
        <v>690</v>
      </c>
      <c r="I2911" s="18">
        <v>690</v>
      </c>
      <c r="J2911" s="7" t="str">
        <f>IFERROR(_xlfn.XLOOKUP(F2911,ccustos!A:A,ccustos!B:B),"Sem termo")</f>
        <v>CCOM</v>
      </c>
    </row>
    <row r="2912" spans="1:10" ht="36.75" customHeight="1" x14ac:dyDescent="0.25">
      <c r="A2912" s="14">
        <v>14716</v>
      </c>
      <c r="B2912" s="7" t="s">
        <v>236</v>
      </c>
      <c r="C2912" s="7" t="s">
        <v>333</v>
      </c>
      <c r="D2912" s="7" t="s">
        <v>1635</v>
      </c>
      <c r="E2912" s="7" t="s">
        <v>335</v>
      </c>
      <c r="F2912" s="7" t="s">
        <v>20</v>
      </c>
      <c r="G2912" s="7" t="s">
        <v>1633</v>
      </c>
      <c r="H2912" s="15">
        <v>690</v>
      </c>
      <c r="I2912" s="15">
        <v>690</v>
      </c>
      <c r="J2912" s="7" t="str">
        <f>IFERROR(_xlfn.XLOOKUP(F2912,ccustos!A:A,ccustos!B:B),"Sem termo")</f>
        <v>CGTI</v>
      </c>
    </row>
    <row r="2913" spans="1:10" ht="36.75" customHeight="1" x14ac:dyDescent="0.25">
      <c r="A2913" s="16">
        <v>14717</v>
      </c>
      <c r="B2913" s="17" t="s">
        <v>236</v>
      </c>
      <c r="C2913" s="17" t="s">
        <v>333</v>
      </c>
      <c r="D2913" s="17" t="s">
        <v>1636</v>
      </c>
      <c r="E2913" s="17" t="s">
        <v>335</v>
      </c>
      <c r="F2913" s="17" t="s">
        <v>32</v>
      </c>
      <c r="G2913" s="17" t="s">
        <v>1633</v>
      </c>
      <c r="H2913" s="18">
        <v>690</v>
      </c>
      <c r="I2913" s="18">
        <v>690</v>
      </c>
      <c r="J2913" s="7" t="str">
        <f>IFERROR(_xlfn.XLOOKUP(F2913,ccustos!A:A,ccustos!B:B),"Sem termo")</f>
        <v>DECONT</v>
      </c>
    </row>
    <row r="2914" spans="1:10" ht="25.5" customHeight="1" x14ac:dyDescent="0.25">
      <c r="A2914" s="14">
        <v>14718</v>
      </c>
      <c r="B2914" s="7" t="s">
        <v>236</v>
      </c>
      <c r="C2914" s="7" t="s">
        <v>333</v>
      </c>
      <c r="D2914" s="7" t="s">
        <v>1637</v>
      </c>
      <c r="E2914" s="7" t="s">
        <v>335</v>
      </c>
      <c r="F2914" s="7" t="s">
        <v>20</v>
      </c>
      <c r="G2914" s="7" t="s">
        <v>1633</v>
      </c>
      <c r="H2914" s="15">
        <v>690</v>
      </c>
      <c r="I2914" s="15">
        <v>690</v>
      </c>
      <c r="J2914" s="7" t="str">
        <f>IFERROR(_xlfn.XLOOKUP(F2914,ccustos!A:A,ccustos!B:B),"Sem termo")</f>
        <v>CGTI</v>
      </c>
    </row>
    <row r="2915" spans="1:10" ht="25.5" customHeight="1" x14ac:dyDescent="0.25">
      <c r="A2915" s="16">
        <v>14719</v>
      </c>
      <c r="B2915" s="17" t="s">
        <v>236</v>
      </c>
      <c r="C2915" s="17" t="s">
        <v>333</v>
      </c>
      <c r="D2915" s="17" t="s">
        <v>1638</v>
      </c>
      <c r="E2915" s="17" t="s">
        <v>335</v>
      </c>
      <c r="F2915" s="17" t="s">
        <v>20</v>
      </c>
      <c r="G2915" s="17" t="s">
        <v>1633</v>
      </c>
      <c r="H2915" s="18">
        <v>690</v>
      </c>
      <c r="I2915" s="18">
        <v>690</v>
      </c>
      <c r="J2915" s="7" t="str">
        <f>IFERROR(_xlfn.XLOOKUP(F2915,ccustos!A:A,ccustos!B:B),"Sem termo")</f>
        <v>CGTI</v>
      </c>
    </row>
    <row r="2916" spans="1:10" ht="25.5" customHeight="1" x14ac:dyDescent="0.25">
      <c r="A2916" s="14">
        <v>14720</v>
      </c>
      <c r="B2916" s="7" t="s">
        <v>236</v>
      </c>
      <c r="C2916" s="7" t="s">
        <v>333</v>
      </c>
      <c r="D2916" s="7" t="s">
        <v>1639</v>
      </c>
      <c r="E2916" s="7" t="s">
        <v>335</v>
      </c>
      <c r="F2916" s="7" t="s">
        <v>26</v>
      </c>
      <c r="G2916" s="7" t="s">
        <v>1633</v>
      </c>
      <c r="H2916" s="15">
        <v>690</v>
      </c>
      <c r="I2916" s="15">
        <v>690</v>
      </c>
      <c r="J2916" s="7" t="str">
        <f>IFERROR(_xlfn.XLOOKUP(F2916,ccustos!A:A,ccustos!B:B),"Sem termo")</f>
        <v>COLOG</v>
      </c>
    </row>
    <row r="2917" spans="1:10" ht="25.5" customHeight="1" x14ac:dyDescent="0.25">
      <c r="A2917" s="16">
        <v>14721</v>
      </c>
      <c r="B2917" s="17" t="s">
        <v>236</v>
      </c>
      <c r="C2917" s="17" t="s">
        <v>333</v>
      </c>
      <c r="D2917" s="17" t="s">
        <v>1640</v>
      </c>
      <c r="E2917" s="17" t="s">
        <v>335</v>
      </c>
      <c r="F2917" s="17" t="s">
        <v>20</v>
      </c>
      <c r="G2917" s="17" t="s">
        <v>1633</v>
      </c>
      <c r="H2917" s="18">
        <v>690</v>
      </c>
      <c r="I2917" s="18">
        <v>690</v>
      </c>
      <c r="J2917" s="7" t="str">
        <f>IFERROR(_xlfn.XLOOKUP(F2917,ccustos!A:A,ccustos!B:B),"Sem termo")</f>
        <v>CGTI</v>
      </c>
    </row>
    <row r="2918" spans="1:10" ht="25.5" customHeight="1" x14ac:dyDescent="0.25">
      <c r="A2918" s="14">
        <v>14722</v>
      </c>
      <c r="B2918" s="7" t="s">
        <v>236</v>
      </c>
      <c r="C2918" s="7" t="s">
        <v>333</v>
      </c>
      <c r="D2918" s="7" t="s">
        <v>1641</v>
      </c>
      <c r="E2918" s="7" t="s">
        <v>335</v>
      </c>
      <c r="F2918" s="7" t="s">
        <v>19</v>
      </c>
      <c r="G2918" s="7" t="s">
        <v>1633</v>
      </c>
      <c r="H2918" s="15">
        <v>690</v>
      </c>
      <c r="I2918" s="15">
        <v>690</v>
      </c>
      <c r="J2918" s="7" t="str">
        <f>IFERROR(_xlfn.XLOOKUP(F2918,ccustos!A:A,ccustos!B:B),"Sem termo")</f>
        <v>SEGED</v>
      </c>
    </row>
    <row r="2919" spans="1:10" ht="25.5" customHeight="1" x14ac:dyDescent="0.25">
      <c r="A2919" s="16">
        <v>14723</v>
      </c>
      <c r="B2919" s="17" t="s">
        <v>236</v>
      </c>
      <c r="C2919" s="17" t="s">
        <v>333</v>
      </c>
      <c r="D2919" s="17" t="s">
        <v>1642</v>
      </c>
      <c r="E2919" s="17" t="s">
        <v>335</v>
      </c>
      <c r="F2919" s="17" t="s">
        <v>205</v>
      </c>
      <c r="G2919" s="17" t="s">
        <v>1633</v>
      </c>
      <c r="H2919" s="18">
        <v>690</v>
      </c>
      <c r="I2919" s="18">
        <v>690</v>
      </c>
      <c r="J2919" s="7" t="str">
        <f>IFERROR(_xlfn.XLOOKUP(F2919,ccustos!A:A,ccustos!B:B),"Sem termo")</f>
        <v>CCOM</v>
      </c>
    </row>
    <row r="2920" spans="1:10" ht="25.5" customHeight="1" x14ac:dyDescent="0.25">
      <c r="A2920" s="14">
        <v>14724</v>
      </c>
      <c r="B2920" s="7" t="s">
        <v>236</v>
      </c>
      <c r="C2920" s="7" t="s">
        <v>333</v>
      </c>
      <c r="D2920" s="7" t="s">
        <v>1643</v>
      </c>
      <c r="E2920" s="7" t="s">
        <v>335</v>
      </c>
      <c r="F2920" s="7" t="s">
        <v>30</v>
      </c>
      <c r="G2920" s="7" t="s">
        <v>1633</v>
      </c>
      <c r="H2920" s="15">
        <v>690</v>
      </c>
      <c r="I2920" s="15">
        <v>690</v>
      </c>
      <c r="J2920" s="7" t="str">
        <f>IFERROR(_xlfn.XLOOKUP(F2920,ccustos!A:A,ccustos!B:B),"Sem termo")</f>
        <v>COFIS</v>
      </c>
    </row>
    <row r="2921" spans="1:10" ht="25.5" customHeight="1" x14ac:dyDescent="0.25">
      <c r="A2921" s="16">
        <v>14725</v>
      </c>
      <c r="B2921" s="17" t="s">
        <v>236</v>
      </c>
      <c r="C2921" s="17" t="s">
        <v>333</v>
      </c>
      <c r="D2921" s="17" t="s">
        <v>1644</v>
      </c>
      <c r="E2921" s="17" t="s">
        <v>335</v>
      </c>
      <c r="F2921" s="17" t="s">
        <v>20</v>
      </c>
      <c r="G2921" s="17" t="s">
        <v>1633</v>
      </c>
      <c r="H2921" s="18">
        <v>690</v>
      </c>
      <c r="I2921" s="18">
        <v>690</v>
      </c>
      <c r="J2921" s="7" t="str">
        <f>IFERROR(_xlfn.XLOOKUP(F2921,ccustos!A:A,ccustos!B:B),"Sem termo")</f>
        <v>CGTI</v>
      </c>
    </row>
    <row r="2922" spans="1:10" ht="25.5" customHeight="1" x14ac:dyDescent="0.25">
      <c r="A2922" s="14">
        <v>14726</v>
      </c>
      <c r="B2922" s="7" t="s">
        <v>236</v>
      </c>
      <c r="C2922" s="7" t="s">
        <v>333</v>
      </c>
      <c r="D2922" s="7" t="s">
        <v>1645</v>
      </c>
      <c r="E2922" s="7" t="s">
        <v>335</v>
      </c>
      <c r="F2922" s="7" t="s">
        <v>22</v>
      </c>
      <c r="G2922" s="7" t="s">
        <v>1633</v>
      </c>
      <c r="H2922" s="15">
        <v>690</v>
      </c>
      <c r="I2922" s="15">
        <v>690</v>
      </c>
      <c r="J2922" s="7" t="str">
        <f>IFERROR(_xlfn.XLOOKUP(F2922,ccustos!A:A,ccustos!B:B),"Sem termo")</f>
        <v>COTEC</v>
      </c>
    </row>
    <row r="2923" spans="1:10" ht="25.5" customHeight="1" x14ac:dyDescent="0.25">
      <c r="A2923" s="16">
        <v>14727</v>
      </c>
      <c r="B2923" s="17" t="s">
        <v>236</v>
      </c>
      <c r="C2923" s="17" t="s">
        <v>333</v>
      </c>
      <c r="D2923" s="17" t="s">
        <v>1646</v>
      </c>
      <c r="E2923" s="17" t="s">
        <v>335</v>
      </c>
      <c r="F2923" s="17" t="s">
        <v>26</v>
      </c>
      <c r="G2923" s="17" t="s">
        <v>1633</v>
      </c>
      <c r="H2923" s="18">
        <v>690</v>
      </c>
      <c r="I2923" s="18">
        <v>690</v>
      </c>
      <c r="J2923" s="7" t="str">
        <f>IFERROR(_xlfn.XLOOKUP(F2923,ccustos!A:A,ccustos!B:B),"Sem termo")</f>
        <v>COLOG</v>
      </c>
    </row>
    <row r="2924" spans="1:10" ht="25.5" customHeight="1" x14ac:dyDescent="0.25">
      <c r="A2924" s="14">
        <v>14728</v>
      </c>
      <c r="B2924" s="7" t="s">
        <v>236</v>
      </c>
      <c r="C2924" s="7" t="s">
        <v>333</v>
      </c>
      <c r="D2924" s="7" t="s">
        <v>1647</v>
      </c>
      <c r="E2924" s="7" t="s">
        <v>335</v>
      </c>
      <c r="F2924" s="7" t="s">
        <v>20</v>
      </c>
      <c r="G2924" s="7" t="s">
        <v>1633</v>
      </c>
      <c r="H2924" s="15">
        <v>690</v>
      </c>
      <c r="I2924" s="15">
        <v>690</v>
      </c>
      <c r="J2924" s="7" t="str">
        <f>IFERROR(_xlfn.XLOOKUP(F2924,ccustos!A:A,ccustos!B:B),"Sem termo")</f>
        <v>CGTI</v>
      </c>
    </row>
    <row r="2925" spans="1:10" ht="25.5" customHeight="1" x14ac:dyDescent="0.25">
      <c r="A2925" s="16">
        <v>14729</v>
      </c>
      <c r="B2925" s="17" t="s">
        <v>236</v>
      </c>
      <c r="C2925" s="17" t="s">
        <v>333</v>
      </c>
      <c r="D2925" s="17" t="s">
        <v>1648</v>
      </c>
      <c r="E2925" s="17" t="s">
        <v>335</v>
      </c>
      <c r="F2925" s="17" t="s">
        <v>83</v>
      </c>
      <c r="G2925" s="17" t="s">
        <v>1633</v>
      </c>
      <c r="H2925" s="18">
        <v>690</v>
      </c>
      <c r="I2925" s="18">
        <v>690</v>
      </c>
      <c r="J2925" s="7" t="str">
        <f>IFERROR(_xlfn.XLOOKUP(F2925,ccustos!A:A,ccustos!B:B),"Sem termo")</f>
        <v>GABIN</v>
      </c>
    </row>
    <row r="2926" spans="1:10" ht="25.5" customHeight="1" x14ac:dyDescent="0.25">
      <c r="A2926" s="14">
        <v>14730</v>
      </c>
      <c r="B2926" s="7" t="s">
        <v>236</v>
      </c>
      <c r="C2926" s="7" t="s">
        <v>333</v>
      </c>
      <c r="D2926" s="7" t="s">
        <v>1649</v>
      </c>
      <c r="E2926" s="7" t="s">
        <v>335</v>
      </c>
      <c r="F2926" s="7" t="s">
        <v>20</v>
      </c>
      <c r="G2926" s="7" t="s">
        <v>1633</v>
      </c>
      <c r="H2926" s="15">
        <v>690</v>
      </c>
      <c r="I2926" s="15">
        <v>690</v>
      </c>
      <c r="J2926" s="7" t="str">
        <f>IFERROR(_xlfn.XLOOKUP(F2926,ccustos!A:A,ccustos!B:B),"Sem termo")</f>
        <v>CGTI</v>
      </c>
    </row>
    <row r="2927" spans="1:10" ht="25.5" customHeight="1" x14ac:dyDescent="0.25">
      <c r="A2927" s="16">
        <v>14731</v>
      </c>
      <c r="B2927" s="17" t="s">
        <v>236</v>
      </c>
      <c r="C2927" s="17" t="s">
        <v>333</v>
      </c>
      <c r="D2927" s="17" t="s">
        <v>1650</v>
      </c>
      <c r="E2927" s="17" t="s">
        <v>335</v>
      </c>
      <c r="F2927" s="17" t="s">
        <v>20</v>
      </c>
      <c r="G2927" s="17" t="s">
        <v>1633</v>
      </c>
      <c r="H2927" s="18">
        <v>690</v>
      </c>
      <c r="I2927" s="18">
        <v>690</v>
      </c>
      <c r="J2927" s="7" t="str">
        <f>IFERROR(_xlfn.XLOOKUP(F2927,ccustos!A:A,ccustos!B:B),"Sem termo")</f>
        <v>CGTI</v>
      </c>
    </row>
    <row r="2928" spans="1:10" ht="25.5" customHeight="1" x14ac:dyDescent="0.25">
      <c r="A2928" s="14">
        <v>14732</v>
      </c>
      <c r="B2928" s="7" t="s">
        <v>236</v>
      </c>
      <c r="C2928" s="7" t="s">
        <v>333</v>
      </c>
      <c r="D2928" s="7" t="s">
        <v>1651</v>
      </c>
      <c r="E2928" s="7" t="s">
        <v>335</v>
      </c>
      <c r="F2928" s="7" t="s">
        <v>22</v>
      </c>
      <c r="G2928" s="7" t="s">
        <v>1633</v>
      </c>
      <c r="H2928" s="15">
        <v>690</v>
      </c>
      <c r="I2928" s="15">
        <v>690</v>
      </c>
      <c r="J2928" s="7" t="str">
        <f>IFERROR(_xlfn.XLOOKUP(F2928,ccustos!A:A,ccustos!B:B),"Sem termo")</f>
        <v>COTEC</v>
      </c>
    </row>
    <row r="2929" spans="1:10" ht="36.75" customHeight="1" x14ac:dyDescent="0.25">
      <c r="A2929" s="16">
        <v>14733</v>
      </c>
      <c r="B2929" s="17" t="s">
        <v>236</v>
      </c>
      <c r="C2929" s="17" t="s">
        <v>333</v>
      </c>
      <c r="D2929" s="17" t="s">
        <v>1652</v>
      </c>
      <c r="E2929" s="17" t="s">
        <v>335</v>
      </c>
      <c r="F2929" s="17" t="s">
        <v>26</v>
      </c>
      <c r="G2929" s="17" t="s">
        <v>1633</v>
      </c>
      <c r="H2929" s="18">
        <v>690</v>
      </c>
      <c r="I2929" s="18">
        <v>690</v>
      </c>
      <c r="J2929" s="7" t="str">
        <f>IFERROR(_xlfn.XLOOKUP(F2929,ccustos!A:A,ccustos!B:B),"Sem termo")</f>
        <v>COLOG</v>
      </c>
    </row>
    <row r="2930" spans="1:10" ht="36.75" customHeight="1" x14ac:dyDescent="0.25">
      <c r="A2930" s="14">
        <v>14734</v>
      </c>
      <c r="B2930" s="7" t="s">
        <v>236</v>
      </c>
      <c r="C2930" s="7" t="s">
        <v>333</v>
      </c>
      <c r="D2930" s="7" t="s">
        <v>1653</v>
      </c>
      <c r="E2930" s="7" t="s">
        <v>335</v>
      </c>
      <c r="F2930" s="7" t="s">
        <v>211</v>
      </c>
      <c r="G2930" s="7" t="s">
        <v>1633</v>
      </c>
      <c r="H2930" s="15">
        <v>690</v>
      </c>
      <c r="I2930" s="15">
        <v>690</v>
      </c>
      <c r="J2930" s="7" t="str">
        <f>IFERROR(_xlfn.XLOOKUP(F2930,ccustos!A:A,ccustos!B:B),"Sem termo")</f>
        <v>DIGEO</v>
      </c>
    </row>
    <row r="2931" spans="1:10" ht="36.75" customHeight="1" x14ac:dyDescent="0.25">
      <c r="A2931" s="16">
        <v>14735</v>
      </c>
      <c r="B2931" s="17" t="s">
        <v>236</v>
      </c>
      <c r="C2931" s="17" t="s">
        <v>333</v>
      </c>
      <c r="D2931" s="17" t="s">
        <v>1654</v>
      </c>
      <c r="E2931" s="17" t="s">
        <v>335</v>
      </c>
      <c r="F2931" s="17" t="s">
        <v>37</v>
      </c>
      <c r="G2931" s="17" t="s">
        <v>1633</v>
      </c>
      <c r="H2931" s="18">
        <v>690</v>
      </c>
      <c r="I2931" s="18">
        <v>690</v>
      </c>
      <c r="J2931" s="7" t="str">
        <f>IFERROR(_xlfn.XLOOKUP(F2931,ccustos!A:A,ccustos!B:B),"Sem termo")</f>
        <v>PROJUR</v>
      </c>
    </row>
    <row r="2932" spans="1:10" ht="36.75" customHeight="1" x14ac:dyDescent="0.25">
      <c r="A2932" s="14">
        <v>14736</v>
      </c>
      <c r="B2932" s="7" t="s">
        <v>236</v>
      </c>
      <c r="C2932" s="7" t="s">
        <v>333</v>
      </c>
      <c r="D2932" s="7" t="s">
        <v>1655</v>
      </c>
      <c r="E2932" s="7" t="s">
        <v>335</v>
      </c>
      <c r="F2932" s="7" t="s">
        <v>30</v>
      </c>
      <c r="G2932" s="7" t="s">
        <v>1633</v>
      </c>
      <c r="H2932" s="15">
        <v>690</v>
      </c>
      <c r="I2932" s="15">
        <v>690</v>
      </c>
      <c r="J2932" s="7" t="str">
        <f>IFERROR(_xlfn.XLOOKUP(F2932,ccustos!A:A,ccustos!B:B),"Sem termo")</f>
        <v>COFIS</v>
      </c>
    </row>
    <row r="2933" spans="1:10" ht="36.75" customHeight="1" x14ac:dyDescent="0.25">
      <c r="A2933" s="16">
        <v>14737</v>
      </c>
      <c r="B2933" s="17" t="s">
        <v>236</v>
      </c>
      <c r="C2933" s="17" t="s">
        <v>333</v>
      </c>
      <c r="D2933" s="17" t="s">
        <v>1656</v>
      </c>
      <c r="E2933" s="17" t="s">
        <v>335</v>
      </c>
      <c r="F2933" s="17" t="s">
        <v>20</v>
      </c>
      <c r="G2933" s="17" t="s">
        <v>1633</v>
      </c>
      <c r="H2933" s="18">
        <v>690</v>
      </c>
      <c r="I2933" s="18">
        <v>690</v>
      </c>
      <c r="J2933" s="7" t="str">
        <f>IFERROR(_xlfn.XLOOKUP(F2933,ccustos!A:A,ccustos!B:B),"Sem termo")</f>
        <v>CGTI</v>
      </c>
    </row>
    <row r="2934" spans="1:10" ht="36.75" customHeight="1" x14ac:dyDescent="0.25">
      <c r="A2934" s="14">
        <v>14738</v>
      </c>
      <c r="B2934" s="7" t="s">
        <v>236</v>
      </c>
      <c r="C2934" s="7" t="s">
        <v>333</v>
      </c>
      <c r="D2934" s="7" t="s">
        <v>1657</v>
      </c>
      <c r="E2934" s="7" t="s">
        <v>335</v>
      </c>
      <c r="F2934" s="7" t="s">
        <v>6</v>
      </c>
      <c r="G2934" s="7" t="s">
        <v>1633</v>
      </c>
      <c r="H2934" s="15">
        <v>690</v>
      </c>
      <c r="I2934" s="15">
        <v>690</v>
      </c>
      <c r="J2934" s="7" t="str">
        <f>IFERROR(_xlfn.XLOOKUP(F2934,ccustos!A:A,ccustos!B:B),"Sem termo")</f>
        <v>SEPAT</v>
      </c>
    </row>
    <row r="2935" spans="1:10" ht="36.75" customHeight="1" x14ac:dyDescent="0.25">
      <c r="A2935" s="16">
        <v>14739</v>
      </c>
      <c r="B2935" s="17" t="s">
        <v>236</v>
      </c>
      <c r="C2935" s="17" t="s">
        <v>333</v>
      </c>
      <c r="D2935" s="17" t="s">
        <v>1658</v>
      </c>
      <c r="E2935" s="17" t="s">
        <v>335</v>
      </c>
      <c r="F2935" s="17" t="s">
        <v>20</v>
      </c>
      <c r="G2935" s="17" t="s">
        <v>1633</v>
      </c>
      <c r="H2935" s="18">
        <v>690</v>
      </c>
      <c r="I2935" s="18">
        <v>690</v>
      </c>
      <c r="J2935" s="7" t="str">
        <f>IFERROR(_xlfn.XLOOKUP(F2935,ccustos!A:A,ccustos!B:B),"Sem termo")</f>
        <v>CGTI</v>
      </c>
    </row>
    <row r="2936" spans="1:10" ht="36.75" customHeight="1" x14ac:dyDescent="0.25">
      <c r="A2936" s="14">
        <v>14740</v>
      </c>
      <c r="B2936" s="7" t="s">
        <v>236</v>
      </c>
      <c r="C2936" s="7" t="s">
        <v>333</v>
      </c>
      <c r="D2936" s="7" t="s">
        <v>1659</v>
      </c>
      <c r="E2936" s="7" t="s">
        <v>335</v>
      </c>
      <c r="F2936" s="7" t="s">
        <v>19</v>
      </c>
      <c r="G2936" s="7" t="s">
        <v>1633</v>
      </c>
      <c r="H2936" s="15">
        <v>690</v>
      </c>
      <c r="I2936" s="15">
        <v>690</v>
      </c>
      <c r="J2936" s="7" t="str">
        <f>IFERROR(_xlfn.XLOOKUP(F2936,ccustos!A:A,ccustos!B:B),"Sem termo")</f>
        <v>SEGED</v>
      </c>
    </row>
    <row r="2937" spans="1:10" ht="36.75" customHeight="1" x14ac:dyDescent="0.25">
      <c r="A2937" s="16">
        <v>14741</v>
      </c>
      <c r="B2937" s="17" t="s">
        <v>236</v>
      </c>
      <c r="C2937" s="17" t="s">
        <v>333</v>
      </c>
      <c r="D2937" s="17" t="s">
        <v>1660</v>
      </c>
      <c r="E2937" s="17" t="s">
        <v>335</v>
      </c>
      <c r="F2937" s="17" t="s">
        <v>37</v>
      </c>
      <c r="G2937" s="17" t="s">
        <v>1633</v>
      </c>
      <c r="H2937" s="18">
        <v>690</v>
      </c>
      <c r="I2937" s="18">
        <v>690</v>
      </c>
      <c r="J2937" s="7" t="str">
        <f>IFERROR(_xlfn.XLOOKUP(F2937,ccustos!A:A,ccustos!B:B),"Sem termo")</f>
        <v>PROJUR</v>
      </c>
    </row>
    <row r="2938" spans="1:10" ht="36.75" customHeight="1" x14ac:dyDescent="0.25">
      <c r="A2938" s="14">
        <v>14742</v>
      </c>
      <c r="B2938" s="7" t="s">
        <v>236</v>
      </c>
      <c r="C2938" s="7" t="s">
        <v>333</v>
      </c>
      <c r="D2938" s="7" t="s">
        <v>1661</v>
      </c>
      <c r="E2938" s="7" t="s">
        <v>335</v>
      </c>
      <c r="F2938" s="7" t="s">
        <v>55</v>
      </c>
      <c r="G2938" s="7" t="s">
        <v>1633</v>
      </c>
      <c r="H2938" s="15">
        <v>690</v>
      </c>
      <c r="I2938" s="15">
        <v>690</v>
      </c>
      <c r="J2938" s="7" t="str">
        <f>IFERROR(_xlfn.XLOOKUP(F2938,ccustos!A:A,ccustos!B:B),"Sem termo")</f>
        <v>DEPAD</v>
      </c>
    </row>
    <row r="2939" spans="1:10" ht="36.75" customHeight="1" x14ac:dyDescent="0.25">
      <c r="A2939" s="16">
        <v>14743</v>
      </c>
      <c r="B2939" s="17" t="s">
        <v>236</v>
      </c>
      <c r="C2939" s="17" t="s">
        <v>333</v>
      </c>
      <c r="D2939" s="17" t="s">
        <v>1662</v>
      </c>
      <c r="E2939" s="17" t="s">
        <v>335</v>
      </c>
      <c r="F2939" s="17" t="s">
        <v>30</v>
      </c>
      <c r="G2939" s="17" t="s">
        <v>1633</v>
      </c>
      <c r="H2939" s="18">
        <v>690</v>
      </c>
      <c r="I2939" s="18">
        <v>690</v>
      </c>
      <c r="J2939" s="7" t="str">
        <f>IFERROR(_xlfn.XLOOKUP(F2939,ccustos!A:A,ccustos!B:B),"Sem termo")</f>
        <v>COFIS</v>
      </c>
    </row>
    <row r="2940" spans="1:10" ht="36.75" customHeight="1" x14ac:dyDescent="0.25">
      <c r="A2940" s="14">
        <v>14744</v>
      </c>
      <c r="B2940" s="7" t="s">
        <v>236</v>
      </c>
      <c r="C2940" s="7" t="s">
        <v>1408</v>
      </c>
      <c r="D2940" s="7" t="s">
        <v>1663</v>
      </c>
      <c r="E2940" s="7" t="s">
        <v>183</v>
      </c>
      <c r="F2940" s="7" t="s">
        <v>183</v>
      </c>
      <c r="G2940" s="7" t="s">
        <v>1664</v>
      </c>
      <c r="H2940" s="15">
        <v>364670</v>
      </c>
      <c r="I2940" s="15">
        <v>364670</v>
      </c>
      <c r="J2940" s="7" t="str">
        <f>IFERROR(_xlfn.XLOOKUP(F2940,ccustos!A:A,ccustos!B:B),"Sem termo")</f>
        <v>CGTI</v>
      </c>
    </row>
    <row r="2941" spans="1:10" ht="36.75" customHeight="1" x14ac:dyDescent="0.25">
      <c r="A2941" s="16">
        <v>14745</v>
      </c>
      <c r="B2941" s="17" t="s">
        <v>236</v>
      </c>
      <c r="C2941" s="17" t="s">
        <v>1408</v>
      </c>
      <c r="D2941" s="17" t="s">
        <v>1665</v>
      </c>
      <c r="E2941" s="17" t="s">
        <v>183</v>
      </c>
      <c r="F2941" s="17" t="s">
        <v>183</v>
      </c>
      <c r="G2941" s="17" t="s">
        <v>1664</v>
      </c>
      <c r="H2941" s="18">
        <v>29500</v>
      </c>
      <c r="I2941" s="18">
        <v>29500</v>
      </c>
      <c r="J2941" s="7" t="str">
        <f>IFERROR(_xlfn.XLOOKUP(F2941,ccustos!A:A,ccustos!B:B),"Sem termo")</f>
        <v>CGTI</v>
      </c>
    </row>
    <row r="2942" spans="1:10" ht="36.75" customHeight="1" x14ac:dyDescent="0.25">
      <c r="A2942" s="14">
        <v>14748</v>
      </c>
      <c r="B2942" s="7" t="s">
        <v>236</v>
      </c>
      <c r="C2942" s="7" t="s">
        <v>1666</v>
      </c>
      <c r="D2942" s="7" t="s">
        <v>1667</v>
      </c>
      <c r="E2942" s="7" t="s">
        <v>1245</v>
      </c>
      <c r="F2942" s="7" t="s">
        <v>84</v>
      </c>
      <c r="G2942" s="7" t="s">
        <v>1664</v>
      </c>
      <c r="H2942" s="15">
        <v>414194.69</v>
      </c>
      <c r="I2942" s="15">
        <v>414194.69</v>
      </c>
      <c r="J2942" s="7" t="str">
        <f>IFERROR(_xlfn.XLOOKUP(F2942,ccustos!A:A,ccustos!B:B),"Sem termo")</f>
        <v>DEINFRA</v>
      </c>
    </row>
    <row r="2943" spans="1:10" ht="36.75" customHeight="1" x14ac:dyDescent="0.25">
      <c r="A2943" s="16">
        <v>14749</v>
      </c>
      <c r="B2943" s="17" t="s">
        <v>236</v>
      </c>
      <c r="C2943" s="17" t="s">
        <v>1530</v>
      </c>
      <c r="D2943" s="17" t="s">
        <v>1668</v>
      </c>
      <c r="E2943" s="17" t="s">
        <v>1532</v>
      </c>
      <c r="F2943" s="17" t="s">
        <v>183</v>
      </c>
      <c r="G2943" s="17" t="s">
        <v>1664</v>
      </c>
      <c r="H2943" s="18">
        <v>561553.99</v>
      </c>
      <c r="I2943" s="18">
        <v>561553.99</v>
      </c>
      <c r="J2943" s="7" t="str">
        <f>IFERROR(_xlfn.XLOOKUP(F2943,ccustos!A:A,ccustos!B:B),"Sem termo")</f>
        <v>CGTI</v>
      </c>
    </row>
    <row r="2944" spans="1:10" ht="36.75" customHeight="1" x14ac:dyDescent="0.25">
      <c r="A2944" s="14">
        <v>14750</v>
      </c>
      <c r="B2944" s="7" t="s">
        <v>236</v>
      </c>
      <c r="C2944" s="7" t="s">
        <v>1530</v>
      </c>
      <c r="D2944" s="7" t="s">
        <v>1669</v>
      </c>
      <c r="E2944" s="7" t="s">
        <v>1532</v>
      </c>
      <c r="F2944" s="7" t="s">
        <v>183</v>
      </c>
      <c r="G2944" s="7" t="s">
        <v>1664</v>
      </c>
      <c r="H2944" s="15">
        <v>204772.88</v>
      </c>
      <c r="I2944" s="15">
        <v>204772.88</v>
      </c>
      <c r="J2944" s="7" t="str">
        <f>IFERROR(_xlfn.XLOOKUP(F2944,ccustos!A:A,ccustos!B:B),"Sem termo")</f>
        <v>CGTI</v>
      </c>
    </row>
    <row r="2945" spans="1:10" ht="36.75" customHeight="1" x14ac:dyDescent="0.25">
      <c r="A2945" s="16">
        <v>14751</v>
      </c>
      <c r="B2945" s="17" t="s">
        <v>236</v>
      </c>
      <c r="C2945" s="17" t="s">
        <v>1530</v>
      </c>
      <c r="D2945" s="17" t="s">
        <v>1670</v>
      </c>
      <c r="E2945" s="17" t="s">
        <v>1532</v>
      </c>
      <c r="F2945" s="17" t="s">
        <v>183</v>
      </c>
      <c r="G2945" s="17" t="s">
        <v>1664</v>
      </c>
      <c r="H2945" s="18">
        <v>210899.63</v>
      </c>
      <c r="I2945" s="18">
        <v>210899.63</v>
      </c>
      <c r="J2945" s="7" t="str">
        <f>IFERROR(_xlfn.XLOOKUP(F2945,ccustos!A:A,ccustos!B:B),"Sem termo")</f>
        <v>CGTI</v>
      </c>
    </row>
    <row r="2946" spans="1:10" ht="36.75" customHeight="1" x14ac:dyDescent="0.25">
      <c r="A2946" s="14">
        <v>14754</v>
      </c>
      <c r="B2946" s="7" t="s">
        <v>236</v>
      </c>
      <c r="C2946" s="7" t="s">
        <v>1408</v>
      </c>
      <c r="D2946" s="7" t="s">
        <v>1671</v>
      </c>
      <c r="E2946" s="7" t="s">
        <v>1410</v>
      </c>
      <c r="F2946" s="7" t="s">
        <v>1411</v>
      </c>
      <c r="G2946" s="7" t="s">
        <v>1664</v>
      </c>
      <c r="H2946" s="15">
        <v>464891.88</v>
      </c>
      <c r="I2946" s="15">
        <v>464891.88</v>
      </c>
      <c r="J2946" s="7" t="str">
        <f>IFERROR(_xlfn.XLOOKUP(F2946,ccustos!A:A,ccustos!B:B),"Sem termo")</f>
        <v>Sem termo</v>
      </c>
    </row>
    <row r="2947" spans="1:10" ht="36.75" customHeight="1" x14ac:dyDescent="0.25">
      <c r="A2947" s="16">
        <v>14755</v>
      </c>
      <c r="B2947" s="17" t="s">
        <v>236</v>
      </c>
      <c r="C2947" s="17" t="s">
        <v>1238</v>
      </c>
      <c r="D2947" s="17" t="s">
        <v>1672</v>
      </c>
      <c r="E2947" s="17" t="s">
        <v>1240</v>
      </c>
      <c r="F2947" s="17" t="s">
        <v>7</v>
      </c>
      <c r="G2947" s="17" t="s">
        <v>1673</v>
      </c>
      <c r="H2947" s="18">
        <v>4450000</v>
      </c>
      <c r="I2947" s="18">
        <v>4450000</v>
      </c>
      <c r="J2947" s="7" t="str">
        <f>IFERROR(_xlfn.XLOOKUP(F2947,ccustos!A:A,ccustos!B:B),"Sem termo")</f>
        <v>SEPAT</v>
      </c>
    </row>
    <row r="2948" spans="1:10" ht="36.75" customHeight="1" x14ac:dyDescent="0.25">
      <c r="A2948" s="14">
        <v>14756</v>
      </c>
      <c r="B2948" s="7" t="s">
        <v>236</v>
      </c>
      <c r="C2948" s="7" t="s">
        <v>1408</v>
      </c>
      <c r="D2948" s="7" t="s">
        <v>1674</v>
      </c>
      <c r="E2948" s="7" t="s">
        <v>1410</v>
      </c>
      <c r="F2948" s="7" t="s">
        <v>183</v>
      </c>
      <c r="G2948" s="7" t="s">
        <v>1664</v>
      </c>
      <c r="H2948" s="15">
        <v>43471</v>
      </c>
      <c r="I2948" s="15">
        <v>43741</v>
      </c>
      <c r="J2948" s="7" t="str">
        <f>IFERROR(_xlfn.XLOOKUP(F2948,ccustos!A:A,ccustos!B:B),"Sem termo")</f>
        <v>CGTI</v>
      </c>
    </row>
    <row r="2949" spans="1:10" ht="36.75" customHeight="1" x14ac:dyDescent="0.25">
      <c r="A2949" s="16">
        <v>14757</v>
      </c>
      <c r="B2949" s="17" t="s">
        <v>236</v>
      </c>
      <c r="C2949" s="17" t="s">
        <v>1209</v>
      </c>
      <c r="D2949" s="17" t="s">
        <v>1675</v>
      </c>
      <c r="E2949" s="17" t="s">
        <v>250</v>
      </c>
      <c r="F2949" s="17" t="s">
        <v>78</v>
      </c>
      <c r="G2949" s="17" t="s">
        <v>1676</v>
      </c>
      <c r="H2949" s="18">
        <v>14999.67</v>
      </c>
      <c r="I2949" s="18">
        <v>14999.67</v>
      </c>
      <c r="J2949" s="7" t="str">
        <f>IFERROR(_xlfn.XLOOKUP(F2949,ccustos!A:A,ccustos!B:B),"Sem termo")</f>
        <v>CGTI</v>
      </c>
    </row>
    <row r="2950" spans="1:10" ht="36.75" customHeight="1" x14ac:dyDescent="0.25">
      <c r="A2950" s="14">
        <v>14758</v>
      </c>
      <c r="B2950" s="7" t="s">
        <v>236</v>
      </c>
      <c r="C2950" s="7" t="s">
        <v>1209</v>
      </c>
      <c r="D2950" s="7" t="s">
        <v>1675</v>
      </c>
      <c r="E2950" s="7" t="s">
        <v>250</v>
      </c>
      <c r="F2950" s="7" t="s">
        <v>78</v>
      </c>
      <c r="G2950" s="7" t="s">
        <v>1676</v>
      </c>
      <c r="H2950" s="15">
        <v>14999.67</v>
      </c>
      <c r="I2950" s="15">
        <v>14999.67</v>
      </c>
      <c r="J2950" s="7" t="str">
        <f>IFERROR(_xlfn.XLOOKUP(F2950,ccustos!A:A,ccustos!B:B),"Sem termo")</f>
        <v>CGTI</v>
      </c>
    </row>
    <row r="2951" spans="1:10" ht="36.75" customHeight="1" x14ac:dyDescent="0.25">
      <c r="A2951" s="16">
        <v>14759</v>
      </c>
      <c r="B2951" s="17" t="s">
        <v>236</v>
      </c>
      <c r="C2951" s="17" t="s">
        <v>1209</v>
      </c>
      <c r="D2951" s="17" t="s">
        <v>1677</v>
      </c>
      <c r="E2951" s="17" t="s">
        <v>250</v>
      </c>
      <c r="F2951" s="17" t="s">
        <v>78</v>
      </c>
      <c r="G2951" s="17" t="s">
        <v>1676</v>
      </c>
      <c r="H2951" s="18">
        <v>14999.66</v>
      </c>
      <c r="I2951" s="18">
        <v>14999.66</v>
      </c>
      <c r="J2951" s="7" t="str">
        <f>IFERROR(_xlfn.XLOOKUP(F2951,ccustos!A:A,ccustos!B:B),"Sem termo")</f>
        <v>CGTI</v>
      </c>
    </row>
    <row r="2952" spans="1:10" ht="36.75" customHeight="1" x14ac:dyDescent="0.25">
      <c r="A2952" s="14">
        <v>14760</v>
      </c>
      <c r="B2952" s="7" t="s">
        <v>236</v>
      </c>
      <c r="C2952" s="7" t="s">
        <v>612</v>
      </c>
      <c r="D2952" s="7" t="s">
        <v>1678</v>
      </c>
      <c r="E2952" s="7" t="s">
        <v>335</v>
      </c>
      <c r="F2952" s="7" t="s">
        <v>83</v>
      </c>
      <c r="G2952" s="7" t="s">
        <v>1679</v>
      </c>
      <c r="H2952" s="15">
        <v>2088</v>
      </c>
      <c r="I2952" s="15">
        <v>2088</v>
      </c>
      <c r="J2952" s="7" t="str">
        <f>IFERROR(_xlfn.XLOOKUP(F2952,ccustos!A:A,ccustos!B:B),"Sem termo")</f>
        <v>GABIN</v>
      </c>
    </row>
    <row r="2953" spans="1:10" ht="36.75" customHeight="1" x14ac:dyDescent="0.25">
      <c r="A2953" s="16">
        <v>14761</v>
      </c>
      <c r="B2953" s="17" t="s">
        <v>236</v>
      </c>
      <c r="C2953" s="17" t="s">
        <v>612</v>
      </c>
      <c r="D2953" s="17" t="s">
        <v>1680</v>
      </c>
      <c r="E2953" s="17" t="s">
        <v>335</v>
      </c>
      <c r="F2953" s="17" t="s">
        <v>56</v>
      </c>
      <c r="G2953" s="17" t="s">
        <v>1679</v>
      </c>
      <c r="H2953" s="18">
        <v>2088</v>
      </c>
      <c r="I2953" s="18">
        <v>2088</v>
      </c>
      <c r="J2953" s="7" t="str">
        <f>IFERROR(_xlfn.XLOOKUP(F2953,ccustos!A:A,ccustos!B:B),"Sem termo")</f>
        <v>SEPROT</v>
      </c>
    </row>
    <row r="2954" spans="1:10" ht="36.75" customHeight="1" x14ac:dyDescent="0.25">
      <c r="A2954" s="14">
        <v>14762</v>
      </c>
      <c r="B2954" s="7" t="s">
        <v>236</v>
      </c>
      <c r="C2954" s="7" t="s">
        <v>612</v>
      </c>
      <c r="D2954" s="7" t="s">
        <v>1681</v>
      </c>
      <c r="E2954" s="7" t="s">
        <v>335</v>
      </c>
      <c r="F2954" s="7" t="s">
        <v>56</v>
      </c>
      <c r="G2954" s="7" t="s">
        <v>1679</v>
      </c>
      <c r="H2954" s="15">
        <v>2088</v>
      </c>
      <c r="I2954" s="15">
        <v>2088</v>
      </c>
      <c r="J2954" s="7" t="str">
        <f>IFERROR(_xlfn.XLOOKUP(F2954,ccustos!A:A,ccustos!B:B),"Sem termo")</f>
        <v>SEPROT</v>
      </c>
    </row>
    <row r="2955" spans="1:10" ht="36.75" customHeight="1" x14ac:dyDescent="0.25">
      <c r="A2955" s="16">
        <v>14763</v>
      </c>
      <c r="B2955" s="17" t="s">
        <v>236</v>
      </c>
      <c r="C2955" s="17" t="s">
        <v>612</v>
      </c>
      <c r="D2955" s="17" t="s">
        <v>1682</v>
      </c>
      <c r="E2955" s="17" t="s">
        <v>335</v>
      </c>
      <c r="F2955" s="17" t="s">
        <v>56</v>
      </c>
      <c r="G2955" s="17" t="s">
        <v>1679</v>
      </c>
      <c r="H2955" s="18">
        <v>2088</v>
      </c>
      <c r="I2955" s="18">
        <v>2088</v>
      </c>
      <c r="J2955" s="7" t="str">
        <f>IFERROR(_xlfn.XLOOKUP(F2955,ccustos!A:A,ccustos!B:B),"Sem termo")</f>
        <v>SEPROT</v>
      </c>
    </row>
    <row r="2956" spans="1:10" ht="36.75" customHeight="1" x14ac:dyDescent="0.25">
      <c r="A2956" s="14">
        <v>14764</v>
      </c>
      <c r="B2956" s="7" t="s">
        <v>236</v>
      </c>
      <c r="C2956" s="7" t="s">
        <v>1408</v>
      </c>
      <c r="D2956" s="7" t="s">
        <v>1683</v>
      </c>
      <c r="E2956" s="7" t="s">
        <v>1410</v>
      </c>
      <c r="F2956" s="7" t="s">
        <v>183</v>
      </c>
      <c r="G2956" s="7" t="s">
        <v>1684</v>
      </c>
      <c r="H2956" s="15">
        <v>531222.30000000005</v>
      </c>
      <c r="I2956" s="15">
        <v>531222.30000000005</v>
      </c>
      <c r="J2956" s="7" t="str">
        <f>IFERROR(_xlfn.XLOOKUP(F2956,ccustos!A:A,ccustos!B:B),"Sem termo")</f>
        <v>CGTI</v>
      </c>
    </row>
    <row r="2957" spans="1:10" ht="36.75" customHeight="1" x14ac:dyDescent="0.25">
      <c r="A2957" s="16">
        <v>14765</v>
      </c>
      <c r="B2957" s="17" t="s">
        <v>236</v>
      </c>
      <c r="C2957" s="17" t="s">
        <v>1526</v>
      </c>
      <c r="D2957" s="17" t="s">
        <v>1685</v>
      </c>
      <c r="E2957" s="17" t="s">
        <v>335</v>
      </c>
      <c r="F2957" s="17" t="s">
        <v>190</v>
      </c>
      <c r="G2957" s="17" t="s">
        <v>1686</v>
      </c>
      <c r="H2957" s="18">
        <v>4350</v>
      </c>
      <c r="I2957" s="18">
        <v>4350</v>
      </c>
      <c r="J2957" s="7" t="str">
        <f>IFERROR(_xlfn.XLOOKUP(F2957,ccustos!A:A,ccustos!B:B),"Sem termo")</f>
        <v>TERMOS INDIVIDUAIS</v>
      </c>
    </row>
    <row r="2958" spans="1:10" ht="36.75" customHeight="1" x14ac:dyDescent="0.25">
      <c r="A2958" s="14">
        <v>14766</v>
      </c>
      <c r="B2958" s="7" t="s">
        <v>236</v>
      </c>
      <c r="C2958" s="7" t="s">
        <v>1526</v>
      </c>
      <c r="D2958" s="7" t="s">
        <v>1687</v>
      </c>
      <c r="E2958" s="7" t="s">
        <v>335</v>
      </c>
      <c r="F2958" s="7" t="s">
        <v>190</v>
      </c>
      <c r="G2958" s="7" t="s">
        <v>1686</v>
      </c>
      <c r="H2958" s="15">
        <v>4878.99</v>
      </c>
      <c r="I2958" s="15">
        <v>4878.99</v>
      </c>
      <c r="J2958" s="7" t="str">
        <f>IFERROR(_xlfn.XLOOKUP(F2958,ccustos!A:A,ccustos!B:B),"Sem termo")</f>
        <v>TERMOS INDIVIDUAIS</v>
      </c>
    </row>
    <row r="2959" spans="1:10" ht="36.75" customHeight="1" x14ac:dyDescent="0.25">
      <c r="A2959" s="16">
        <v>14767</v>
      </c>
      <c r="B2959" s="17" t="s">
        <v>236</v>
      </c>
      <c r="C2959" s="17" t="s">
        <v>1209</v>
      </c>
      <c r="D2959" s="17" t="s">
        <v>1688</v>
      </c>
      <c r="E2959" s="17" t="s">
        <v>250</v>
      </c>
      <c r="F2959" s="17" t="s">
        <v>1125</v>
      </c>
      <c r="G2959" s="17" t="s">
        <v>1689</v>
      </c>
      <c r="H2959" s="18">
        <v>13478.54</v>
      </c>
      <c r="I2959" s="18">
        <v>13478.54</v>
      </c>
      <c r="J2959" s="7" t="str">
        <f>IFERROR(_xlfn.XLOOKUP(F2959,ccustos!A:A,ccustos!B:B),"Sem termo")</f>
        <v>Sem termo</v>
      </c>
    </row>
    <row r="2960" spans="1:10" ht="36.75" customHeight="1" x14ac:dyDescent="0.25">
      <c r="A2960" s="14">
        <v>14768</v>
      </c>
      <c r="B2960" s="7" t="s">
        <v>236</v>
      </c>
      <c r="C2960" s="7" t="s">
        <v>1526</v>
      </c>
      <c r="D2960" s="7" t="s">
        <v>1690</v>
      </c>
      <c r="E2960" s="7" t="s">
        <v>335</v>
      </c>
      <c r="F2960" s="7" t="s">
        <v>190</v>
      </c>
      <c r="G2960" s="7" t="s">
        <v>1691</v>
      </c>
      <c r="H2960" s="15">
        <v>10499</v>
      </c>
      <c r="I2960" s="15">
        <v>10499</v>
      </c>
      <c r="J2960" s="7" t="str">
        <f>IFERROR(_xlfn.XLOOKUP(F2960,ccustos!A:A,ccustos!B:B),"Sem termo")</f>
        <v>TERMOS INDIVIDUAIS</v>
      </c>
    </row>
    <row r="2961" spans="1:10" ht="36.75" customHeight="1" x14ac:dyDescent="0.25">
      <c r="A2961" s="16">
        <v>14769</v>
      </c>
      <c r="B2961" s="17" t="s">
        <v>236</v>
      </c>
      <c r="C2961" s="17" t="s">
        <v>1526</v>
      </c>
      <c r="D2961" s="17" t="s">
        <v>1692</v>
      </c>
      <c r="E2961" s="17" t="s">
        <v>335</v>
      </c>
      <c r="F2961" s="17" t="s">
        <v>190</v>
      </c>
      <c r="G2961" s="17" t="s">
        <v>1691</v>
      </c>
      <c r="H2961" s="18">
        <v>10499</v>
      </c>
      <c r="I2961" s="18">
        <v>10499</v>
      </c>
      <c r="J2961" s="7" t="str">
        <f>IFERROR(_xlfn.XLOOKUP(F2961,ccustos!A:A,ccustos!B:B),"Sem termo")</f>
        <v>TERMOS INDIVIDUAIS</v>
      </c>
    </row>
    <row r="2962" spans="1:10" ht="36.75" customHeight="1" x14ac:dyDescent="0.25">
      <c r="A2962" s="14">
        <v>14770</v>
      </c>
      <c r="B2962" s="7" t="s">
        <v>236</v>
      </c>
      <c r="C2962" s="7" t="s">
        <v>1271</v>
      </c>
      <c r="D2962" s="7" t="s">
        <v>1693</v>
      </c>
      <c r="E2962" s="7" t="s">
        <v>335</v>
      </c>
      <c r="F2962" s="7" t="s">
        <v>190</v>
      </c>
      <c r="G2962" s="7" t="s">
        <v>1694</v>
      </c>
      <c r="H2962" s="15">
        <v>10780</v>
      </c>
      <c r="I2962" s="15">
        <v>10780</v>
      </c>
      <c r="J2962" s="7" t="str">
        <f>IFERROR(_xlfn.XLOOKUP(F2962,ccustos!A:A,ccustos!B:B),"Sem termo")</f>
        <v>TERMOS INDIVIDUAIS</v>
      </c>
    </row>
    <row r="2963" spans="1:10" ht="36.75" customHeight="1" x14ac:dyDescent="0.25">
      <c r="A2963" s="16">
        <v>14771</v>
      </c>
      <c r="B2963" s="17" t="s">
        <v>236</v>
      </c>
      <c r="C2963" s="17" t="s">
        <v>1271</v>
      </c>
      <c r="D2963" s="17" t="s">
        <v>1695</v>
      </c>
      <c r="E2963" s="17" t="s">
        <v>335</v>
      </c>
      <c r="F2963" s="17" t="s">
        <v>20</v>
      </c>
      <c r="G2963" s="17" t="s">
        <v>1694</v>
      </c>
      <c r="H2963" s="18">
        <v>10780</v>
      </c>
      <c r="I2963" s="18">
        <v>10780</v>
      </c>
      <c r="J2963" s="7" t="str">
        <f>IFERROR(_xlfn.XLOOKUP(F2963,ccustos!A:A,ccustos!B:B),"Sem termo")</f>
        <v>CGTI</v>
      </c>
    </row>
    <row r="2964" spans="1:10" ht="36.75" customHeight="1" x14ac:dyDescent="0.25">
      <c r="A2964" s="14">
        <v>14772</v>
      </c>
      <c r="B2964" s="7" t="s">
        <v>236</v>
      </c>
      <c r="C2964" s="7" t="s">
        <v>1271</v>
      </c>
      <c r="D2964" s="7" t="s">
        <v>1696</v>
      </c>
      <c r="E2964" s="7" t="s">
        <v>335</v>
      </c>
      <c r="F2964" s="7" t="s">
        <v>190</v>
      </c>
      <c r="G2964" s="7" t="s">
        <v>1694</v>
      </c>
      <c r="H2964" s="15">
        <v>10780</v>
      </c>
      <c r="I2964" s="15">
        <v>10780</v>
      </c>
      <c r="J2964" s="7" t="str">
        <f>IFERROR(_xlfn.XLOOKUP(F2964,ccustos!A:A,ccustos!B:B),"Sem termo")</f>
        <v>TERMOS INDIVIDUAIS</v>
      </c>
    </row>
    <row r="2965" spans="1:10" ht="36.75" customHeight="1" x14ac:dyDescent="0.25">
      <c r="A2965" s="16">
        <v>14773</v>
      </c>
      <c r="B2965" s="17" t="s">
        <v>236</v>
      </c>
      <c r="C2965" s="17" t="s">
        <v>1271</v>
      </c>
      <c r="D2965" s="17" t="s">
        <v>1697</v>
      </c>
      <c r="E2965" s="17" t="s">
        <v>335</v>
      </c>
      <c r="F2965" s="17" t="s">
        <v>20</v>
      </c>
      <c r="G2965" s="17" t="s">
        <v>1694</v>
      </c>
      <c r="H2965" s="18">
        <v>10780</v>
      </c>
      <c r="I2965" s="18">
        <v>10780</v>
      </c>
      <c r="J2965" s="7" t="str">
        <f>IFERROR(_xlfn.XLOOKUP(F2965,ccustos!A:A,ccustos!B:B),"Sem termo")</f>
        <v>CGTI</v>
      </c>
    </row>
    <row r="2966" spans="1:10" ht="36.75" customHeight="1" x14ac:dyDescent="0.25">
      <c r="A2966" s="14">
        <v>14774</v>
      </c>
      <c r="B2966" s="7" t="s">
        <v>236</v>
      </c>
      <c r="C2966" s="7" t="s">
        <v>1271</v>
      </c>
      <c r="D2966" s="7" t="s">
        <v>1698</v>
      </c>
      <c r="E2966" s="7" t="s">
        <v>335</v>
      </c>
      <c r="F2966" s="7" t="s">
        <v>20</v>
      </c>
      <c r="G2966" s="7" t="s">
        <v>1694</v>
      </c>
      <c r="H2966" s="15">
        <v>10780</v>
      </c>
      <c r="I2966" s="15">
        <v>10780</v>
      </c>
      <c r="J2966" s="7" t="str">
        <f>IFERROR(_xlfn.XLOOKUP(F2966,ccustos!A:A,ccustos!B:B),"Sem termo")</f>
        <v>CGTI</v>
      </c>
    </row>
    <row r="2967" spans="1:10" ht="36.75" customHeight="1" x14ac:dyDescent="0.25">
      <c r="A2967" s="16">
        <v>14775</v>
      </c>
      <c r="B2967" s="17" t="s">
        <v>236</v>
      </c>
      <c r="C2967" s="17" t="s">
        <v>1271</v>
      </c>
      <c r="D2967" s="17" t="s">
        <v>1699</v>
      </c>
      <c r="E2967" s="17" t="s">
        <v>335</v>
      </c>
      <c r="F2967" s="17" t="s">
        <v>20</v>
      </c>
      <c r="G2967" s="17" t="s">
        <v>1694</v>
      </c>
      <c r="H2967" s="18">
        <v>10780</v>
      </c>
      <c r="I2967" s="18">
        <v>10780</v>
      </c>
      <c r="J2967" s="7" t="str">
        <f>IFERROR(_xlfn.XLOOKUP(F2967,ccustos!A:A,ccustos!B:B),"Sem termo")</f>
        <v>CGTI</v>
      </c>
    </row>
    <row r="2968" spans="1:10" ht="36.75" customHeight="1" x14ac:dyDescent="0.25">
      <c r="A2968" s="14">
        <v>14776</v>
      </c>
      <c r="B2968" s="7" t="s">
        <v>236</v>
      </c>
      <c r="C2968" s="7" t="s">
        <v>1271</v>
      </c>
      <c r="D2968" s="7" t="s">
        <v>1700</v>
      </c>
      <c r="E2968" s="7" t="s">
        <v>335</v>
      </c>
      <c r="F2968" s="7" t="s">
        <v>20</v>
      </c>
      <c r="G2968" s="7" t="s">
        <v>1694</v>
      </c>
      <c r="H2968" s="15">
        <v>10780</v>
      </c>
      <c r="I2968" s="15">
        <v>10780</v>
      </c>
      <c r="J2968" s="7" t="str">
        <f>IFERROR(_xlfn.XLOOKUP(F2968,ccustos!A:A,ccustos!B:B),"Sem termo")</f>
        <v>CGTI</v>
      </c>
    </row>
    <row r="2969" spans="1:10" ht="36.75" customHeight="1" x14ac:dyDescent="0.25">
      <c r="A2969" s="16">
        <v>14777</v>
      </c>
      <c r="B2969" s="17" t="s">
        <v>236</v>
      </c>
      <c r="C2969" s="17" t="s">
        <v>1271</v>
      </c>
      <c r="D2969" s="17" t="s">
        <v>1701</v>
      </c>
      <c r="E2969" s="17" t="s">
        <v>335</v>
      </c>
      <c r="F2969" s="17" t="s">
        <v>20</v>
      </c>
      <c r="G2969" s="17" t="s">
        <v>1694</v>
      </c>
      <c r="H2969" s="18">
        <v>10780</v>
      </c>
      <c r="I2969" s="18">
        <v>10780</v>
      </c>
      <c r="J2969" s="7" t="str">
        <f>IFERROR(_xlfn.XLOOKUP(F2969,ccustos!A:A,ccustos!B:B),"Sem termo")</f>
        <v>CGTI</v>
      </c>
    </row>
    <row r="2970" spans="1:10" ht="36.75" customHeight="1" x14ac:dyDescent="0.25">
      <c r="A2970" s="14">
        <v>14778</v>
      </c>
      <c r="B2970" s="7" t="s">
        <v>236</v>
      </c>
      <c r="C2970" s="7" t="s">
        <v>1271</v>
      </c>
      <c r="D2970" s="7" t="s">
        <v>1702</v>
      </c>
      <c r="E2970" s="7" t="s">
        <v>335</v>
      </c>
      <c r="F2970" s="7" t="s">
        <v>20</v>
      </c>
      <c r="G2970" s="7" t="s">
        <v>1694</v>
      </c>
      <c r="H2970" s="15">
        <v>10780</v>
      </c>
      <c r="I2970" s="15">
        <v>10780</v>
      </c>
      <c r="J2970" s="7" t="str">
        <f>IFERROR(_xlfn.XLOOKUP(F2970,ccustos!A:A,ccustos!B:B),"Sem termo")</f>
        <v>CGTI</v>
      </c>
    </row>
    <row r="2971" spans="1:10" ht="36.75" customHeight="1" x14ac:dyDescent="0.25">
      <c r="A2971" s="16">
        <v>14779</v>
      </c>
      <c r="B2971" s="17" t="s">
        <v>236</v>
      </c>
      <c r="C2971" s="17" t="s">
        <v>1271</v>
      </c>
      <c r="D2971" s="17" t="s">
        <v>1703</v>
      </c>
      <c r="E2971" s="17" t="s">
        <v>335</v>
      </c>
      <c r="F2971" s="17" t="s">
        <v>20</v>
      </c>
      <c r="G2971" s="17" t="s">
        <v>1694</v>
      </c>
      <c r="H2971" s="18">
        <v>10780</v>
      </c>
      <c r="I2971" s="18">
        <v>10780</v>
      </c>
      <c r="J2971" s="7" t="str">
        <f>IFERROR(_xlfn.XLOOKUP(F2971,ccustos!A:A,ccustos!B:B),"Sem termo")</f>
        <v>CGTI</v>
      </c>
    </row>
    <row r="2972" spans="1:10" ht="36.75" customHeight="1" x14ac:dyDescent="0.25">
      <c r="A2972" s="14">
        <v>14780</v>
      </c>
      <c r="B2972" s="7" t="s">
        <v>236</v>
      </c>
      <c r="C2972" s="7" t="s">
        <v>1271</v>
      </c>
      <c r="D2972" s="7" t="s">
        <v>1704</v>
      </c>
      <c r="E2972" s="7" t="s">
        <v>335</v>
      </c>
      <c r="F2972" s="7" t="s">
        <v>20</v>
      </c>
      <c r="G2972" s="7" t="s">
        <v>1694</v>
      </c>
      <c r="H2972" s="15">
        <v>10780</v>
      </c>
      <c r="I2972" s="15">
        <v>10780</v>
      </c>
      <c r="J2972" s="7" t="str">
        <f>IFERROR(_xlfn.XLOOKUP(F2972,ccustos!A:A,ccustos!B:B),"Sem termo")</f>
        <v>CGTI</v>
      </c>
    </row>
    <row r="2973" spans="1:10" ht="36.75" customHeight="1" x14ac:dyDescent="0.25">
      <c r="A2973" s="16">
        <v>14781</v>
      </c>
      <c r="B2973" s="17" t="s">
        <v>236</v>
      </c>
      <c r="C2973" s="17" t="s">
        <v>1271</v>
      </c>
      <c r="D2973" s="17" t="s">
        <v>1705</v>
      </c>
      <c r="E2973" s="17" t="s">
        <v>335</v>
      </c>
      <c r="F2973" s="17" t="s">
        <v>20</v>
      </c>
      <c r="G2973" s="17" t="s">
        <v>1694</v>
      </c>
      <c r="H2973" s="18">
        <v>10780</v>
      </c>
      <c r="I2973" s="18">
        <v>10780</v>
      </c>
      <c r="J2973" s="7" t="str">
        <f>IFERROR(_xlfn.XLOOKUP(F2973,ccustos!A:A,ccustos!B:B),"Sem termo")</f>
        <v>CGTI</v>
      </c>
    </row>
    <row r="2974" spans="1:10" ht="36.75" customHeight="1" x14ac:dyDescent="0.25">
      <c r="A2974" s="14">
        <v>14782</v>
      </c>
      <c r="B2974" s="7" t="s">
        <v>236</v>
      </c>
      <c r="C2974" s="7" t="s">
        <v>1271</v>
      </c>
      <c r="D2974" s="7" t="s">
        <v>1706</v>
      </c>
      <c r="E2974" s="7" t="s">
        <v>335</v>
      </c>
      <c r="F2974" s="7" t="s">
        <v>20</v>
      </c>
      <c r="G2974" s="7" t="s">
        <v>1694</v>
      </c>
      <c r="H2974" s="15">
        <v>10780</v>
      </c>
      <c r="I2974" s="15">
        <v>10780</v>
      </c>
      <c r="J2974" s="7" t="str">
        <f>IFERROR(_xlfn.XLOOKUP(F2974,ccustos!A:A,ccustos!B:B),"Sem termo")</f>
        <v>CGTI</v>
      </c>
    </row>
    <row r="2975" spans="1:10" ht="36.75" customHeight="1" x14ac:dyDescent="0.25">
      <c r="A2975" s="16">
        <v>14783</v>
      </c>
      <c r="B2975" s="17" t="s">
        <v>236</v>
      </c>
      <c r="C2975" s="17" t="s">
        <v>333</v>
      </c>
      <c r="D2975" s="17" t="s">
        <v>1707</v>
      </c>
      <c r="E2975" s="17" t="s">
        <v>335</v>
      </c>
      <c r="F2975" s="17" t="s">
        <v>20</v>
      </c>
      <c r="G2975" s="17" t="s">
        <v>1694</v>
      </c>
      <c r="H2975" s="18">
        <v>1510</v>
      </c>
      <c r="I2975" s="18">
        <v>1510</v>
      </c>
      <c r="J2975" s="7" t="str">
        <f>IFERROR(_xlfn.XLOOKUP(F2975,ccustos!A:A,ccustos!B:B),"Sem termo")</f>
        <v>CGTI</v>
      </c>
    </row>
    <row r="2976" spans="1:10" ht="36.75" customHeight="1" x14ac:dyDescent="0.25">
      <c r="A2976" s="14">
        <v>14784</v>
      </c>
      <c r="B2976" s="7" t="s">
        <v>236</v>
      </c>
      <c r="C2976" s="7" t="s">
        <v>333</v>
      </c>
      <c r="D2976" s="7" t="s">
        <v>1708</v>
      </c>
      <c r="E2976" s="7" t="s">
        <v>335</v>
      </c>
      <c r="F2976" s="7" t="s">
        <v>205</v>
      </c>
      <c r="G2976" s="7" t="s">
        <v>1694</v>
      </c>
      <c r="H2976" s="15">
        <v>1510</v>
      </c>
      <c r="I2976" s="15">
        <v>1510</v>
      </c>
      <c r="J2976" s="7" t="str">
        <f>IFERROR(_xlfn.XLOOKUP(F2976,ccustos!A:A,ccustos!B:B),"Sem termo")</f>
        <v>CCOM</v>
      </c>
    </row>
    <row r="2977" spans="1:10" ht="36.75" customHeight="1" x14ac:dyDescent="0.25">
      <c r="A2977" s="16">
        <v>14785</v>
      </c>
      <c r="B2977" s="17" t="s">
        <v>236</v>
      </c>
      <c r="C2977" s="17" t="s">
        <v>831</v>
      </c>
      <c r="D2977" s="17" t="s">
        <v>1709</v>
      </c>
      <c r="E2977" s="17" t="s">
        <v>335</v>
      </c>
      <c r="F2977" s="17" t="s">
        <v>20</v>
      </c>
      <c r="G2977" s="17" t="s">
        <v>1694</v>
      </c>
      <c r="H2977" s="18">
        <v>13830</v>
      </c>
      <c r="I2977" s="18">
        <v>13830</v>
      </c>
      <c r="J2977" s="7" t="str">
        <f>IFERROR(_xlfn.XLOOKUP(F2977,ccustos!A:A,ccustos!B:B),"Sem termo")</f>
        <v>CGTI</v>
      </c>
    </row>
    <row r="2978" spans="1:10" ht="36.75" customHeight="1" x14ac:dyDescent="0.25">
      <c r="A2978" s="14">
        <v>14786</v>
      </c>
      <c r="B2978" s="7" t="s">
        <v>236</v>
      </c>
      <c r="C2978" s="7" t="s">
        <v>831</v>
      </c>
      <c r="D2978" s="7" t="s">
        <v>1710</v>
      </c>
      <c r="E2978" s="7" t="s">
        <v>335</v>
      </c>
      <c r="F2978" s="7" t="s">
        <v>205</v>
      </c>
      <c r="G2978" s="7" t="s">
        <v>1694</v>
      </c>
      <c r="H2978" s="15">
        <v>13830</v>
      </c>
      <c r="I2978" s="15">
        <v>13830</v>
      </c>
      <c r="J2978" s="7" t="str">
        <f>IFERROR(_xlfn.XLOOKUP(F2978,ccustos!A:A,ccustos!B:B),"Sem termo")</f>
        <v>CCOM</v>
      </c>
    </row>
    <row r="2979" spans="1:10" ht="25.5" x14ac:dyDescent="0.25">
      <c r="A2979" s="16">
        <v>14787</v>
      </c>
      <c r="B2979" s="17" t="s">
        <v>236</v>
      </c>
      <c r="C2979" s="17" t="s">
        <v>1271</v>
      </c>
      <c r="D2979" s="17" t="s">
        <v>1711</v>
      </c>
      <c r="E2979" s="17" t="s">
        <v>335</v>
      </c>
      <c r="F2979" s="17" t="s">
        <v>190</v>
      </c>
      <c r="G2979" s="17" t="s">
        <v>1712</v>
      </c>
      <c r="H2979" s="18">
        <v>5350</v>
      </c>
      <c r="I2979" s="18">
        <v>5350</v>
      </c>
      <c r="J2979" s="7" t="str">
        <f>IFERROR(_xlfn.XLOOKUP(F2979,ccustos!A:A,ccustos!B:B),"Sem termo")</f>
        <v>TERMOS INDIVIDUAIS</v>
      </c>
    </row>
    <row r="2980" spans="1:10" ht="25.5" x14ac:dyDescent="0.25">
      <c r="A2980" s="14">
        <v>14788</v>
      </c>
      <c r="B2980" s="7" t="s">
        <v>236</v>
      </c>
      <c r="C2980" s="7" t="s">
        <v>1271</v>
      </c>
      <c r="D2980" s="7" t="s">
        <v>1713</v>
      </c>
      <c r="E2980" s="7" t="s">
        <v>335</v>
      </c>
      <c r="F2980" s="7" t="s">
        <v>20</v>
      </c>
      <c r="G2980" s="7" t="s">
        <v>1712</v>
      </c>
      <c r="H2980" s="15">
        <v>5350</v>
      </c>
      <c r="I2980" s="15">
        <v>5350</v>
      </c>
      <c r="J2980" s="7" t="str">
        <f>IFERROR(_xlfn.XLOOKUP(F2980,ccustos!A:A,ccustos!B:B),"Sem termo")</f>
        <v>CGTI</v>
      </c>
    </row>
    <row r="2981" spans="1:10" ht="25.5" x14ac:dyDescent="0.25">
      <c r="A2981" s="16">
        <v>14789</v>
      </c>
      <c r="B2981" s="17" t="s">
        <v>236</v>
      </c>
      <c r="C2981" s="17" t="s">
        <v>1271</v>
      </c>
      <c r="D2981" s="17" t="s">
        <v>1714</v>
      </c>
      <c r="E2981" s="17" t="s">
        <v>335</v>
      </c>
      <c r="F2981" s="17" t="s">
        <v>190</v>
      </c>
      <c r="G2981" s="17" t="s">
        <v>1712</v>
      </c>
      <c r="H2981" s="18">
        <v>5350</v>
      </c>
      <c r="I2981" s="18">
        <v>5350</v>
      </c>
      <c r="J2981" s="7" t="str">
        <f>IFERROR(_xlfn.XLOOKUP(F2981,ccustos!A:A,ccustos!B:B),"Sem termo")</f>
        <v>TERMOS INDIVIDUAIS</v>
      </c>
    </row>
    <row r="2982" spans="1:10" ht="25.5" x14ac:dyDescent="0.25">
      <c r="A2982" s="14">
        <v>14790</v>
      </c>
      <c r="B2982" s="7" t="s">
        <v>236</v>
      </c>
      <c r="C2982" s="7" t="s">
        <v>1271</v>
      </c>
      <c r="D2982" s="7" t="s">
        <v>1715</v>
      </c>
      <c r="E2982" s="7" t="s">
        <v>335</v>
      </c>
      <c r="F2982" s="7" t="s">
        <v>20</v>
      </c>
      <c r="G2982" s="7" t="s">
        <v>1712</v>
      </c>
      <c r="H2982" s="15">
        <v>5350</v>
      </c>
      <c r="I2982" s="15">
        <v>5350</v>
      </c>
      <c r="J2982" s="7" t="str">
        <f>IFERROR(_xlfn.XLOOKUP(F2982,ccustos!A:A,ccustos!B:B),"Sem termo")</f>
        <v>CGTI</v>
      </c>
    </row>
    <row r="2983" spans="1:10" ht="25.5" x14ac:dyDescent="0.25">
      <c r="A2983" s="16">
        <v>14791</v>
      </c>
      <c r="B2983" s="17" t="s">
        <v>236</v>
      </c>
      <c r="C2983" s="17" t="s">
        <v>1271</v>
      </c>
      <c r="D2983" s="17" t="s">
        <v>1716</v>
      </c>
      <c r="E2983" s="17" t="s">
        <v>335</v>
      </c>
      <c r="F2983" s="17" t="s">
        <v>190</v>
      </c>
      <c r="G2983" s="17" t="s">
        <v>1712</v>
      </c>
      <c r="H2983" s="18">
        <v>5350</v>
      </c>
      <c r="I2983" s="18">
        <v>5350</v>
      </c>
      <c r="J2983" s="7" t="str">
        <f>IFERROR(_xlfn.XLOOKUP(F2983,ccustos!A:A,ccustos!B:B),"Sem termo")</f>
        <v>TERMOS INDIVIDUAIS</v>
      </c>
    </row>
    <row r="2984" spans="1:10" ht="25.5" x14ac:dyDescent="0.25">
      <c r="A2984" s="14">
        <v>14792</v>
      </c>
      <c r="B2984" s="7" t="s">
        <v>236</v>
      </c>
      <c r="C2984" s="7" t="s">
        <v>1271</v>
      </c>
      <c r="D2984" s="7" t="s">
        <v>1717</v>
      </c>
      <c r="E2984" s="7" t="s">
        <v>335</v>
      </c>
      <c r="F2984" s="7" t="s">
        <v>20</v>
      </c>
      <c r="G2984" s="7" t="s">
        <v>1712</v>
      </c>
      <c r="H2984" s="15">
        <v>5350</v>
      </c>
      <c r="I2984" s="15">
        <v>5350</v>
      </c>
      <c r="J2984" s="7" t="str">
        <f>IFERROR(_xlfn.XLOOKUP(F2984,ccustos!A:A,ccustos!B:B),"Sem termo")</f>
        <v>CGTI</v>
      </c>
    </row>
    <row r="2985" spans="1:10" ht="25.5" x14ac:dyDescent="0.25">
      <c r="A2985" s="16">
        <v>14793</v>
      </c>
      <c r="B2985" s="17" t="s">
        <v>236</v>
      </c>
      <c r="C2985" s="17" t="s">
        <v>1271</v>
      </c>
      <c r="D2985" s="17" t="s">
        <v>1718</v>
      </c>
      <c r="E2985" s="17" t="s">
        <v>335</v>
      </c>
      <c r="F2985" s="17" t="s">
        <v>20</v>
      </c>
      <c r="G2985" s="17" t="s">
        <v>1712</v>
      </c>
      <c r="H2985" s="18">
        <v>5350</v>
      </c>
      <c r="I2985" s="18">
        <v>5350</v>
      </c>
      <c r="J2985" s="7" t="str">
        <f>IFERROR(_xlfn.XLOOKUP(F2985,ccustos!A:A,ccustos!B:B),"Sem termo")</f>
        <v>CGTI</v>
      </c>
    </row>
    <row r="2986" spans="1:10" ht="25.5" x14ac:dyDescent="0.25">
      <c r="A2986" s="14">
        <v>14794</v>
      </c>
      <c r="B2986" s="7" t="s">
        <v>236</v>
      </c>
      <c r="C2986" s="7" t="s">
        <v>1271</v>
      </c>
      <c r="D2986" s="7" t="s">
        <v>1719</v>
      </c>
      <c r="E2986" s="7" t="s">
        <v>335</v>
      </c>
      <c r="F2986" s="7" t="s">
        <v>20</v>
      </c>
      <c r="G2986" s="7" t="s">
        <v>1712</v>
      </c>
      <c r="H2986" s="15">
        <v>5350</v>
      </c>
      <c r="I2986" s="15">
        <v>5350</v>
      </c>
      <c r="J2986" s="7" t="str">
        <f>IFERROR(_xlfn.XLOOKUP(F2986,ccustos!A:A,ccustos!B:B),"Sem termo")</f>
        <v>CGTI</v>
      </c>
    </row>
    <row r="2987" spans="1:10" ht="25.5" x14ac:dyDescent="0.25">
      <c r="A2987" s="16">
        <v>14795</v>
      </c>
      <c r="B2987" s="17" t="s">
        <v>236</v>
      </c>
      <c r="C2987" s="17" t="s">
        <v>1271</v>
      </c>
      <c r="D2987" s="17" t="s">
        <v>1720</v>
      </c>
      <c r="E2987" s="17" t="s">
        <v>335</v>
      </c>
      <c r="F2987" s="17" t="s">
        <v>20</v>
      </c>
      <c r="G2987" s="17" t="s">
        <v>1712</v>
      </c>
      <c r="H2987" s="18">
        <v>5350</v>
      </c>
      <c r="I2987" s="18">
        <v>5350</v>
      </c>
      <c r="J2987" s="7" t="str">
        <f>IFERROR(_xlfn.XLOOKUP(F2987,ccustos!A:A,ccustos!B:B),"Sem termo")</f>
        <v>CGTI</v>
      </c>
    </row>
    <row r="2988" spans="1:10" ht="25.5" x14ac:dyDescent="0.25">
      <c r="A2988" s="14">
        <v>14796</v>
      </c>
      <c r="B2988" s="7" t="s">
        <v>236</v>
      </c>
      <c r="C2988" s="7" t="s">
        <v>1271</v>
      </c>
      <c r="D2988" s="7" t="s">
        <v>1721</v>
      </c>
      <c r="E2988" s="7" t="s">
        <v>335</v>
      </c>
      <c r="F2988" s="7" t="s">
        <v>20</v>
      </c>
      <c r="G2988" s="7" t="s">
        <v>1712</v>
      </c>
      <c r="H2988" s="15">
        <v>5350</v>
      </c>
      <c r="I2988" s="15">
        <v>5350</v>
      </c>
      <c r="J2988" s="7" t="str">
        <f>IFERROR(_xlfn.XLOOKUP(F2988,ccustos!A:A,ccustos!B:B),"Sem termo")</f>
        <v>CGTI</v>
      </c>
    </row>
    <row r="2989" spans="1:10" ht="25.5" x14ac:dyDescent="0.25">
      <c r="A2989" s="16">
        <v>14797</v>
      </c>
      <c r="B2989" s="17" t="s">
        <v>236</v>
      </c>
      <c r="C2989" s="17" t="s">
        <v>1271</v>
      </c>
      <c r="D2989" s="17" t="s">
        <v>1722</v>
      </c>
      <c r="E2989" s="17" t="s">
        <v>335</v>
      </c>
      <c r="F2989" s="17" t="s">
        <v>20</v>
      </c>
      <c r="G2989" s="17" t="s">
        <v>1712</v>
      </c>
      <c r="H2989" s="18">
        <v>5350</v>
      </c>
      <c r="I2989" s="18">
        <v>5350</v>
      </c>
      <c r="J2989" s="7" t="str">
        <f>IFERROR(_xlfn.XLOOKUP(F2989,ccustos!A:A,ccustos!B:B),"Sem termo")</f>
        <v>CGTI</v>
      </c>
    </row>
    <row r="2990" spans="1:10" ht="25.5" x14ac:dyDescent="0.25">
      <c r="A2990" s="14">
        <v>14798</v>
      </c>
      <c r="B2990" s="7" t="s">
        <v>236</v>
      </c>
      <c r="C2990" s="7" t="s">
        <v>1271</v>
      </c>
      <c r="D2990" s="7" t="s">
        <v>1723</v>
      </c>
      <c r="E2990" s="7" t="s">
        <v>335</v>
      </c>
      <c r="F2990" s="7" t="s">
        <v>190</v>
      </c>
      <c r="G2990" s="7" t="s">
        <v>1712</v>
      </c>
      <c r="H2990" s="15">
        <v>5350</v>
      </c>
      <c r="I2990" s="15">
        <v>5350</v>
      </c>
      <c r="J2990" s="7" t="str">
        <f>IFERROR(_xlfn.XLOOKUP(F2990,ccustos!A:A,ccustos!B:B),"Sem termo")</f>
        <v>TERMOS INDIVIDUAIS</v>
      </c>
    </row>
    <row r="2991" spans="1:10" ht="25.5" x14ac:dyDescent="0.25">
      <c r="A2991" s="16">
        <v>14799</v>
      </c>
      <c r="B2991" s="17" t="s">
        <v>236</v>
      </c>
      <c r="C2991" s="17" t="s">
        <v>927</v>
      </c>
      <c r="D2991" s="17" t="s">
        <v>1724</v>
      </c>
      <c r="E2991" s="17" t="s">
        <v>250</v>
      </c>
      <c r="F2991" s="17" t="s">
        <v>256</v>
      </c>
      <c r="G2991" s="17" t="s">
        <v>1725</v>
      </c>
      <c r="H2991" s="18">
        <v>157.4</v>
      </c>
      <c r="I2991" s="18">
        <v>157.4</v>
      </c>
      <c r="J2991" s="7" t="str">
        <f>IFERROR(_xlfn.XLOOKUP(F2991,ccustos!A:A,ccustos!B:B),"Sem termo")</f>
        <v>Sem termo</v>
      </c>
    </row>
    <row r="2992" spans="1:10" x14ac:dyDescent="0.25">
      <c r="A2992" s="14">
        <v>14800</v>
      </c>
      <c r="B2992" s="7" t="s">
        <v>236</v>
      </c>
      <c r="C2992" s="7" t="s">
        <v>1290</v>
      </c>
      <c r="D2992" s="7" t="s">
        <v>1726</v>
      </c>
      <c r="E2992" s="7" t="s">
        <v>250</v>
      </c>
      <c r="F2992" s="7" t="s">
        <v>256</v>
      </c>
      <c r="G2992" s="7" t="s">
        <v>1725</v>
      </c>
      <c r="H2992" s="15">
        <v>569.9</v>
      </c>
      <c r="I2992" s="15">
        <v>569.9</v>
      </c>
      <c r="J2992" s="7" t="str">
        <f>IFERROR(_xlfn.XLOOKUP(F2992,ccustos!A:A,ccustos!B:B),"Sem termo")</f>
        <v>Sem termo</v>
      </c>
    </row>
    <row r="2993" spans="1:10" ht="25.5" x14ac:dyDescent="0.25">
      <c r="A2993" s="16">
        <v>14801</v>
      </c>
      <c r="B2993" s="17" t="s">
        <v>236</v>
      </c>
      <c r="C2993" s="17" t="s">
        <v>1290</v>
      </c>
      <c r="D2993" s="17" t="s">
        <v>1727</v>
      </c>
      <c r="E2993" s="17" t="s">
        <v>250</v>
      </c>
      <c r="F2993" s="17" t="s">
        <v>256</v>
      </c>
      <c r="G2993" s="17" t="s">
        <v>1725</v>
      </c>
      <c r="H2993" s="18">
        <v>119.78</v>
      </c>
      <c r="I2993" s="18">
        <v>119.78</v>
      </c>
      <c r="J2993" s="7" t="str">
        <f>IFERROR(_xlfn.XLOOKUP(F2993,ccustos!A:A,ccustos!B:B),"Sem termo")</f>
        <v>Sem termo</v>
      </c>
    </row>
    <row r="2994" spans="1:10" ht="25.5" x14ac:dyDescent="0.25">
      <c r="A2994" s="14">
        <v>14802</v>
      </c>
      <c r="B2994" s="7" t="s">
        <v>236</v>
      </c>
      <c r="C2994" s="7" t="s">
        <v>1290</v>
      </c>
      <c r="D2994" s="7" t="s">
        <v>1727</v>
      </c>
      <c r="E2994" s="7" t="s">
        <v>250</v>
      </c>
      <c r="F2994" s="7" t="s">
        <v>256</v>
      </c>
      <c r="G2994" s="7" t="s">
        <v>1725</v>
      </c>
      <c r="H2994" s="15">
        <v>119.78</v>
      </c>
      <c r="I2994" s="15">
        <v>119.78</v>
      </c>
      <c r="J2994" s="7" t="str">
        <f>IFERROR(_xlfn.XLOOKUP(F2994,ccustos!A:A,ccustos!B:B),"Sem termo")</f>
        <v>Sem termo</v>
      </c>
    </row>
    <row r="2995" spans="1:10" ht="25.5" x14ac:dyDescent="0.25">
      <c r="A2995" s="16">
        <v>14803</v>
      </c>
      <c r="B2995" s="17" t="s">
        <v>236</v>
      </c>
      <c r="C2995" s="17" t="s">
        <v>1290</v>
      </c>
      <c r="D2995" s="17" t="s">
        <v>1727</v>
      </c>
      <c r="E2995" s="17" t="s">
        <v>250</v>
      </c>
      <c r="F2995" s="17" t="s">
        <v>256</v>
      </c>
      <c r="G2995" s="17" t="s">
        <v>1725</v>
      </c>
      <c r="H2995" s="18">
        <v>119.78</v>
      </c>
      <c r="I2995" s="18">
        <v>119.78</v>
      </c>
      <c r="J2995" s="7" t="str">
        <f>IFERROR(_xlfn.XLOOKUP(F2995,ccustos!A:A,ccustos!B:B),"Sem termo")</f>
        <v>Sem termo</v>
      </c>
    </row>
    <row r="2996" spans="1:10" ht="25.5" x14ac:dyDescent="0.25">
      <c r="A2996" s="14">
        <v>14804</v>
      </c>
      <c r="B2996" s="7" t="s">
        <v>236</v>
      </c>
      <c r="C2996" s="7" t="s">
        <v>1290</v>
      </c>
      <c r="D2996" s="7" t="s">
        <v>1727</v>
      </c>
      <c r="E2996" s="7" t="s">
        <v>250</v>
      </c>
      <c r="F2996" s="7" t="s">
        <v>256</v>
      </c>
      <c r="G2996" s="7" t="s">
        <v>1725</v>
      </c>
      <c r="H2996" s="15">
        <v>119.78</v>
      </c>
      <c r="I2996" s="15">
        <v>119.78</v>
      </c>
      <c r="J2996" s="7" t="str">
        <f>IFERROR(_xlfn.XLOOKUP(F2996,ccustos!A:A,ccustos!B:B),"Sem termo")</f>
        <v>Sem termo</v>
      </c>
    </row>
    <row r="2997" spans="1:10" ht="25.5" x14ac:dyDescent="0.25">
      <c r="A2997" s="16">
        <v>14805</v>
      </c>
      <c r="B2997" s="17" t="s">
        <v>236</v>
      </c>
      <c r="C2997" s="17" t="s">
        <v>1290</v>
      </c>
      <c r="D2997" s="17" t="s">
        <v>1727</v>
      </c>
      <c r="E2997" s="17" t="s">
        <v>250</v>
      </c>
      <c r="F2997" s="17" t="s">
        <v>256</v>
      </c>
      <c r="G2997" s="17" t="s">
        <v>1725</v>
      </c>
      <c r="H2997" s="18">
        <v>119.78</v>
      </c>
      <c r="I2997" s="18">
        <v>119.78</v>
      </c>
      <c r="J2997" s="7" t="str">
        <f>IFERROR(_xlfn.XLOOKUP(F2997,ccustos!A:A,ccustos!B:B),"Sem termo")</f>
        <v>Sem termo</v>
      </c>
    </row>
    <row r="2998" spans="1:10" ht="25.5" x14ac:dyDescent="0.25">
      <c r="A2998" s="14">
        <v>14806</v>
      </c>
      <c r="B2998" s="7" t="s">
        <v>236</v>
      </c>
      <c r="C2998" s="7" t="s">
        <v>241</v>
      </c>
      <c r="D2998" s="7" t="s">
        <v>1728</v>
      </c>
      <c r="E2998" s="7" t="s">
        <v>239</v>
      </c>
      <c r="F2998" s="7" t="s">
        <v>14</v>
      </c>
      <c r="G2998" s="7" t="s">
        <v>1729</v>
      </c>
      <c r="H2998" s="15">
        <v>529</v>
      </c>
      <c r="I2998" s="15">
        <v>529</v>
      </c>
      <c r="J2998" s="7" t="str">
        <f>IFERROR(_xlfn.XLOOKUP(F2998,ccustos!A:A,ccustos!B:B),"Sem termo")</f>
        <v>SEPAT</v>
      </c>
    </row>
    <row r="2999" spans="1:10" ht="25.5" x14ac:dyDescent="0.25">
      <c r="A2999" s="16">
        <v>14807</v>
      </c>
      <c r="B2999" s="17" t="s">
        <v>236</v>
      </c>
      <c r="C2999" s="17" t="s">
        <v>241</v>
      </c>
      <c r="D2999" s="17" t="s">
        <v>1728</v>
      </c>
      <c r="E2999" s="17" t="s">
        <v>239</v>
      </c>
      <c r="F2999" s="17" t="s">
        <v>63</v>
      </c>
      <c r="G2999" s="17" t="s">
        <v>1729</v>
      </c>
      <c r="H2999" s="18">
        <v>529</v>
      </c>
      <c r="I2999" s="18">
        <v>529</v>
      </c>
      <c r="J2999" s="7" t="str">
        <f>IFERROR(_xlfn.XLOOKUP(F2999,ccustos!A:A,ccustos!B:B),"Sem termo")</f>
        <v>SEPAT</v>
      </c>
    </row>
    <row r="3000" spans="1:10" ht="25.5" x14ac:dyDescent="0.25">
      <c r="A3000" s="14">
        <v>14808</v>
      </c>
      <c r="B3000" s="7" t="s">
        <v>236</v>
      </c>
      <c r="C3000" s="7" t="s">
        <v>241</v>
      </c>
      <c r="D3000" s="7" t="s">
        <v>1728</v>
      </c>
      <c r="E3000" s="7" t="s">
        <v>239</v>
      </c>
      <c r="F3000" s="7" t="s">
        <v>63</v>
      </c>
      <c r="G3000" s="7" t="s">
        <v>1729</v>
      </c>
      <c r="H3000" s="15">
        <v>529</v>
      </c>
      <c r="I3000" s="15">
        <v>529</v>
      </c>
      <c r="J3000" s="7" t="str">
        <f>IFERROR(_xlfn.XLOOKUP(F3000,ccustos!A:A,ccustos!B:B),"Sem termo")</f>
        <v>SEPAT</v>
      </c>
    </row>
    <row r="3001" spans="1:10" ht="25.5" x14ac:dyDescent="0.25">
      <c r="A3001" s="16">
        <v>14809</v>
      </c>
      <c r="B3001" s="17" t="s">
        <v>236</v>
      </c>
      <c r="C3001" s="17" t="s">
        <v>241</v>
      </c>
      <c r="D3001" s="17" t="s">
        <v>1728</v>
      </c>
      <c r="E3001" s="17" t="s">
        <v>239</v>
      </c>
      <c r="F3001" s="17" t="s">
        <v>14</v>
      </c>
      <c r="G3001" s="17" t="s">
        <v>1729</v>
      </c>
      <c r="H3001" s="18">
        <v>529</v>
      </c>
      <c r="I3001" s="18">
        <v>529</v>
      </c>
      <c r="J3001" s="7" t="str">
        <f>IFERROR(_xlfn.XLOOKUP(F3001,ccustos!A:A,ccustos!B:B),"Sem termo")</f>
        <v>SEPAT</v>
      </c>
    </row>
    <row r="3002" spans="1:10" ht="25.5" x14ac:dyDescent="0.25">
      <c r="A3002" s="14">
        <v>14810</v>
      </c>
      <c r="B3002" s="7" t="s">
        <v>236</v>
      </c>
      <c r="C3002" s="7" t="s">
        <v>241</v>
      </c>
      <c r="D3002" s="7" t="s">
        <v>1728</v>
      </c>
      <c r="E3002" s="7" t="s">
        <v>239</v>
      </c>
      <c r="F3002" s="7" t="s">
        <v>1125</v>
      </c>
      <c r="G3002" s="7" t="s">
        <v>1729</v>
      </c>
      <c r="H3002" s="15">
        <v>529</v>
      </c>
      <c r="I3002" s="15">
        <v>529</v>
      </c>
      <c r="J3002" s="7" t="str">
        <f>IFERROR(_xlfn.XLOOKUP(F3002,ccustos!A:A,ccustos!B:B),"Sem termo")</f>
        <v>Sem termo</v>
      </c>
    </row>
    <row r="3003" spans="1:10" ht="25.5" x14ac:dyDescent="0.25">
      <c r="A3003" s="16">
        <v>14811</v>
      </c>
      <c r="B3003" s="17" t="s">
        <v>236</v>
      </c>
      <c r="C3003" s="17" t="s">
        <v>241</v>
      </c>
      <c r="D3003" s="17" t="s">
        <v>1728</v>
      </c>
      <c r="E3003" s="17" t="s">
        <v>239</v>
      </c>
      <c r="F3003" s="17" t="s">
        <v>1125</v>
      </c>
      <c r="G3003" s="17" t="s">
        <v>1729</v>
      </c>
      <c r="H3003" s="18">
        <v>529</v>
      </c>
      <c r="I3003" s="18">
        <v>529</v>
      </c>
      <c r="J3003" s="7" t="str">
        <f>IFERROR(_xlfn.XLOOKUP(F3003,ccustos!A:A,ccustos!B:B),"Sem termo")</f>
        <v>Sem termo</v>
      </c>
    </row>
    <row r="3004" spans="1:10" ht="25.5" x14ac:dyDescent="0.25">
      <c r="A3004" s="14">
        <v>14812</v>
      </c>
      <c r="B3004" s="7" t="s">
        <v>236</v>
      </c>
      <c r="C3004" s="7" t="s">
        <v>241</v>
      </c>
      <c r="D3004" s="7" t="s">
        <v>1728</v>
      </c>
      <c r="E3004" s="7" t="s">
        <v>239</v>
      </c>
      <c r="F3004" s="7" t="s">
        <v>6</v>
      </c>
      <c r="G3004" s="7" t="s">
        <v>1729</v>
      </c>
      <c r="H3004" s="15">
        <v>529</v>
      </c>
      <c r="I3004" s="15">
        <v>529</v>
      </c>
      <c r="J3004" s="7" t="str">
        <f>IFERROR(_xlfn.XLOOKUP(F3004,ccustos!A:A,ccustos!B:B),"Sem termo")</f>
        <v>SEPAT</v>
      </c>
    </row>
    <row r="3005" spans="1:10" ht="25.5" x14ac:dyDescent="0.25">
      <c r="A3005" s="16">
        <v>14813</v>
      </c>
      <c r="B3005" s="17" t="s">
        <v>236</v>
      </c>
      <c r="C3005" s="17" t="s">
        <v>241</v>
      </c>
      <c r="D3005" s="17" t="s">
        <v>1728</v>
      </c>
      <c r="E3005" s="17" t="s">
        <v>239</v>
      </c>
      <c r="F3005" s="17" t="s">
        <v>6</v>
      </c>
      <c r="G3005" s="17" t="s">
        <v>1729</v>
      </c>
      <c r="H3005" s="18">
        <v>529</v>
      </c>
      <c r="I3005" s="18">
        <v>529</v>
      </c>
      <c r="J3005" s="7" t="str">
        <f>IFERROR(_xlfn.XLOOKUP(F3005,ccustos!A:A,ccustos!B:B),"Sem termo")</f>
        <v>SEPAT</v>
      </c>
    </row>
    <row r="3006" spans="1:10" ht="25.5" x14ac:dyDescent="0.25">
      <c r="A3006" s="14">
        <v>14814</v>
      </c>
      <c r="B3006" s="7" t="s">
        <v>236</v>
      </c>
      <c r="C3006" s="7" t="s">
        <v>241</v>
      </c>
      <c r="D3006" s="7" t="s">
        <v>1728</v>
      </c>
      <c r="E3006" s="7" t="s">
        <v>239</v>
      </c>
      <c r="F3006" s="7" t="s">
        <v>6</v>
      </c>
      <c r="G3006" s="7" t="s">
        <v>1729</v>
      </c>
      <c r="H3006" s="15">
        <v>529</v>
      </c>
      <c r="I3006" s="15">
        <v>529</v>
      </c>
      <c r="J3006" s="7" t="str">
        <f>IFERROR(_xlfn.XLOOKUP(F3006,ccustos!A:A,ccustos!B:B),"Sem termo")</f>
        <v>SEPAT</v>
      </c>
    </row>
    <row r="3007" spans="1:10" ht="25.5" x14ac:dyDescent="0.25">
      <c r="A3007" s="16">
        <v>14815</v>
      </c>
      <c r="B3007" s="17" t="s">
        <v>236</v>
      </c>
      <c r="C3007" s="17" t="s">
        <v>241</v>
      </c>
      <c r="D3007" s="17" t="s">
        <v>1728</v>
      </c>
      <c r="E3007" s="17" t="s">
        <v>239</v>
      </c>
      <c r="F3007" s="17" t="s">
        <v>14</v>
      </c>
      <c r="G3007" s="17" t="s">
        <v>1729</v>
      </c>
      <c r="H3007" s="18">
        <v>529</v>
      </c>
      <c r="I3007" s="18">
        <v>529</v>
      </c>
      <c r="J3007" s="7" t="str">
        <f>IFERROR(_xlfn.XLOOKUP(F3007,ccustos!A:A,ccustos!B:B),"Sem termo")</f>
        <v>SEPAT</v>
      </c>
    </row>
    <row r="3008" spans="1:10" ht="25.5" x14ac:dyDescent="0.25">
      <c r="A3008" s="14">
        <v>14816</v>
      </c>
      <c r="B3008" s="7" t="s">
        <v>236</v>
      </c>
      <c r="C3008" s="7" t="s">
        <v>241</v>
      </c>
      <c r="D3008" s="7" t="s">
        <v>1728</v>
      </c>
      <c r="E3008" s="7" t="s">
        <v>239</v>
      </c>
      <c r="F3008" s="7" t="s">
        <v>14</v>
      </c>
      <c r="G3008" s="7" t="s">
        <v>1729</v>
      </c>
      <c r="H3008" s="15">
        <v>529</v>
      </c>
      <c r="I3008" s="15">
        <v>529</v>
      </c>
      <c r="J3008" s="7" t="str">
        <f>IFERROR(_xlfn.XLOOKUP(F3008,ccustos!A:A,ccustos!B:B),"Sem termo")</f>
        <v>SEPAT</v>
      </c>
    </row>
    <row r="3009" spans="1:10" ht="25.5" x14ac:dyDescent="0.25">
      <c r="A3009" s="16">
        <v>14817</v>
      </c>
      <c r="B3009" s="17" t="s">
        <v>236</v>
      </c>
      <c r="C3009" s="17" t="s">
        <v>241</v>
      </c>
      <c r="D3009" s="17" t="s">
        <v>1728</v>
      </c>
      <c r="E3009" s="17" t="s">
        <v>239</v>
      </c>
      <c r="F3009" s="17" t="s">
        <v>6</v>
      </c>
      <c r="G3009" s="17" t="s">
        <v>1729</v>
      </c>
      <c r="H3009" s="18">
        <v>529</v>
      </c>
      <c r="I3009" s="18">
        <v>529</v>
      </c>
      <c r="J3009" s="7" t="str">
        <f>IFERROR(_xlfn.XLOOKUP(F3009,ccustos!A:A,ccustos!B:B),"Sem termo")</f>
        <v>SEPAT</v>
      </c>
    </row>
    <row r="3010" spans="1:10" ht="25.5" x14ac:dyDescent="0.25">
      <c r="A3010" s="14">
        <v>14818</v>
      </c>
      <c r="B3010" s="7" t="s">
        <v>236</v>
      </c>
      <c r="C3010" s="7" t="s">
        <v>241</v>
      </c>
      <c r="D3010" s="7" t="s">
        <v>1728</v>
      </c>
      <c r="E3010" s="7" t="s">
        <v>239</v>
      </c>
      <c r="F3010" s="7" t="s">
        <v>6</v>
      </c>
      <c r="G3010" s="7" t="s">
        <v>1729</v>
      </c>
      <c r="H3010" s="15">
        <v>529</v>
      </c>
      <c r="I3010" s="15">
        <v>529</v>
      </c>
      <c r="J3010" s="7" t="str">
        <f>IFERROR(_xlfn.XLOOKUP(F3010,ccustos!A:A,ccustos!B:B),"Sem termo")</f>
        <v>SEPAT</v>
      </c>
    </row>
    <row r="3011" spans="1:10" ht="25.5" x14ac:dyDescent="0.25">
      <c r="A3011" s="16">
        <v>14819</v>
      </c>
      <c r="B3011" s="17" t="s">
        <v>236</v>
      </c>
      <c r="C3011" s="17" t="s">
        <v>241</v>
      </c>
      <c r="D3011" s="17" t="s">
        <v>1728</v>
      </c>
      <c r="E3011" s="17" t="s">
        <v>239</v>
      </c>
      <c r="F3011" s="17" t="s">
        <v>6</v>
      </c>
      <c r="G3011" s="17" t="s">
        <v>1729</v>
      </c>
      <c r="H3011" s="18">
        <v>529</v>
      </c>
      <c r="I3011" s="18">
        <v>529</v>
      </c>
      <c r="J3011" s="7" t="str">
        <f>IFERROR(_xlfn.XLOOKUP(F3011,ccustos!A:A,ccustos!B:B),"Sem termo")</f>
        <v>SEPAT</v>
      </c>
    </row>
    <row r="3012" spans="1:10" ht="25.5" x14ac:dyDescent="0.25">
      <c r="A3012" s="14">
        <v>14820</v>
      </c>
      <c r="B3012" s="7" t="s">
        <v>236</v>
      </c>
      <c r="C3012" s="7" t="s">
        <v>241</v>
      </c>
      <c r="D3012" s="7" t="s">
        <v>1728</v>
      </c>
      <c r="E3012" s="7" t="s">
        <v>239</v>
      </c>
      <c r="F3012" s="7" t="s">
        <v>6</v>
      </c>
      <c r="G3012" s="7" t="s">
        <v>1729</v>
      </c>
      <c r="H3012" s="15">
        <v>529</v>
      </c>
      <c r="I3012" s="15">
        <v>529</v>
      </c>
      <c r="J3012" s="7" t="str">
        <f>IFERROR(_xlfn.XLOOKUP(F3012,ccustos!A:A,ccustos!B:B),"Sem termo")</f>
        <v>SEPAT</v>
      </c>
    </row>
    <row r="3013" spans="1:10" ht="25.5" x14ac:dyDescent="0.25">
      <c r="A3013" s="16">
        <v>14821</v>
      </c>
      <c r="B3013" s="17" t="s">
        <v>236</v>
      </c>
      <c r="C3013" s="17" t="s">
        <v>241</v>
      </c>
      <c r="D3013" s="17" t="s">
        <v>1728</v>
      </c>
      <c r="E3013" s="17" t="s">
        <v>239</v>
      </c>
      <c r="F3013" s="17" t="s">
        <v>6</v>
      </c>
      <c r="G3013" s="17" t="s">
        <v>1729</v>
      </c>
      <c r="H3013" s="18">
        <v>529</v>
      </c>
      <c r="I3013" s="18">
        <v>529</v>
      </c>
      <c r="J3013" s="7" t="str">
        <f>IFERROR(_xlfn.XLOOKUP(F3013,ccustos!A:A,ccustos!B:B),"Sem termo")</f>
        <v>SEPAT</v>
      </c>
    </row>
    <row r="3014" spans="1:10" ht="25.5" x14ac:dyDescent="0.25">
      <c r="A3014" s="14">
        <v>14822</v>
      </c>
      <c r="B3014" s="7" t="s">
        <v>236</v>
      </c>
      <c r="C3014" s="7" t="s">
        <v>241</v>
      </c>
      <c r="D3014" s="7" t="s">
        <v>1728</v>
      </c>
      <c r="E3014" s="7" t="s">
        <v>239</v>
      </c>
      <c r="F3014" s="7" t="s">
        <v>63</v>
      </c>
      <c r="G3014" s="7" t="s">
        <v>1729</v>
      </c>
      <c r="H3014" s="15">
        <v>529</v>
      </c>
      <c r="I3014" s="15">
        <v>529</v>
      </c>
      <c r="J3014" s="7" t="str">
        <f>IFERROR(_xlfn.XLOOKUP(F3014,ccustos!A:A,ccustos!B:B),"Sem termo")</f>
        <v>SEPAT</v>
      </c>
    </row>
    <row r="3015" spans="1:10" ht="25.5" x14ac:dyDescent="0.25">
      <c r="A3015" s="16">
        <v>14823</v>
      </c>
      <c r="B3015" s="17" t="s">
        <v>236</v>
      </c>
      <c r="C3015" s="17" t="s">
        <v>241</v>
      </c>
      <c r="D3015" s="17" t="s">
        <v>1728</v>
      </c>
      <c r="E3015" s="17" t="s">
        <v>239</v>
      </c>
      <c r="F3015" s="17" t="s">
        <v>6</v>
      </c>
      <c r="G3015" s="17" t="s">
        <v>1729</v>
      </c>
      <c r="H3015" s="18">
        <v>529</v>
      </c>
      <c r="I3015" s="18">
        <v>529</v>
      </c>
      <c r="J3015" s="7" t="str">
        <f>IFERROR(_xlfn.XLOOKUP(F3015,ccustos!A:A,ccustos!B:B),"Sem termo")</f>
        <v>SEPAT</v>
      </c>
    </row>
    <row r="3016" spans="1:10" ht="25.5" x14ac:dyDescent="0.25">
      <c r="A3016" s="14">
        <v>14824</v>
      </c>
      <c r="B3016" s="7" t="s">
        <v>236</v>
      </c>
      <c r="C3016" s="7" t="s">
        <v>241</v>
      </c>
      <c r="D3016" s="7" t="s">
        <v>1728</v>
      </c>
      <c r="E3016" s="7" t="s">
        <v>239</v>
      </c>
      <c r="F3016" s="7" t="s">
        <v>63</v>
      </c>
      <c r="G3016" s="7" t="s">
        <v>1729</v>
      </c>
      <c r="H3016" s="15">
        <v>529</v>
      </c>
      <c r="I3016" s="15">
        <v>529</v>
      </c>
      <c r="J3016" s="7" t="str">
        <f>IFERROR(_xlfn.XLOOKUP(F3016,ccustos!A:A,ccustos!B:B),"Sem termo")</f>
        <v>SEPAT</v>
      </c>
    </row>
    <row r="3017" spans="1:10" ht="25.5" x14ac:dyDescent="0.25">
      <c r="A3017" s="16">
        <v>14825</v>
      </c>
      <c r="B3017" s="17" t="s">
        <v>236</v>
      </c>
      <c r="C3017" s="17" t="s">
        <v>241</v>
      </c>
      <c r="D3017" s="17" t="s">
        <v>1728</v>
      </c>
      <c r="E3017" s="17" t="s">
        <v>239</v>
      </c>
      <c r="F3017" s="17" t="s">
        <v>6</v>
      </c>
      <c r="G3017" s="17" t="s">
        <v>1729</v>
      </c>
      <c r="H3017" s="18">
        <v>529</v>
      </c>
      <c r="I3017" s="18">
        <v>529</v>
      </c>
      <c r="J3017" s="7" t="str">
        <f>IFERROR(_xlfn.XLOOKUP(F3017,ccustos!A:A,ccustos!B:B),"Sem termo")</f>
        <v>SEPAT</v>
      </c>
    </row>
    <row r="3018" spans="1:10" ht="25.5" x14ac:dyDescent="0.25">
      <c r="A3018" s="14">
        <v>14826</v>
      </c>
      <c r="B3018" s="7" t="s">
        <v>236</v>
      </c>
      <c r="C3018" s="7" t="s">
        <v>237</v>
      </c>
      <c r="D3018" s="7" t="s">
        <v>1509</v>
      </c>
      <c r="E3018" s="7" t="s">
        <v>239</v>
      </c>
      <c r="F3018" s="7" t="s">
        <v>20</v>
      </c>
      <c r="G3018" s="7" t="s">
        <v>1730</v>
      </c>
      <c r="H3018" s="15">
        <v>1586</v>
      </c>
      <c r="I3018" s="15">
        <v>1586</v>
      </c>
      <c r="J3018" s="7" t="str">
        <f>IFERROR(_xlfn.XLOOKUP(F3018,ccustos!A:A,ccustos!B:B),"Sem termo")</f>
        <v>CGTI</v>
      </c>
    </row>
    <row r="3019" spans="1:10" ht="25.5" x14ac:dyDescent="0.25">
      <c r="A3019" s="16">
        <v>14827</v>
      </c>
      <c r="B3019" s="17" t="s">
        <v>236</v>
      </c>
      <c r="C3019" s="17" t="s">
        <v>237</v>
      </c>
      <c r="D3019" s="17" t="s">
        <v>1509</v>
      </c>
      <c r="E3019" s="17" t="s">
        <v>239</v>
      </c>
      <c r="F3019" s="17" t="s">
        <v>20</v>
      </c>
      <c r="G3019" s="17" t="s">
        <v>1730</v>
      </c>
      <c r="H3019" s="18">
        <v>1586</v>
      </c>
      <c r="I3019" s="18">
        <v>1586</v>
      </c>
      <c r="J3019" s="7" t="str">
        <f>IFERROR(_xlfn.XLOOKUP(F3019,ccustos!A:A,ccustos!B:B),"Sem termo")</f>
        <v>CGTI</v>
      </c>
    </row>
    <row r="3020" spans="1:10" ht="25.5" x14ac:dyDescent="0.25">
      <c r="A3020" s="14">
        <v>14828</v>
      </c>
      <c r="B3020" s="7" t="s">
        <v>236</v>
      </c>
      <c r="C3020" s="7" t="s">
        <v>237</v>
      </c>
      <c r="D3020" s="7" t="s">
        <v>1509</v>
      </c>
      <c r="E3020" s="7" t="s">
        <v>239</v>
      </c>
      <c r="F3020" s="7" t="s">
        <v>20</v>
      </c>
      <c r="G3020" s="7" t="s">
        <v>1730</v>
      </c>
      <c r="H3020" s="15">
        <v>1586</v>
      </c>
      <c r="I3020" s="15">
        <v>1586</v>
      </c>
      <c r="J3020" s="7" t="str">
        <f>IFERROR(_xlfn.XLOOKUP(F3020,ccustos!A:A,ccustos!B:B),"Sem termo")</f>
        <v>CGTI</v>
      </c>
    </row>
    <row r="3021" spans="1:10" ht="25.5" x14ac:dyDescent="0.25">
      <c r="A3021" s="16">
        <v>14829</v>
      </c>
      <c r="B3021" s="17" t="s">
        <v>236</v>
      </c>
      <c r="C3021" s="17" t="s">
        <v>237</v>
      </c>
      <c r="D3021" s="17" t="s">
        <v>1509</v>
      </c>
      <c r="E3021" s="17" t="s">
        <v>239</v>
      </c>
      <c r="F3021" s="17" t="s">
        <v>20</v>
      </c>
      <c r="G3021" s="17" t="s">
        <v>1730</v>
      </c>
      <c r="H3021" s="18">
        <v>1586</v>
      </c>
      <c r="I3021" s="18">
        <v>1586</v>
      </c>
      <c r="J3021" s="7" t="str">
        <f>IFERROR(_xlfn.XLOOKUP(F3021,ccustos!A:A,ccustos!B:B),"Sem termo")</f>
        <v>CGTI</v>
      </c>
    </row>
    <row r="3022" spans="1:10" ht="25.5" x14ac:dyDescent="0.25">
      <c r="A3022" s="14">
        <v>14830</v>
      </c>
      <c r="B3022" s="7" t="s">
        <v>236</v>
      </c>
      <c r="C3022" s="7" t="s">
        <v>237</v>
      </c>
      <c r="D3022" s="7" t="s">
        <v>1509</v>
      </c>
      <c r="E3022" s="7" t="s">
        <v>239</v>
      </c>
      <c r="F3022" s="7" t="s">
        <v>20</v>
      </c>
      <c r="G3022" s="7" t="s">
        <v>1730</v>
      </c>
      <c r="H3022" s="15">
        <v>1586</v>
      </c>
      <c r="I3022" s="15">
        <v>1586</v>
      </c>
      <c r="J3022" s="7" t="str">
        <f>IFERROR(_xlfn.XLOOKUP(F3022,ccustos!A:A,ccustos!B:B),"Sem termo")</f>
        <v>CGTI</v>
      </c>
    </row>
    <row r="3023" spans="1:10" ht="25.5" x14ac:dyDescent="0.25">
      <c r="A3023" s="16">
        <v>14831</v>
      </c>
      <c r="B3023" s="17" t="s">
        <v>236</v>
      </c>
      <c r="C3023" s="17" t="s">
        <v>237</v>
      </c>
      <c r="D3023" s="17" t="s">
        <v>1509</v>
      </c>
      <c r="E3023" s="17" t="s">
        <v>239</v>
      </c>
      <c r="F3023" s="17" t="s">
        <v>20</v>
      </c>
      <c r="G3023" s="17" t="s">
        <v>1730</v>
      </c>
      <c r="H3023" s="18">
        <v>1586</v>
      </c>
      <c r="I3023" s="18">
        <v>1586</v>
      </c>
      <c r="J3023" s="7" t="str">
        <f>IFERROR(_xlfn.XLOOKUP(F3023,ccustos!A:A,ccustos!B:B),"Sem termo")</f>
        <v>CGTI</v>
      </c>
    </row>
    <row r="3024" spans="1:10" ht="25.5" x14ac:dyDescent="0.25">
      <c r="A3024" s="14">
        <v>14832</v>
      </c>
      <c r="B3024" s="7" t="s">
        <v>236</v>
      </c>
      <c r="C3024" s="7" t="s">
        <v>237</v>
      </c>
      <c r="D3024" s="7" t="s">
        <v>1509</v>
      </c>
      <c r="E3024" s="7" t="s">
        <v>239</v>
      </c>
      <c r="F3024" s="7" t="s">
        <v>20</v>
      </c>
      <c r="G3024" s="7" t="s">
        <v>1730</v>
      </c>
      <c r="H3024" s="15">
        <v>1586</v>
      </c>
      <c r="I3024" s="15">
        <v>1586</v>
      </c>
      <c r="J3024" s="7" t="str">
        <f>IFERROR(_xlfn.XLOOKUP(F3024,ccustos!A:A,ccustos!B:B),"Sem termo")</f>
        <v>CGTI</v>
      </c>
    </row>
    <row r="3025" spans="1:10" ht="25.5" x14ac:dyDescent="0.25">
      <c r="A3025" s="16">
        <v>14833</v>
      </c>
      <c r="B3025" s="17" t="s">
        <v>236</v>
      </c>
      <c r="C3025" s="17" t="s">
        <v>237</v>
      </c>
      <c r="D3025" s="17" t="s">
        <v>1509</v>
      </c>
      <c r="E3025" s="17" t="s">
        <v>239</v>
      </c>
      <c r="F3025" s="17" t="s">
        <v>20</v>
      </c>
      <c r="G3025" s="17" t="s">
        <v>1730</v>
      </c>
      <c r="H3025" s="18">
        <v>1586</v>
      </c>
      <c r="I3025" s="18">
        <v>1586</v>
      </c>
      <c r="J3025" s="7" t="str">
        <f>IFERROR(_xlfn.XLOOKUP(F3025,ccustos!A:A,ccustos!B:B),"Sem termo")</f>
        <v>CGTI</v>
      </c>
    </row>
    <row r="3026" spans="1:10" ht="25.5" x14ac:dyDescent="0.25">
      <c r="A3026" s="14">
        <v>14834</v>
      </c>
      <c r="B3026" s="7" t="s">
        <v>236</v>
      </c>
      <c r="C3026" s="7" t="s">
        <v>237</v>
      </c>
      <c r="D3026" s="7" t="s">
        <v>1509</v>
      </c>
      <c r="E3026" s="7" t="s">
        <v>239</v>
      </c>
      <c r="F3026" s="7" t="s">
        <v>20</v>
      </c>
      <c r="G3026" s="7" t="s">
        <v>1730</v>
      </c>
      <c r="H3026" s="15">
        <v>1586</v>
      </c>
      <c r="I3026" s="15">
        <v>1586</v>
      </c>
      <c r="J3026" s="7" t="str">
        <f>IFERROR(_xlfn.XLOOKUP(F3026,ccustos!A:A,ccustos!B:B),"Sem termo")</f>
        <v>CGTI</v>
      </c>
    </row>
    <row r="3027" spans="1:10" ht="25.5" x14ac:dyDescent="0.25">
      <c r="A3027" s="16">
        <v>14835</v>
      </c>
      <c r="B3027" s="17" t="s">
        <v>236</v>
      </c>
      <c r="C3027" s="17" t="s">
        <v>237</v>
      </c>
      <c r="D3027" s="17" t="s">
        <v>1509</v>
      </c>
      <c r="E3027" s="17" t="s">
        <v>239</v>
      </c>
      <c r="F3027" s="17" t="s">
        <v>20</v>
      </c>
      <c r="G3027" s="17" t="s">
        <v>1730</v>
      </c>
      <c r="H3027" s="18">
        <v>1586</v>
      </c>
      <c r="I3027" s="18">
        <v>1586</v>
      </c>
      <c r="J3027" s="7" t="str">
        <f>IFERROR(_xlfn.XLOOKUP(F3027,ccustos!A:A,ccustos!B:B),"Sem termo")</f>
        <v>CGTI</v>
      </c>
    </row>
    <row r="3028" spans="1:10" ht="25.5" x14ac:dyDescent="0.25">
      <c r="A3028" s="14">
        <v>14836</v>
      </c>
      <c r="B3028" s="7" t="s">
        <v>236</v>
      </c>
      <c r="C3028" s="7" t="s">
        <v>237</v>
      </c>
      <c r="D3028" s="7" t="s">
        <v>1509</v>
      </c>
      <c r="E3028" s="7" t="s">
        <v>239</v>
      </c>
      <c r="F3028" s="7" t="s">
        <v>20</v>
      </c>
      <c r="G3028" s="7" t="s">
        <v>1730</v>
      </c>
      <c r="H3028" s="15">
        <v>1586</v>
      </c>
      <c r="I3028" s="15">
        <v>1586</v>
      </c>
      <c r="J3028" s="7" t="str">
        <f>IFERROR(_xlfn.XLOOKUP(F3028,ccustos!A:A,ccustos!B:B),"Sem termo")</f>
        <v>CGTI</v>
      </c>
    </row>
    <row r="3029" spans="1:10" ht="25.5" x14ac:dyDescent="0.25">
      <c r="A3029" s="16">
        <v>14837</v>
      </c>
      <c r="B3029" s="17" t="s">
        <v>236</v>
      </c>
      <c r="C3029" s="17" t="s">
        <v>237</v>
      </c>
      <c r="D3029" s="17" t="s">
        <v>1509</v>
      </c>
      <c r="E3029" s="17" t="s">
        <v>239</v>
      </c>
      <c r="F3029" s="17" t="s">
        <v>20</v>
      </c>
      <c r="G3029" s="17" t="s">
        <v>1730</v>
      </c>
      <c r="H3029" s="18">
        <v>1586</v>
      </c>
      <c r="I3029" s="18">
        <v>1586</v>
      </c>
      <c r="J3029" s="7" t="str">
        <f>IFERROR(_xlfn.XLOOKUP(F3029,ccustos!A:A,ccustos!B:B),"Sem termo")</f>
        <v>CGTI</v>
      </c>
    </row>
    <row r="3030" spans="1:10" ht="25.5" x14ac:dyDescent="0.25">
      <c r="A3030" s="14">
        <v>14838</v>
      </c>
      <c r="B3030" s="7" t="s">
        <v>236</v>
      </c>
      <c r="C3030" s="7" t="s">
        <v>237</v>
      </c>
      <c r="D3030" s="7" t="s">
        <v>1509</v>
      </c>
      <c r="E3030" s="7" t="s">
        <v>239</v>
      </c>
      <c r="F3030" s="7" t="s">
        <v>20</v>
      </c>
      <c r="G3030" s="7" t="s">
        <v>1730</v>
      </c>
      <c r="H3030" s="15">
        <v>1586</v>
      </c>
      <c r="I3030" s="15">
        <v>1586</v>
      </c>
      <c r="J3030" s="7" t="str">
        <f>IFERROR(_xlfn.XLOOKUP(F3030,ccustos!A:A,ccustos!B:B),"Sem termo")</f>
        <v>CGTI</v>
      </c>
    </row>
    <row r="3031" spans="1:10" ht="25.5" x14ac:dyDescent="0.25">
      <c r="A3031" s="16">
        <v>14839</v>
      </c>
      <c r="B3031" s="17" t="s">
        <v>236</v>
      </c>
      <c r="C3031" s="17" t="s">
        <v>237</v>
      </c>
      <c r="D3031" s="17" t="s">
        <v>1509</v>
      </c>
      <c r="E3031" s="17" t="s">
        <v>239</v>
      </c>
      <c r="F3031" s="17" t="s">
        <v>20</v>
      </c>
      <c r="G3031" s="17" t="s">
        <v>1730</v>
      </c>
      <c r="H3031" s="18">
        <v>1586</v>
      </c>
      <c r="I3031" s="18">
        <v>1586</v>
      </c>
      <c r="J3031" s="7" t="str">
        <f>IFERROR(_xlfn.XLOOKUP(F3031,ccustos!A:A,ccustos!B:B),"Sem termo")</f>
        <v>CGTI</v>
      </c>
    </row>
    <row r="3032" spans="1:10" ht="25.5" x14ac:dyDescent="0.25">
      <c r="A3032" s="14">
        <v>14840</v>
      </c>
      <c r="B3032" s="7" t="s">
        <v>236</v>
      </c>
      <c r="C3032" s="7" t="s">
        <v>237</v>
      </c>
      <c r="D3032" s="7" t="s">
        <v>1509</v>
      </c>
      <c r="E3032" s="7" t="s">
        <v>239</v>
      </c>
      <c r="F3032" s="7" t="s">
        <v>20</v>
      </c>
      <c r="G3032" s="7" t="s">
        <v>1730</v>
      </c>
      <c r="H3032" s="15">
        <v>1586</v>
      </c>
      <c r="I3032" s="15">
        <v>1586</v>
      </c>
      <c r="J3032" s="7" t="str">
        <f>IFERROR(_xlfn.XLOOKUP(F3032,ccustos!A:A,ccustos!B:B),"Sem termo")</f>
        <v>CGTI</v>
      </c>
    </row>
    <row r="3033" spans="1:10" ht="25.5" x14ac:dyDescent="0.25">
      <c r="A3033" s="16">
        <v>14841</v>
      </c>
      <c r="B3033" s="17" t="s">
        <v>236</v>
      </c>
      <c r="C3033" s="17" t="s">
        <v>237</v>
      </c>
      <c r="D3033" s="17" t="s">
        <v>1509</v>
      </c>
      <c r="E3033" s="17" t="s">
        <v>239</v>
      </c>
      <c r="F3033" s="17" t="s">
        <v>20</v>
      </c>
      <c r="G3033" s="17" t="s">
        <v>1730</v>
      </c>
      <c r="H3033" s="18">
        <v>1586</v>
      </c>
      <c r="I3033" s="18">
        <v>1586</v>
      </c>
      <c r="J3033" s="7" t="str">
        <f>IFERROR(_xlfn.XLOOKUP(F3033,ccustos!A:A,ccustos!B:B),"Sem termo")</f>
        <v>CGTI</v>
      </c>
    </row>
    <row r="3034" spans="1:10" ht="25.5" x14ac:dyDescent="0.25">
      <c r="A3034" s="14">
        <v>14842</v>
      </c>
      <c r="B3034" s="7" t="s">
        <v>236</v>
      </c>
      <c r="C3034" s="7" t="s">
        <v>237</v>
      </c>
      <c r="D3034" s="7" t="s">
        <v>1509</v>
      </c>
      <c r="E3034" s="7" t="s">
        <v>239</v>
      </c>
      <c r="F3034" s="7" t="s">
        <v>20</v>
      </c>
      <c r="G3034" s="7" t="s">
        <v>1730</v>
      </c>
      <c r="H3034" s="15">
        <v>1586</v>
      </c>
      <c r="I3034" s="15">
        <v>1586</v>
      </c>
      <c r="J3034" s="7" t="str">
        <f>IFERROR(_xlfn.XLOOKUP(F3034,ccustos!A:A,ccustos!B:B),"Sem termo")</f>
        <v>CGTI</v>
      </c>
    </row>
    <row r="3035" spans="1:10" ht="25.5" x14ac:dyDescent="0.25">
      <c r="A3035" s="16">
        <v>14843</v>
      </c>
      <c r="B3035" s="17" t="s">
        <v>236</v>
      </c>
      <c r="C3035" s="17" t="s">
        <v>237</v>
      </c>
      <c r="D3035" s="17" t="s">
        <v>1509</v>
      </c>
      <c r="E3035" s="17" t="s">
        <v>239</v>
      </c>
      <c r="F3035" s="17" t="s">
        <v>37</v>
      </c>
      <c r="G3035" s="17" t="s">
        <v>1730</v>
      </c>
      <c r="H3035" s="18">
        <v>1586</v>
      </c>
      <c r="I3035" s="18">
        <v>1586</v>
      </c>
      <c r="J3035" s="7" t="str">
        <f>IFERROR(_xlfn.XLOOKUP(F3035,ccustos!A:A,ccustos!B:B),"Sem termo")</f>
        <v>PROJUR</v>
      </c>
    </row>
    <row r="3036" spans="1:10" ht="25.5" x14ac:dyDescent="0.25">
      <c r="A3036" s="14">
        <v>14844</v>
      </c>
      <c r="B3036" s="7" t="s">
        <v>236</v>
      </c>
      <c r="C3036" s="7" t="s">
        <v>237</v>
      </c>
      <c r="D3036" s="7" t="s">
        <v>1509</v>
      </c>
      <c r="E3036" s="7" t="s">
        <v>239</v>
      </c>
      <c r="F3036" s="7" t="s">
        <v>20</v>
      </c>
      <c r="G3036" s="7" t="s">
        <v>1730</v>
      </c>
      <c r="H3036" s="15">
        <v>1586</v>
      </c>
      <c r="I3036" s="15">
        <v>1586</v>
      </c>
      <c r="J3036" s="7" t="str">
        <f>IFERROR(_xlfn.XLOOKUP(F3036,ccustos!A:A,ccustos!B:B),"Sem termo")</f>
        <v>CGTI</v>
      </c>
    </row>
    <row r="3037" spans="1:10" ht="25.5" x14ac:dyDescent="0.25">
      <c r="A3037" s="16">
        <v>14845</v>
      </c>
      <c r="B3037" s="17" t="s">
        <v>236</v>
      </c>
      <c r="C3037" s="17" t="s">
        <v>237</v>
      </c>
      <c r="D3037" s="17" t="s">
        <v>1509</v>
      </c>
      <c r="E3037" s="17" t="s">
        <v>239</v>
      </c>
      <c r="F3037" s="17" t="s">
        <v>20</v>
      </c>
      <c r="G3037" s="17" t="s">
        <v>1730</v>
      </c>
      <c r="H3037" s="18">
        <v>1586</v>
      </c>
      <c r="I3037" s="18">
        <v>1586</v>
      </c>
      <c r="J3037" s="7" t="str">
        <f>IFERROR(_xlfn.XLOOKUP(F3037,ccustos!A:A,ccustos!B:B),"Sem termo")</f>
        <v>CGTI</v>
      </c>
    </row>
    <row r="3038" spans="1:10" ht="25.5" x14ac:dyDescent="0.25">
      <c r="A3038" s="14">
        <v>14846</v>
      </c>
      <c r="B3038" s="7" t="s">
        <v>236</v>
      </c>
      <c r="C3038" s="7" t="s">
        <v>237</v>
      </c>
      <c r="D3038" s="7" t="s">
        <v>1509</v>
      </c>
      <c r="E3038" s="7" t="s">
        <v>239</v>
      </c>
      <c r="F3038" s="7" t="s">
        <v>83</v>
      </c>
      <c r="G3038" s="7" t="s">
        <v>1730</v>
      </c>
      <c r="H3038" s="15">
        <v>1586</v>
      </c>
      <c r="I3038" s="15">
        <v>1586</v>
      </c>
      <c r="J3038" s="7" t="str">
        <f>IFERROR(_xlfn.XLOOKUP(F3038,ccustos!A:A,ccustos!B:B),"Sem termo")</f>
        <v>GABIN</v>
      </c>
    </row>
    <row r="3039" spans="1:10" ht="25.5" x14ac:dyDescent="0.25">
      <c r="A3039" s="16">
        <v>14847</v>
      </c>
      <c r="B3039" s="17" t="s">
        <v>236</v>
      </c>
      <c r="C3039" s="17" t="s">
        <v>237</v>
      </c>
      <c r="D3039" s="17" t="s">
        <v>1509</v>
      </c>
      <c r="E3039" s="17" t="s">
        <v>239</v>
      </c>
      <c r="F3039" s="17" t="s">
        <v>6</v>
      </c>
      <c r="G3039" s="17" t="s">
        <v>1730</v>
      </c>
      <c r="H3039" s="18">
        <v>1586</v>
      </c>
      <c r="I3039" s="18">
        <v>1586</v>
      </c>
      <c r="J3039" s="7" t="str">
        <f>IFERROR(_xlfn.XLOOKUP(F3039,ccustos!A:A,ccustos!B:B),"Sem termo")</f>
        <v>SEPAT</v>
      </c>
    </row>
    <row r="3040" spans="1:10" ht="25.5" x14ac:dyDescent="0.25">
      <c r="A3040" s="14">
        <v>14848</v>
      </c>
      <c r="B3040" s="7" t="s">
        <v>236</v>
      </c>
      <c r="C3040" s="7" t="s">
        <v>237</v>
      </c>
      <c r="D3040" s="7" t="s">
        <v>1509</v>
      </c>
      <c r="E3040" s="7" t="s">
        <v>239</v>
      </c>
      <c r="F3040" s="7" t="s">
        <v>20</v>
      </c>
      <c r="G3040" s="7" t="s">
        <v>1730</v>
      </c>
      <c r="H3040" s="15">
        <v>1586</v>
      </c>
      <c r="I3040" s="15">
        <v>1586</v>
      </c>
      <c r="J3040" s="7" t="str">
        <f>IFERROR(_xlfn.XLOOKUP(F3040,ccustos!A:A,ccustos!B:B),"Sem termo")</f>
        <v>CGTI</v>
      </c>
    </row>
    <row r="3041" spans="1:10" ht="25.5" x14ac:dyDescent="0.25">
      <c r="A3041" s="16">
        <v>14849</v>
      </c>
      <c r="B3041" s="17" t="s">
        <v>236</v>
      </c>
      <c r="C3041" s="17" t="s">
        <v>237</v>
      </c>
      <c r="D3041" s="17" t="s">
        <v>1509</v>
      </c>
      <c r="E3041" s="17" t="s">
        <v>239</v>
      </c>
      <c r="F3041" s="17" t="s">
        <v>20</v>
      </c>
      <c r="G3041" s="17" t="s">
        <v>1730</v>
      </c>
      <c r="H3041" s="18">
        <v>1586</v>
      </c>
      <c r="I3041" s="18">
        <v>1586</v>
      </c>
      <c r="J3041" s="7" t="str">
        <f>IFERROR(_xlfn.XLOOKUP(F3041,ccustos!A:A,ccustos!B:B),"Sem termo")</f>
        <v>CGTI</v>
      </c>
    </row>
    <row r="3042" spans="1:10" ht="25.5" x14ac:dyDescent="0.25">
      <c r="A3042" s="14">
        <v>14850</v>
      </c>
      <c r="B3042" s="7" t="s">
        <v>236</v>
      </c>
      <c r="C3042" s="7" t="s">
        <v>237</v>
      </c>
      <c r="D3042" s="7" t="s">
        <v>1509</v>
      </c>
      <c r="E3042" s="7" t="s">
        <v>239</v>
      </c>
      <c r="F3042" s="7" t="s">
        <v>6</v>
      </c>
      <c r="G3042" s="7" t="s">
        <v>1730</v>
      </c>
      <c r="H3042" s="15">
        <v>1586</v>
      </c>
      <c r="I3042" s="15">
        <v>1586</v>
      </c>
      <c r="J3042" s="7" t="str">
        <f>IFERROR(_xlfn.XLOOKUP(F3042,ccustos!A:A,ccustos!B:B),"Sem termo")</f>
        <v>SEPAT</v>
      </c>
    </row>
    <row r="3043" spans="1:10" ht="25.5" x14ac:dyDescent="0.25">
      <c r="A3043" s="16">
        <v>14851</v>
      </c>
      <c r="B3043" s="17" t="s">
        <v>236</v>
      </c>
      <c r="C3043" s="17" t="s">
        <v>237</v>
      </c>
      <c r="D3043" s="17" t="s">
        <v>1509</v>
      </c>
      <c r="E3043" s="17" t="s">
        <v>239</v>
      </c>
      <c r="F3043" s="17" t="s">
        <v>20</v>
      </c>
      <c r="G3043" s="17" t="s">
        <v>1730</v>
      </c>
      <c r="H3043" s="18">
        <v>1586</v>
      </c>
      <c r="I3043" s="18">
        <v>1586</v>
      </c>
      <c r="J3043" s="7" t="str">
        <f>IFERROR(_xlfn.XLOOKUP(F3043,ccustos!A:A,ccustos!B:B),"Sem termo")</f>
        <v>CGTI</v>
      </c>
    </row>
    <row r="3044" spans="1:10" ht="25.5" x14ac:dyDescent="0.25">
      <c r="A3044" s="14">
        <v>14852</v>
      </c>
      <c r="B3044" s="7" t="s">
        <v>236</v>
      </c>
      <c r="C3044" s="7" t="s">
        <v>237</v>
      </c>
      <c r="D3044" s="7" t="s">
        <v>1509</v>
      </c>
      <c r="E3044" s="7" t="s">
        <v>239</v>
      </c>
      <c r="F3044" s="7" t="s">
        <v>37</v>
      </c>
      <c r="G3044" s="7" t="s">
        <v>1730</v>
      </c>
      <c r="H3044" s="15">
        <v>1586</v>
      </c>
      <c r="I3044" s="15">
        <v>1586</v>
      </c>
      <c r="J3044" s="7" t="str">
        <f>IFERROR(_xlfn.XLOOKUP(F3044,ccustos!A:A,ccustos!B:B),"Sem termo")</f>
        <v>PROJUR</v>
      </c>
    </row>
    <row r="3045" spans="1:10" ht="25.5" x14ac:dyDescent="0.25">
      <c r="A3045" s="16">
        <v>14853</v>
      </c>
      <c r="B3045" s="17" t="s">
        <v>236</v>
      </c>
      <c r="C3045" s="17" t="s">
        <v>237</v>
      </c>
      <c r="D3045" s="17" t="s">
        <v>1509</v>
      </c>
      <c r="E3045" s="17" t="s">
        <v>239</v>
      </c>
      <c r="F3045" s="17" t="s">
        <v>20</v>
      </c>
      <c r="G3045" s="17" t="s">
        <v>1730</v>
      </c>
      <c r="H3045" s="18">
        <v>1586</v>
      </c>
      <c r="I3045" s="18">
        <v>1586</v>
      </c>
      <c r="J3045" s="7" t="str">
        <f>IFERROR(_xlfn.XLOOKUP(F3045,ccustos!A:A,ccustos!B:B),"Sem termo")</f>
        <v>CGTI</v>
      </c>
    </row>
    <row r="3046" spans="1:10" ht="25.5" x14ac:dyDescent="0.25">
      <c r="A3046" s="14">
        <v>14854</v>
      </c>
      <c r="B3046" s="7" t="s">
        <v>236</v>
      </c>
      <c r="C3046" s="7" t="s">
        <v>237</v>
      </c>
      <c r="D3046" s="7" t="s">
        <v>1509</v>
      </c>
      <c r="E3046" s="7" t="s">
        <v>239</v>
      </c>
      <c r="F3046" s="7" t="s">
        <v>20</v>
      </c>
      <c r="G3046" s="7" t="s">
        <v>1730</v>
      </c>
      <c r="H3046" s="15">
        <v>1586</v>
      </c>
      <c r="I3046" s="15">
        <v>1586</v>
      </c>
      <c r="J3046" s="7" t="str">
        <f>IFERROR(_xlfn.XLOOKUP(F3046,ccustos!A:A,ccustos!B:B),"Sem termo")</f>
        <v>CGTI</v>
      </c>
    </row>
    <row r="3047" spans="1:10" ht="25.5" x14ac:dyDescent="0.25">
      <c r="A3047" s="16">
        <v>14855</v>
      </c>
      <c r="B3047" s="17" t="s">
        <v>236</v>
      </c>
      <c r="C3047" s="17" t="s">
        <v>237</v>
      </c>
      <c r="D3047" s="17" t="s">
        <v>1509</v>
      </c>
      <c r="E3047" s="17" t="s">
        <v>239</v>
      </c>
      <c r="F3047" s="17" t="s">
        <v>20</v>
      </c>
      <c r="G3047" s="17" t="s">
        <v>1730</v>
      </c>
      <c r="H3047" s="18">
        <v>1586</v>
      </c>
      <c r="I3047" s="18">
        <v>1586</v>
      </c>
      <c r="J3047" s="7" t="str">
        <f>IFERROR(_xlfn.XLOOKUP(F3047,ccustos!A:A,ccustos!B:B),"Sem termo")</f>
        <v>CGTI</v>
      </c>
    </row>
    <row r="3048" spans="1:10" ht="25.5" x14ac:dyDescent="0.25">
      <c r="A3048" s="14">
        <v>14856</v>
      </c>
      <c r="B3048" s="7" t="s">
        <v>236</v>
      </c>
      <c r="C3048" s="7" t="s">
        <v>237</v>
      </c>
      <c r="D3048" s="7" t="s">
        <v>1509</v>
      </c>
      <c r="E3048" s="7" t="s">
        <v>239</v>
      </c>
      <c r="F3048" s="7" t="s">
        <v>20</v>
      </c>
      <c r="G3048" s="7" t="s">
        <v>1730</v>
      </c>
      <c r="H3048" s="15">
        <v>1586</v>
      </c>
      <c r="I3048" s="15">
        <v>1586</v>
      </c>
      <c r="J3048" s="7" t="str">
        <f>IFERROR(_xlfn.XLOOKUP(F3048,ccustos!A:A,ccustos!B:B),"Sem termo")</f>
        <v>CGTI</v>
      </c>
    </row>
    <row r="3049" spans="1:10" ht="25.5" x14ac:dyDescent="0.25">
      <c r="A3049" s="16">
        <v>14857</v>
      </c>
      <c r="B3049" s="17" t="s">
        <v>236</v>
      </c>
      <c r="C3049" s="17" t="s">
        <v>237</v>
      </c>
      <c r="D3049" s="17" t="s">
        <v>1509</v>
      </c>
      <c r="E3049" s="17" t="s">
        <v>239</v>
      </c>
      <c r="F3049" s="17" t="s">
        <v>20</v>
      </c>
      <c r="G3049" s="17" t="s">
        <v>1730</v>
      </c>
      <c r="H3049" s="18">
        <v>1586</v>
      </c>
      <c r="I3049" s="18">
        <v>1586</v>
      </c>
      <c r="J3049" s="7" t="str">
        <f>IFERROR(_xlfn.XLOOKUP(F3049,ccustos!A:A,ccustos!B:B),"Sem termo")</f>
        <v>CGTI</v>
      </c>
    </row>
    <row r="3050" spans="1:10" ht="25.5" x14ac:dyDescent="0.25">
      <c r="A3050" s="14">
        <v>14858</v>
      </c>
      <c r="B3050" s="7" t="s">
        <v>236</v>
      </c>
      <c r="C3050" s="7" t="s">
        <v>237</v>
      </c>
      <c r="D3050" s="7" t="s">
        <v>1509</v>
      </c>
      <c r="E3050" s="7" t="s">
        <v>239</v>
      </c>
      <c r="F3050" s="7" t="s">
        <v>6</v>
      </c>
      <c r="G3050" s="7" t="s">
        <v>1730</v>
      </c>
      <c r="H3050" s="15">
        <v>1586</v>
      </c>
      <c r="I3050" s="15">
        <v>1586</v>
      </c>
      <c r="J3050" s="7" t="str">
        <f>IFERROR(_xlfn.XLOOKUP(F3050,ccustos!A:A,ccustos!B:B),"Sem termo")</f>
        <v>SEPAT</v>
      </c>
    </row>
    <row r="3051" spans="1:10" ht="25.5" x14ac:dyDescent="0.25">
      <c r="A3051" s="16">
        <v>14859</v>
      </c>
      <c r="B3051" s="17" t="s">
        <v>236</v>
      </c>
      <c r="C3051" s="17" t="s">
        <v>237</v>
      </c>
      <c r="D3051" s="17" t="s">
        <v>1509</v>
      </c>
      <c r="E3051" s="17" t="s">
        <v>239</v>
      </c>
      <c r="F3051" s="17" t="s">
        <v>20</v>
      </c>
      <c r="G3051" s="17" t="s">
        <v>1730</v>
      </c>
      <c r="H3051" s="18">
        <v>1586</v>
      </c>
      <c r="I3051" s="18">
        <v>1586</v>
      </c>
      <c r="J3051" s="7" t="str">
        <f>IFERROR(_xlfn.XLOOKUP(F3051,ccustos!A:A,ccustos!B:B),"Sem termo")</f>
        <v>CGTI</v>
      </c>
    </row>
    <row r="3052" spans="1:10" ht="25.5" x14ac:dyDescent="0.25">
      <c r="A3052" s="14">
        <v>14860</v>
      </c>
      <c r="B3052" s="7" t="s">
        <v>236</v>
      </c>
      <c r="C3052" s="7" t="s">
        <v>237</v>
      </c>
      <c r="D3052" s="7" t="s">
        <v>1509</v>
      </c>
      <c r="E3052" s="7" t="s">
        <v>239</v>
      </c>
      <c r="F3052" s="7" t="s">
        <v>20</v>
      </c>
      <c r="G3052" s="7" t="s">
        <v>1730</v>
      </c>
      <c r="H3052" s="15">
        <v>1586</v>
      </c>
      <c r="I3052" s="15">
        <v>1586</v>
      </c>
      <c r="J3052" s="7" t="str">
        <f>IFERROR(_xlfn.XLOOKUP(F3052,ccustos!A:A,ccustos!B:B),"Sem termo")</f>
        <v>CGTI</v>
      </c>
    </row>
    <row r="3053" spans="1:10" ht="25.5" x14ac:dyDescent="0.25">
      <c r="A3053" s="16">
        <v>14861</v>
      </c>
      <c r="B3053" s="17" t="s">
        <v>236</v>
      </c>
      <c r="C3053" s="17" t="s">
        <v>237</v>
      </c>
      <c r="D3053" s="17" t="s">
        <v>1509</v>
      </c>
      <c r="E3053" s="17" t="s">
        <v>239</v>
      </c>
      <c r="F3053" s="17" t="s">
        <v>211</v>
      </c>
      <c r="G3053" s="17" t="s">
        <v>1730</v>
      </c>
      <c r="H3053" s="18">
        <v>1586</v>
      </c>
      <c r="I3053" s="18">
        <v>1586</v>
      </c>
      <c r="J3053" s="7" t="str">
        <f>IFERROR(_xlfn.XLOOKUP(F3053,ccustos!A:A,ccustos!B:B),"Sem termo")</f>
        <v>DIGEO</v>
      </c>
    </row>
    <row r="3054" spans="1:10" ht="25.5" x14ac:dyDescent="0.25">
      <c r="A3054" s="14">
        <v>14862</v>
      </c>
      <c r="B3054" s="7" t="s">
        <v>236</v>
      </c>
      <c r="C3054" s="7" t="s">
        <v>237</v>
      </c>
      <c r="D3054" s="7" t="s">
        <v>1509</v>
      </c>
      <c r="E3054" s="7" t="s">
        <v>239</v>
      </c>
      <c r="F3054" s="7" t="s">
        <v>213</v>
      </c>
      <c r="G3054" s="7" t="s">
        <v>1730</v>
      </c>
      <c r="H3054" s="15">
        <v>1586</v>
      </c>
      <c r="I3054" s="15">
        <v>1586</v>
      </c>
      <c r="J3054" s="7" t="str">
        <f>IFERROR(_xlfn.XLOOKUP(F3054,ccustos!A:A,ccustos!B:B),"Sem termo")</f>
        <v>DIEPG</v>
      </c>
    </row>
    <row r="3055" spans="1:10" ht="25.5" x14ac:dyDescent="0.25">
      <c r="A3055" s="16">
        <v>14863</v>
      </c>
      <c r="B3055" s="17" t="s">
        <v>236</v>
      </c>
      <c r="C3055" s="17" t="s">
        <v>237</v>
      </c>
      <c r="D3055" s="17" t="s">
        <v>1509</v>
      </c>
      <c r="E3055" s="17" t="s">
        <v>239</v>
      </c>
      <c r="F3055" s="17" t="s">
        <v>211</v>
      </c>
      <c r="G3055" s="17" t="s">
        <v>1730</v>
      </c>
      <c r="H3055" s="18">
        <v>1586</v>
      </c>
      <c r="I3055" s="18">
        <v>1586</v>
      </c>
      <c r="J3055" s="7" t="str">
        <f>IFERROR(_xlfn.XLOOKUP(F3055,ccustos!A:A,ccustos!B:B),"Sem termo")</f>
        <v>DIGEO</v>
      </c>
    </row>
    <row r="3056" spans="1:10" ht="25.5" x14ac:dyDescent="0.25">
      <c r="A3056" s="14">
        <v>14864</v>
      </c>
      <c r="B3056" s="7" t="s">
        <v>236</v>
      </c>
      <c r="C3056" s="7" t="s">
        <v>237</v>
      </c>
      <c r="D3056" s="7" t="s">
        <v>1509</v>
      </c>
      <c r="E3056" s="7" t="s">
        <v>239</v>
      </c>
      <c r="F3056" s="7" t="s">
        <v>211</v>
      </c>
      <c r="G3056" s="7" t="s">
        <v>1730</v>
      </c>
      <c r="H3056" s="15">
        <v>1586</v>
      </c>
      <c r="I3056" s="15">
        <v>1586</v>
      </c>
      <c r="J3056" s="7" t="str">
        <f>IFERROR(_xlfn.XLOOKUP(F3056,ccustos!A:A,ccustos!B:B),"Sem termo")</f>
        <v>DIGEO</v>
      </c>
    </row>
    <row r="3057" spans="1:10" ht="25.5" x14ac:dyDescent="0.25">
      <c r="A3057" s="16">
        <v>14865</v>
      </c>
      <c r="B3057" s="17" t="s">
        <v>236</v>
      </c>
      <c r="C3057" s="17" t="s">
        <v>237</v>
      </c>
      <c r="D3057" s="17" t="s">
        <v>1509</v>
      </c>
      <c r="E3057" s="17" t="s">
        <v>239</v>
      </c>
      <c r="F3057" s="17" t="s">
        <v>211</v>
      </c>
      <c r="G3057" s="17" t="s">
        <v>1730</v>
      </c>
      <c r="H3057" s="18">
        <v>1586</v>
      </c>
      <c r="I3057" s="18">
        <v>1586</v>
      </c>
      <c r="J3057" s="7" t="str">
        <f>IFERROR(_xlfn.XLOOKUP(F3057,ccustos!A:A,ccustos!B:B),"Sem termo")</f>
        <v>DIGEO</v>
      </c>
    </row>
    <row r="3058" spans="1:10" ht="25.5" x14ac:dyDescent="0.25">
      <c r="A3058" s="14">
        <v>14866</v>
      </c>
      <c r="B3058" s="7" t="s">
        <v>236</v>
      </c>
      <c r="C3058" s="7" t="s">
        <v>237</v>
      </c>
      <c r="D3058" s="7" t="s">
        <v>1509</v>
      </c>
      <c r="E3058" s="7" t="s">
        <v>239</v>
      </c>
      <c r="F3058" s="7" t="s">
        <v>20</v>
      </c>
      <c r="G3058" s="7" t="s">
        <v>1730</v>
      </c>
      <c r="H3058" s="15">
        <v>1586</v>
      </c>
      <c r="I3058" s="15">
        <v>1586</v>
      </c>
      <c r="J3058" s="7" t="str">
        <f>IFERROR(_xlfn.XLOOKUP(F3058,ccustos!A:A,ccustos!B:B),"Sem termo")</f>
        <v>CGTI</v>
      </c>
    </row>
    <row r="3059" spans="1:10" ht="25.5" x14ac:dyDescent="0.25">
      <c r="A3059" s="16">
        <v>14867</v>
      </c>
      <c r="B3059" s="17" t="s">
        <v>236</v>
      </c>
      <c r="C3059" s="17" t="s">
        <v>237</v>
      </c>
      <c r="D3059" s="17" t="s">
        <v>1509</v>
      </c>
      <c r="E3059" s="17" t="s">
        <v>239</v>
      </c>
      <c r="F3059" s="17" t="s">
        <v>20</v>
      </c>
      <c r="G3059" s="17" t="s">
        <v>1730</v>
      </c>
      <c r="H3059" s="18">
        <v>1586</v>
      </c>
      <c r="I3059" s="18">
        <v>1586</v>
      </c>
      <c r="J3059" s="7" t="str">
        <f>IFERROR(_xlfn.XLOOKUP(F3059,ccustos!A:A,ccustos!B:B),"Sem termo")</f>
        <v>CGTI</v>
      </c>
    </row>
    <row r="3060" spans="1:10" ht="25.5" x14ac:dyDescent="0.25">
      <c r="A3060" s="14">
        <v>14868</v>
      </c>
      <c r="B3060" s="7" t="s">
        <v>236</v>
      </c>
      <c r="C3060" s="7" t="s">
        <v>237</v>
      </c>
      <c r="D3060" s="7" t="s">
        <v>1509</v>
      </c>
      <c r="E3060" s="7" t="s">
        <v>239</v>
      </c>
      <c r="F3060" s="7" t="s">
        <v>20</v>
      </c>
      <c r="G3060" s="7" t="s">
        <v>1730</v>
      </c>
      <c r="H3060" s="15">
        <v>1586</v>
      </c>
      <c r="I3060" s="15">
        <v>1586</v>
      </c>
      <c r="J3060" s="7" t="str">
        <f>IFERROR(_xlfn.XLOOKUP(F3060,ccustos!A:A,ccustos!B:B),"Sem termo")</f>
        <v>CGTI</v>
      </c>
    </row>
    <row r="3061" spans="1:10" ht="25.5" x14ac:dyDescent="0.25">
      <c r="A3061" s="16">
        <v>14869</v>
      </c>
      <c r="B3061" s="17" t="s">
        <v>236</v>
      </c>
      <c r="C3061" s="17" t="s">
        <v>237</v>
      </c>
      <c r="D3061" s="17" t="s">
        <v>1509</v>
      </c>
      <c r="E3061" s="17" t="s">
        <v>239</v>
      </c>
      <c r="F3061" s="17" t="s">
        <v>83</v>
      </c>
      <c r="G3061" s="17" t="s">
        <v>1730</v>
      </c>
      <c r="H3061" s="18">
        <v>1586</v>
      </c>
      <c r="I3061" s="18">
        <v>1586</v>
      </c>
      <c r="J3061" s="7" t="str">
        <f>IFERROR(_xlfn.XLOOKUP(F3061,ccustos!A:A,ccustos!B:B),"Sem termo")</f>
        <v>GABIN</v>
      </c>
    </row>
    <row r="3062" spans="1:10" ht="25.5" x14ac:dyDescent="0.25">
      <c r="A3062" s="14">
        <v>14870</v>
      </c>
      <c r="B3062" s="7" t="s">
        <v>236</v>
      </c>
      <c r="C3062" s="7" t="s">
        <v>237</v>
      </c>
      <c r="D3062" s="7" t="s">
        <v>1509</v>
      </c>
      <c r="E3062" s="7" t="s">
        <v>239</v>
      </c>
      <c r="F3062" s="7" t="s">
        <v>83</v>
      </c>
      <c r="G3062" s="7" t="s">
        <v>1730</v>
      </c>
      <c r="H3062" s="15">
        <v>1586</v>
      </c>
      <c r="I3062" s="15">
        <v>1586</v>
      </c>
      <c r="J3062" s="7" t="str">
        <f>IFERROR(_xlfn.XLOOKUP(F3062,ccustos!A:A,ccustos!B:B),"Sem termo")</f>
        <v>GABIN</v>
      </c>
    </row>
    <row r="3063" spans="1:10" ht="25.5" x14ac:dyDescent="0.25">
      <c r="A3063" s="16">
        <v>14871</v>
      </c>
      <c r="B3063" s="17" t="s">
        <v>236</v>
      </c>
      <c r="C3063" s="17" t="s">
        <v>237</v>
      </c>
      <c r="D3063" s="17" t="s">
        <v>1509</v>
      </c>
      <c r="E3063" s="17" t="s">
        <v>239</v>
      </c>
      <c r="F3063" s="17" t="s">
        <v>6</v>
      </c>
      <c r="G3063" s="17" t="s">
        <v>1730</v>
      </c>
      <c r="H3063" s="18">
        <v>1586</v>
      </c>
      <c r="I3063" s="18">
        <v>1586</v>
      </c>
      <c r="J3063" s="7" t="str">
        <f>IFERROR(_xlfn.XLOOKUP(F3063,ccustos!A:A,ccustos!B:B),"Sem termo")</f>
        <v>SEPAT</v>
      </c>
    </row>
    <row r="3064" spans="1:10" ht="25.5" x14ac:dyDescent="0.25">
      <c r="A3064" s="14">
        <v>14872</v>
      </c>
      <c r="B3064" s="7" t="s">
        <v>236</v>
      </c>
      <c r="C3064" s="7" t="s">
        <v>237</v>
      </c>
      <c r="D3064" s="7" t="s">
        <v>1509</v>
      </c>
      <c r="E3064" s="7" t="s">
        <v>239</v>
      </c>
      <c r="F3064" s="7" t="s">
        <v>83</v>
      </c>
      <c r="G3064" s="7" t="s">
        <v>1730</v>
      </c>
      <c r="H3064" s="15">
        <v>1586</v>
      </c>
      <c r="I3064" s="15">
        <v>1586</v>
      </c>
      <c r="J3064" s="7" t="str">
        <f>IFERROR(_xlfn.XLOOKUP(F3064,ccustos!A:A,ccustos!B:B),"Sem termo")</f>
        <v>GABIN</v>
      </c>
    </row>
    <row r="3065" spans="1:10" ht="25.5" x14ac:dyDescent="0.25">
      <c r="A3065" s="16">
        <v>14873</v>
      </c>
      <c r="B3065" s="17" t="s">
        <v>236</v>
      </c>
      <c r="C3065" s="17" t="s">
        <v>237</v>
      </c>
      <c r="D3065" s="17" t="s">
        <v>1509</v>
      </c>
      <c r="E3065" s="17" t="s">
        <v>239</v>
      </c>
      <c r="F3065" s="17" t="s">
        <v>83</v>
      </c>
      <c r="G3065" s="17" t="s">
        <v>1730</v>
      </c>
      <c r="H3065" s="18">
        <v>1586</v>
      </c>
      <c r="I3065" s="18">
        <v>1586</v>
      </c>
      <c r="J3065" s="7" t="str">
        <f>IFERROR(_xlfn.XLOOKUP(F3065,ccustos!A:A,ccustos!B:B),"Sem termo")</f>
        <v>GABIN</v>
      </c>
    </row>
    <row r="3066" spans="1:10" ht="25.5" x14ac:dyDescent="0.25">
      <c r="A3066" s="14">
        <v>14874</v>
      </c>
      <c r="B3066" s="7" t="s">
        <v>236</v>
      </c>
      <c r="C3066" s="7" t="s">
        <v>237</v>
      </c>
      <c r="D3066" s="7" t="s">
        <v>1509</v>
      </c>
      <c r="E3066" s="7" t="s">
        <v>239</v>
      </c>
      <c r="F3066" s="7" t="s">
        <v>6</v>
      </c>
      <c r="G3066" s="7" t="s">
        <v>1730</v>
      </c>
      <c r="H3066" s="15">
        <v>1586</v>
      </c>
      <c r="I3066" s="15">
        <v>1586</v>
      </c>
      <c r="J3066" s="7" t="str">
        <f>IFERROR(_xlfn.XLOOKUP(F3066,ccustos!A:A,ccustos!B:B),"Sem termo")</f>
        <v>SEPAT</v>
      </c>
    </row>
    <row r="3067" spans="1:10" ht="25.5" x14ac:dyDescent="0.25">
      <c r="A3067" s="16">
        <v>14875</v>
      </c>
      <c r="B3067" s="17" t="s">
        <v>236</v>
      </c>
      <c r="C3067" s="17" t="s">
        <v>237</v>
      </c>
      <c r="D3067" s="17" t="s">
        <v>1509</v>
      </c>
      <c r="E3067" s="17" t="s">
        <v>239</v>
      </c>
      <c r="F3067" s="17" t="s">
        <v>83</v>
      </c>
      <c r="G3067" s="17" t="s">
        <v>1730</v>
      </c>
      <c r="H3067" s="18">
        <v>1586</v>
      </c>
      <c r="I3067" s="18">
        <v>1586</v>
      </c>
      <c r="J3067" s="7" t="str">
        <f>IFERROR(_xlfn.XLOOKUP(F3067,ccustos!A:A,ccustos!B:B),"Sem termo")</f>
        <v>GABIN</v>
      </c>
    </row>
    <row r="3068" spans="1:10" ht="25.5" x14ac:dyDescent="0.25">
      <c r="A3068" s="14">
        <v>14876</v>
      </c>
      <c r="B3068" s="7" t="s">
        <v>236</v>
      </c>
      <c r="C3068" s="7" t="s">
        <v>237</v>
      </c>
      <c r="D3068" s="7" t="s">
        <v>1509</v>
      </c>
      <c r="E3068" s="7" t="s">
        <v>239</v>
      </c>
      <c r="F3068" s="7" t="s">
        <v>211</v>
      </c>
      <c r="G3068" s="7" t="s">
        <v>1730</v>
      </c>
      <c r="H3068" s="15">
        <v>1586</v>
      </c>
      <c r="I3068" s="15">
        <v>1586</v>
      </c>
      <c r="J3068" s="7" t="str">
        <f>IFERROR(_xlfn.XLOOKUP(F3068,ccustos!A:A,ccustos!B:B),"Sem termo")</f>
        <v>DIGEO</v>
      </c>
    </row>
    <row r="3069" spans="1:10" ht="25.5" x14ac:dyDescent="0.25">
      <c r="A3069" s="16">
        <v>14877</v>
      </c>
      <c r="B3069" s="17" t="s">
        <v>236</v>
      </c>
      <c r="C3069" s="17" t="s">
        <v>237</v>
      </c>
      <c r="D3069" s="17" t="s">
        <v>1509</v>
      </c>
      <c r="E3069" s="17" t="s">
        <v>239</v>
      </c>
      <c r="F3069" s="17" t="s">
        <v>211</v>
      </c>
      <c r="G3069" s="17" t="s">
        <v>1730</v>
      </c>
      <c r="H3069" s="18">
        <v>1586</v>
      </c>
      <c r="I3069" s="18">
        <v>1586</v>
      </c>
      <c r="J3069" s="7" t="str">
        <f>IFERROR(_xlfn.XLOOKUP(F3069,ccustos!A:A,ccustos!B:B),"Sem termo")</f>
        <v>DIGEO</v>
      </c>
    </row>
    <row r="3070" spans="1:10" ht="25.5" x14ac:dyDescent="0.25">
      <c r="A3070" s="14">
        <v>14878</v>
      </c>
      <c r="B3070" s="7" t="s">
        <v>236</v>
      </c>
      <c r="C3070" s="7" t="s">
        <v>237</v>
      </c>
      <c r="D3070" s="7" t="s">
        <v>1509</v>
      </c>
      <c r="E3070" s="7" t="s">
        <v>239</v>
      </c>
      <c r="F3070" s="7" t="s">
        <v>20</v>
      </c>
      <c r="G3070" s="7" t="s">
        <v>1730</v>
      </c>
      <c r="H3070" s="15">
        <v>1586</v>
      </c>
      <c r="I3070" s="15">
        <v>1586</v>
      </c>
      <c r="J3070" s="7" t="str">
        <f>IFERROR(_xlfn.XLOOKUP(F3070,ccustos!A:A,ccustos!B:B),"Sem termo")</f>
        <v>CGTI</v>
      </c>
    </row>
    <row r="3071" spans="1:10" ht="25.5" x14ac:dyDescent="0.25">
      <c r="A3071" s="16">
        <v>14879</v>
      </c>
      <c r="B3071" s="17" t="s">
        <v>236</v>
      </c>
      <c r="C3071" s="17" t="s">
        <v>237</v>
      </c>
      <c r="D3071" s="17" t="s">
        <v>1509</v>
      </c>
      <c r="E3071" s="17" t="s">
        <v>239</v>
      </c>
      <c r="F3071" s="17" t="s">
        <v>20</v>
      </c>
      <c r="G3071" s="17" t="s">
        <v>1730</v>
      </c>
      <c r="H3071" s="18">
        <v>1586</v>
      </c>
      <c r="I3071" s="18">
        <v>1586</v>
      </c>
      <c r="J3071" s="7" t="str">
        <f>IFERROR(_xlfn.XLOOKUP(F3071,ccustos!A:A,ccustos!B:B),"Sem termo")</f>
        <v>CGTI</v>
      </c>
    </row>
    <row r="3072" spans="1:10" ht="25.5" x14ac:dyDescent="0.25">
      <c r="A3072" s="14">
        <v>14880</v>
      </c>
      <c r="B3072" s="7" t="s">
        <v>236</v>
      </c>
      <c r="C3072" s="7" t="s">
        <v>237</v>
      </c>
      <c r="D3072" s="7" t="s">
        <v>1509</v>
      </c>
      <c r="E3072" s="7" t="s">
        <v>239</v>
      </c>
      <c r="F3072" s="7" t="s">
        <v>20</v>
      </c>
      <c r="G3072" s="7" t="s">
        <v>1730</v>
      </c>
      <c r="H3072" s="15">
        <v>1586</v>
      </c>
      <c r="I3072" s="15">
        <v>1586</v>
      </c>
      <c r="J3072" s="7" t="str">
        <f>IFERROR(_xlfn.XLOOKUP(F3072,ccustos!A:A,ccustos!B:B),"Sem termo")</f>
        <v>CGTI</v>
      </c>
    </row>
    <row r="3073" spans="1:10" ht="25.5" x14ac:dyDescent="0.25">
      <c r="A3073" s="16">
        <v>14881</v>
      </c>
      <c r="B3073" s="17" t="s">
        <v>236</v>
      </c>
      <c r="C3073" s="17" t="s">
        <v>237</v>
      </c>
      <c r="D3073" s="17" t="s">
        <v>1509</v>
      </c>
      <c r="E3073" s="17" t="s">
        <v>239</v>
      </c>
      <c r="F3073" s="17" t="s">
        <v>37</v>
      </c>
      <c r="G3073" s="17" t="s">
        <v>1730</v>
      </c>
      <c r="H3073" s="18">
        <v>1586</v>
      </c>
      <c r="I3073" s="18">
        <v>1586</v>
      </c>
      <c r="J3073" s="7" t="str">
        <f>IFERROR(_xlfn.XLOOKUP(F3073,ccustos!A:A,ccustos!B:B),"Sem termo")</f>
        <v>PROJUR</v>
      </c>
    </row>
    <row r="3074" spans="1:10" ht="25.5" x14ac:dyDescent="0.25">
      <c r="A3074" s="14">
        <v>14882</v>
      </c>
      <c r="B3074" s="7" t="s">
        <v>236</v>
      </c>
      <c r="C3074" s="7" t="s">
        <v>237</v>
      </c>
      <c r="D3074" s="7" t="s">
        <v>1509</v>
      </c>
      <c r="E3074" s="7" t="s">
        <v>239</v>
      </c>
      <c r="F3074" s="7" t="s">
        <v>20</v>
      </c>
      <c r="G3074" s="7" t="s">
        <v>1730</v>
      </c>
      <c r="H3074" s="15">
        <v>1586</v>
      </c>
      <c r="I3074" s="15">
        <v>1586</v>
      </c>
      <c r="J3074" s="7" t="str">
        <f>IFERROR(_xlfn.XLOOKUP(F3074,ccustos!A:A,ccustos!B:B),"Sem termo")</f>
        <v>CGTI</v>
      </c>
    </row>
    <row r="3075" spans="1:10" ht="25.5" x14ac:dyDescent="0.25">
      <c r="A3075" s="16">
        <v>14883</v>
      </c>
      <c r="B3075" s="17" t="s">
        <v>236</v>
      </c>
      <c r="C3075" s="17" t="s">
        <v>237</v>
      </c>
      <c r="D3075" s="17" t="s">
        <v>1509</v>
      </c>
      <c r="E3075" s="17" t="s">
        <v>239</v>
      </c>
      <c r="F3075" s="17" t="s">
        <v>20</v>
      </c>
      <c r="G3075" s="17" t="s">
        <v>1730</v>
      </c>
      <c r="H3075" s="18">
        <v>1586</v>
      </c>
      <c r="I3075" s="18">
        <v>1586</v>
      </c>
      <c r="J3075" s="7" t="str">
        <f>IFERROR(_xlfn.XLOOKUP(F3075,ccustos!A:A,ccustos!B:B),"Sem termo")</f>
        <v>CGTI</v>
      </c>
    </row>
    <row r="3076" spans="1:10" ht="25.5" x14ac:dyDescent="0.25">
      <c r="A3076" s="14">
        <v>14884</v>
      </c>
      <c r="B3076" s="7" t="s">
        <v>236</v>
      </c>
      <c r="C3076" s="7" t="s">
        <v>237</v>
      </c>
      <c r="D3076" s="7" t="s">
        <v>1509</v>
      </c>
      <c r="E3076" s="7" t="s">
        <v>239</v>
      </c>
      <c r="F3076" s="7" t="s">
        <v>37</v>
      </c>
      <c r="G3076" s="7" t="s">
        <v>1730</v>
      </c>
      <c r="H3076" s="15">
        <v>1586</v>
      </c>
      <c r="I3076" s="15">
        <v>1586</v>
      </c>
      <c r="J3076" s="7" t="str">
        <f>IFERROR(_xlfn.XLOOKUP(F3076,ccustos!A:A,ccustos!B:B),"Sem termo")</f>
        <v>PROJUR</v>
      </c>
    </row>
    <row r="3077" spans="1:10" ht="25.5" x14ac:dyDescent="0.25">
      <c r="A3077" s="16">
        <v>14885</v>
      </c>
      <c r="B3077" s="17" t="s">
        <v>236</v>
      </c>
      <c r="C3077" s="17" t="s">
        <v>237</v>
      </c>
      <c r="D3077" s="17" t="s">
        <v>1509</v>
      </c>
      <c r="E3077" s="17" t="s">
        <v>239</v>
      </c>
      <c r="F3077" s="17" t="s">
        <v>20</v>
      </c>
      <c r="G3077" s="17" t="s">
        <v>1730</v>
      </c>
      <c r="H3077" s="18">
        <v>1586</v>
      </c>
      <c r="I3077" s="18">
        <v>1586</v>
      </c>
      <c r="J3077" s="7" t="str">
        <f>IFERROR(_xlfn.XLOOKUP(F3077,ccustos!A:A,ccustos!B:B),"Sem termo")</f>
        <v>CGTI</v>
      </c>
    </row>
    <row r="3078" spans="1:10" ht="25.5" x14ac:dyDescent="0.25">
      <c r="A3078" s="14">
        <v>14886</v>
      </c>
      <c r="B3078" s="7" t="s">
        <v>236</v>
      </c>
      <c r="C3078" s="7" t="s">
        <v>237</v>
      </c>
      <c r="D3078" s="7" t="s">
        <v>1509</v>
      </c>
      <c r="E3078" s="7" t="s">
        <v>239</v>
      </c>
      <c r="F3078" s="7" t="s">
        <v>37</v>
      </c>
      <c r="G3078" s="7" t="s">
        <v>1730</v>
      </c>
      <c r="H3078" s="15">
        <v>1586</v>
      </c>
      <c r="I3078" s="15">
        <v>1586</v>
      </c>
      <c r="J3078" s="7" t="str">
        <f>IFERROR(_xlfn.XLOOKUP(F3078,ccustos!A:A,ccustos!B:B),"Sem termo")</f>
        <v>PROJUR</v>
      </c>
    </row>
    <row r="3079" spans="1:10" ht="25.5" x14ac:dyDescent="0.25">
      <c r="A3079" s="16">
        <v>14887</v>
      </c>
      <c r="B3079" s="17" t="s">
        <v>236</v>
      </c>
      <c r="C3079" s="17" t="s">
        <v>237</v>
      </c>
      <c r="D3079" s="17" t="s">
        <v>1509</v>
      </c>
      <c r="E3079" s="17" t="s">
        <v>239</v>
      </c>
      <c r="F3079" s="17" t="s">
        <v>20</v>
      </c>
      <c r="G3079" s="17" t="s">
        <v>1730</v>
      </c>
      <c r="H3079" s="18">
        <v>1586</v>
      </c>
      <c r="I3079" s="18">
        <v>1586</v>
      </c>
      <c r="J3079" s="7" t="str">
        <f>IFERROR(_xlfn.XLOOKUP(F3079,ccustos!A:A,ccustos!B:B),"Sem termo")</f>
        <v>CGTI</v>
      </c>
    </row>
    <row r="3080" spans="1:10" ht="25.5" x14ac:dyDescent="0.25">
      <c r="A3080" s="14">
        <v>14888</v>
      </c>
      <c r="B3080" s="7" t="s">
        <v>236</v>
      </c>
      <c r="C3080" s="7" t="s">
        <v>237</v>
      </c>
      <c r="D3080" s="7" t="s">
        <v>1509</v>
      </c>
      <c r="E3080" s="7" t="s">
        <v>239</v>
      </c>
      <c r="F3080" s="7" t="s">
        <v>20</v>
      </c>
      <c r="G3080" s="7" t="s">
        <v>1730</v>
      </c>
      <c r="H3080" s="15">
        <v>1586</v>
      </c>
      <c r="I3080" s="15">
        <v>1586</v>
      </c>
      <c r="J3080" s="7" t="str">
        <f>IFERROR(_xlfn.XLOOKUP(F3080,ccustos!A:A,ccustos!B:B),"Sem termo")</f>
        <v>CGTI</v>
      </c>
    </row>
    <row r="3081" spans="1:10" ht="25.5" x14ac:dyDescent="0.25">
      <c r="A3081" s="16">
        <v>14889</v>
      </c>
      <c r="B3081" s="17" t="s">
        <v>236</v>
      </c>
      <c r="C3081" s="17" t="s">
        <v>237</v>
      </c>
      <c r="D3081" s="17" t="s">
        <v>1509</v>
      </c>
      <c r="E3081" s="17" t="s">
        <v>239</v>
      </c>
      <c r="F3081" s="17" t="s">
        <v>20</v>
      </c>
      <c r="G3081" s="17" t="s">
        <v>1730</v>
      </c>
      <c r="H3081" s="18">
        <v>1586</v>
      </c>
      <c r="I3081" s="18">
        <v>1586</v>
      </c>
      <c r="J3081" s="7" t="str">
        <f>IFERROR(_xlfn.XLOOKUP(F3081,ccustos!A:A,ccustos!B:B),"Sem termo")</f>
        <v>CGTI</v>
      </c>
    </row>
    <row r="3082" spans="1:10" ht="25.5" x14ac:dyDescent="0.25">
      <c r="A3082" s="14">
        <v>14890</v>
      </c>
      <c r="B3082" s="7" t="s">
        <v>236</v>
      </c>
      <c r="C3082" s="7" t="s">
        <v>237</v>
      </c>
      <c r="D3082" s="7" t="s">
        <v>1509</v>
      </c>
      <c r="E3082" s="7" t="s">
        <v>239</v>
      </c>
      <c r="F3082" s="7" t="s">
        <v>6</v>
      </c>
      <c r="G3082" s="7" t="s">
        <v>1730</v>
      </c>
      <c r="H3082" s="15">
        <v>1586</v>
      </c>
      <c r="I3082" s="15">
        <v>1586</v>
      </c>
      <c r="J3082" s="7" t="str">
        <f>IFERROR(_xlfn.XLOOKUP(F3082,ccustos!A:A,ccustos!B:B),"Sem termo")</f>
        <v>SEPAT</v>
      </c>
    </row>
    <row r="3083" spans="1:10" ht="25.5" x14ac:dyDescent="0.25">
      <c r="A3083" s="16">
        <v>14891</v>
      </c>
      <c r="B3083" s="17" t="s">
        <v>236</v>
      </c>
      <c r="C3083" s="17" t="s">
        <v>237</v>
      </c>
      <c r="D3083" s="17" t="s">
        <v>1509</v>
      </c>
      <c r="E3083" s="17" t="s">
        <v>239</v>
      </c>
      <c r="F3083" s="17" t="s">
        <v>20</v>
      </c>
      <c r="G3083" s="17" t="s">
        <v>1730</v>
      </c>
      <c r="H3083" s="18">
        <v>1586</v>
      </c>
      <c r="I3083" s="18">
        <v>1586</v>
      </c>
      <c r="J3083" s="7" t="str">
        <f>IFERROR(_xlfn.XLOOKUP(F3083,ccustos!A:A,ccustos!B:B),"Sem termo")</f>
        <v>CGTI</v>
      </c>
    </row>
    <row r="3084" spans="1:10" ht="25.5" x14ac:dyDescent="0.25">
      <c r="A3084" s="14">
        <v>14892</v>
      </c>
      <c r="B3084" s="7" t="s">
        <v>236</v>
      </c>
      <c r="C3084" s="7" t="s">
        <v>237</v>
      </c>
      <c r="D3084" s="7" t="s">
        <v>1509</v>
      </c>
      <c r="E3084" s="7" t="s">
        <v>239</v>
      </c>
      <c r="F3084" s="7" t="s">
        <v>20</v>
      </c>
      <c r="G3084" s="7" t="s">
        <v>1730</v>
      </c>
      <c r="H3084" s="15">
        <v>1586</v>
      </c>
      <c r="I3084" s="15">
        <v>1586</v>
      </c>
      <c r="J3084" s="7" t="str">
        <f>IFERROR(_xlfn.XLOOKUP(F3084,ccustos!A:A,ccustos!B:B),"Sem termo")</f>
        <v>CGTI</v>
      </c>
    </row>
    <row r="3085" spans="1:10" ht="25.5" x14ac:dyDescent="0.25">
      <c r="A3085" s="16">
        <v>14893</v>
      </c>
      <c r="B3085" s="17" t="s">
        <v>236</v>
      </c>
      <c r="C3085" s="17" t="s">
        <v>237</v>
      </c>
      <c r="D3085" s="17" t="s">
        <v>1509</v>
      </c>
      <c r="E3085" s="17" t="s">
        <v>239</v>
      </c>
      <c r="F3085" s="17" t="s">
        <v>6</v>
      </c>
      <c r="G3085" s="17" t="s">
        <v>1730</v>
      </c>
      <c r="H3085" s="18">
        <v>1586</v>
      </c>
      <c r="I3085" s="18">
        <v>1586</v>
      </c>
      <c r="J3085" s="7" t="str">
        <f>IFERROR(_xlfn.XLOOKUP(F3085,ccustos!A:A,ccustos!B:B),"Sem termo")</f>
        <v>SEPAT</v>
      </c>
    </row>
    <row r="3086" spans="1:10" ht="25.5" x14ac:dyDescent="0.25">
      <c r="A3086" s="14">
        <v>14894</v>
      </c>
      <c r="B3086" s="7" t="s">
        <v>236</v>
      </c>
      <c r="C3086" s="7" t="s">
        <v>237</v>
      </c>
      <c r="D3086" s="7" t="s">
        <v>1509</v>
      </c>
      <c r="E3086" s="7" t="s">
        <v>239</v>
      </c>
      <c r="F3086" s="7" t="s">
        <v>213</v>
      </c>
      <c r="G3086" s="7" t="s">
        <v>1730</v>
      </c>
      <c r="H3086" s="15">
        <v>1586</v>
      </c>
      <c r="I3086" s="15">
        <v>1586</v>
      </c>
      <c r="J3086" s="7" t="str">
        <f>IFERROR(_xlfn.XLOOKUP(F3086,ccustos!A:A,ccustos!B:B),"Sem termo")</f>
        <v>DIEPG</v>
      </c>
    </row>
    <row r="3087" spans="1:10" ht="25.5" x14ac:dyDescent="0.25">
      <c r="A3087" s="16">
        <v>14895</v>
      </c>
      <c r="B3087" s="17" t="s">
        <v>236</v>
      </c>
      <c r="C3087" s="17" t="s">
        <v>237</v>
      </c>
      <c r="D3087" s="17" t="s">
        <v>1509</v>
      </c>
      <c r="E3087" s="17" t="s">
        <v>239</v>
      </c>
      <c r="F3087" s="17" t="s">
        <v>20</v>
      </c>
      <c r="G3087" s="17" t="s">
        <v>1730</v>
      </c>
      <c r="H3087" s="18">
        <v>1586</v>
      </c>
      <c r="I3087" s="18">
        <v>1586</v>
      </c>
      <c r="J3087" s="7" t="str">
        <f>IFERROR(_xlfn.XLOOKUP(F3087,ccustos!A:A,ccustos!B:B),"Sem termo")</f>
        <v>CGTI</v>
      </c>
    </row>
    <row r="3088" spans="1:10" ht="25.5" x14ac:dyDescent="0.25">
      <c r="A3088" s="14">
        <v>14896</v>
      </c>
      <c r="B3088" s="7" t="s">
        <v>236</v>
      </c>
      <c r="C3088" s="7" t="s">
        <v>237</v>
      </c>
      <c r="D3088" s="7" t="s">
        <v>1509</v>
      </c>
      <c r="E3088" s="7" t="s">
        <v>239</v>
      </c>
      <c r="F3088" s="7" t="s">
        <v>20</v>
      </c>
      <c r="G3088" s="7" t="s">
        <v>1730</v>
      </c>
      <c r="H3088" s="15">
        <v>1586</v>
      </c>
      <c r="I3088" s="15">
        <v>1586</v>
      </c>
      <c r="J3088" s="7" t="str">
        <f>IFERROR(_xlfn.XLOOKUP(F3088,ccustos!A:A,ccustos!B:B),"Sem termo")</f>
        <v>CGTI</v>
      </c>
    </row>
    <row r="3089" spans="1:10" ht="25.5" x14ac:dyDescent="0.25">
      <c r="A3089" s="16">
        <v>14897</v>
      </c>
      <c r="B3089" s="17" t="s">
        <v>236</v>
      </c>
      <c r="C3089" s="17" t="s">
        <v>237</v>
      </c>
      <c r="D3089" s="17" t="s">
        <v>1509</v>
      </c>
      <c r="E3089" s="17" t="s">
        <v>239</v>
      </c>
      <c r="F3089" s="17" t="s">
        <v>20</v>
      </c>
      <c r="G3089" s="17" t="s">
        <v>1730</v>
      </c>
      <c r="H3089" s="18">
        <v>1586</v>
      </c>
      <c r="I3089" s="18">
        <v>1586</v>
      </c>
      <c r="J3089" s="7" t="str">
        <f>IFERROR(_xlfn.XLOOKUP(F3089,ccustos!A:A,ccustos!B:B),"Sem termo")</f>
        <v>CGTI</v>
      </c>
    </row>
    <row r="3090" spans="1:10" ht="25.5" x14ac:dyDescent="0.25">
      <c r="A3090" s="14">
        <v>14898</v>
      </c>
      <c r="B3090" s="7" t="s">
        <v>236</v>
      </c>
      <c r="C3090" s="7" t="s">
        <v>237</v>
      </c>
      <c r="D3090" s="7" t="s">
        <v>1509</v>
      </c>
      <c r="E3090" s="7" t="s">
        <v>239</v>
      </c>
      <c r="F3090" s="7" t="s">
        <v>83</v>
      </c>
      <c r="G3090" s="7" t="s">
        <v>1730</v>
      </c>
      <c r="H3090" s="15">
        <v>1586</v>
      </c>
      <c r="I3090" s="15">
        <v>1586</v>
      </c>
      <c r="J3090" s="7" t="str">
        <f>IFERROR(_xlfn.XLOOKUP(F3090,ccustos!A:A,ccustos!B:B),"Sem termo")</f>
        <v>GABIN</v>
      </c>
    </row>
    <row r="3091" spans="1:10" ht="25.5" x14ac:dyDescent="0.25">
      <c r="A3091" s="16">
        <v>14899</v>
      </c>
      <c r="B3091" s="17" t="s">
        <v>236</v>
      </c>
      <c r="C3091" s="17" t="s">
        <v>237</v>
      </c>
      <c r="D3091" s="17" t="s">
        <v>1509</v>
      </c>
      <c r="E3091" s="17" t="s">
        <v>239</v>
      </c>
      <c r="F3091" s="17" t="s">
        <v>20</v>
      </c>
      <c r="G3091" s="17" t="s">
        <v>1730</v>
      </c>
      <c r="H3091" s="18">
        <v>1586</v>
      </c>
      <c r="I3091" s="18">
        <v>1586</v>
      </c>
      <c r="J3091" s="7" t="str">
        <f>IFERROR(_xlfn.XLOOKUP(F3091,ccustos!A:A,ccustos!B:B),"Sem termo")</f>
        <v>CGTI</v>
      </c>
    </row>
    <row r="3092" spans="1:10" ht="25.5" x14ac:dyDescent="0.25">
      <c r="A3092" s="14">
        <v>14900</v>
      </c>
      <c r="B3092" s="7" t="s">
        <v>236</v>
      </c>
      <c r="C3092" s="7" t="s">
        <v>237</v>
      </c>
      <c r="D3092" s="7" t="s">
        <v>1509</v>
      </c>
      <c r="E3092" s="7" t="s">
        <v>239</v>
      </c>
      <c r="F3092" s="7" t="s">
        <v>20</v>
      </c>
      <c r="G3092" s="7" t="s">
        <v>1730</v>
      </c>
      <c r="H3092" s="15">
        <v>1586</v>
      </c>
      <c r="I3092" s="15">
        <v>1586</v>
      </c>
      <c r="J3092" s="7" t="str">
        <f>IFERROR(_xlfn.XLOOKUP(F3092,ccustos!A:A,ccustos!B:B),"Sem termo")</f>
        <v>CGTI</v>
      </c>
    </row>
    <row r="3093" spans="1:10" ht="25.5" x14ac:dyDescent="0.25">
      <c r="A3093" s="16">
        <v>14901</v>
      </c>
      <c r="B3093" s="17" t="s">
        <v>236</v>
      </c>
      <c r="C3093" s="17" t="s">
        <v>237</v>
      </c>
      <c r="D3093" s="17" t="s">
        <v>1509</v>
      </c>
      <c r="E3093" s="17" t="s">
        <v>239</v>
      </c>
      <c r="F3093" s="17" t="s">
        <v>20</v>
      </c>
      <c r="G3093" s="17" t="s">
        <v>1730</v>
      </c>
      <c r="H3093" s="18">
        <v>1586</v>
      </c>
      <c r="I3093" s="18">
        <v>1586</v>
      </c>
      <c r="J3093" s="7" t="str">
        <f>IFERROR(_xlfn.XLOOKUP(F3093,ccustos!A:A,ccustos!B:B),"Sem termo")</f>
        <v>CGTI</v>
      </c>
    </row>
    <row r="3094" spans="1:10" ht="25.5" x14ac:dyDescent="0.25">
      <c r="A3094" s="14">
        <v>14902</v>
      </c>
      <c r="B3094" s="7" t="s">
        <v>236</v>
      </c>
      <c r="C3094" s="7" t="s">
        <v>237</v>
      </c>
      <c r="D3094" s="7" t="s">
        <v>1509</v>
      </c>
      <c r="E3094" s="7" t="s">
        <v>239</v>
      </c>
      <c r="F3094" s="7" t="s">
        <v>20</v>
      </c>
      <c r="G3094" s="7" t="s">
        <v>1730</v>
      </c>
      <c r="H3094" s="15">
        <v>1586</v>
      </c>
      <c r="I3094" s="15">
        <v>1586</v>
      </c>
      <c r="J3094" s="7" t="str">
        <f>IFERROR(_xlfn.XLOOKUP(F3094,ccustos!A:A,ccustos!B:B),"Sem termo")</f>
        <v>CGTI</v>
      </c>
    </row>
    <row r="3095" spans="1:10" ht="25.5" x14ac:dyDescent="0.25">
      <c r="A3095" s="16">
        <v>14903</v>
      </c>
      <c r="B3095" s="17" t="s">
        <v>236</v>
      </c>
      <c r="C3095" s="17" t="s">
        <v>237</v>
      </c>
      <c r="D3095" s="17" t="s">
        <v>1509</v>
      </c>
      <c r="E3095" s="17" t="s">
        <v>239</v>
      </c>
      <c r="F3095" s="17" t="s">
        <v>37</v>
      </c>
      <c r="G3095" s="17" t="s">
        <v>1730</v>
      </c>
      <c r="H3095" s="18">
        <v>1586</v>
      </c>
      <c r="I3095" s="18">
        <v>1586</v>
      </c>
      <c r="J3095" s="7" t="str">
        <f>IFERROR(_xlfn.XLOOKUP(F3095,ccustos!A:A,ccustos!B:B),"Sem termo")</f>
        <v>PROJUR</v>
      </c>
    </row>
    <row r="3096" spans="1:10" ht="25.5" x14ac:dyDescent="0.25">
      <c r="A3096" s="14">
        <v>14904</v>
      </c>
      <c r="B3096" s="7" t="s">
        <v>236</v>
      </c>
      <c r="C3096" s="7" t="s">
        <v>237</v>
      </c>
      <c r="D3096" s="7" t="s">
        <v>1509</v>
      </c>
      <c r="E3096" s="7" t="s">
        <v>239</v>
      </c>
      <c r="F3096" s="7" t="s">
        <v>20</v>
      </c>
      <c r="G3096" s="7" t="s">
        <v>1730</v>
      </c>
      <c r="H3096" s="15">
        <v>1586</v>
      </c>
      <c r="I3096" s="15">
        <v>1586</v>
      </c>
      <c r="J3096" s="7" t="str">
        <f>IFERROR(_xlfn.XLOOKUP(F3096,ccustos!A:A,ccustos!B:B),"Sem termo")</f>
        <v>CGTI</v>
      </c>
    </row>
    <row r="3097" spans="1:10" ht="25.5" x14ac:dyDescent="0.25">
      <c r="A3097" s="16">
        <v>14905</v>
      </c>
      <c r="B3097" s="17" t="s">
        <v>236</v>
      </c>
      <c r="C3097" s="17" t="s">
        <v>237</v>
      </c>
      <c r="D3097" s="17" t="s">
        <v>1509</v>
      </c>
      <c r="E3097" s="17" t="s">
        <v>239</v>
      </c>
      <c r="F3097" s="17" t="s">
        <v>20</v>
      </c>
      <c r="G3097" s="17" t="s">
        <v>1730</v>
      </c>
      <c r="H3097" s="18">
        <v>1586</v>
      </c>
      <c r="I3097" s="18">
        <v>1586</v>
      </c>
      <c r="J3097" s="7" t="str">
        <f>IFERROR(_xlfn.XLOOKUP(F3097,ccustos!A:A,ccustos!B:B),"Sem termo")</f>
        <v>CGTI</v>
      </c>
    </row>
    <row r="3098" spans="1:10" ht="25.5" x14ac:dyDescent="0.25">
      <c r="A3098" s="14">
        <v>14906</v>
      </c>
      <c r="B3098" s="7" t="s">
        <v>236</v>
      </c>
      <c r="C3098" s="7" t="s">
        <v>1131</v>
      </c>
      <c r="D3098" s="7" t="s">
        <v>1731</v>
      </c>
      <c r="E3098" s="7" t="s">
        <v>250</v>
      </c>
      <c r="F3098" s="7" t="s">
        <v>59</v>
      </c>
      <c r="G3098" s="7" t="s">
        <v>1732</v>
      </c>
      <c r="H3098" s="15">
        <v>5433.51</v>
      </c>
      <c r="I3098" s="15">
        <v>5433.51</v>
      </c>
      <c r="J3098" s="7" t="str">
        <f>IFERROR(_xlfn.XLOOKUP(F3098,ccustos!A:A,ccustos!B:B),"Sem termo")</f>
        <v>SEPAT</v>
      </c>
    </row>
    <row r="3099" spans="1:10" ht="25.5" x14ac:dyDescent="0.25">
      <c r="A3099" s="16">
        <v>14907</v>
      </c>
      <c r="B3099" s="17" t="s">
        <v>236</v>
      </c>
      <c r="C3099" s="17" t="s">
        <v>1131</v>
      </c>
      <c r="D3099" s="17" t="s">
        <v>1733</v>
      </c>
      <c r="E3099" s="17" t="s">
        <v>250</v>
      </c>
      <c r="F3099" s="17" t="s">
        <v>10</v>
      </c>
      <c r="G3099" s="17" t="s">
        <v>1732</v>
      </c>
      <c r="H3099" s="18">
        <v>3487.33</v>
      </c>
      <c r="I3099" s="18">
        <v>3487.33</v>
      </c>
      <c r="J3099" s="7" t="str">
        <f>IFERROR(_xlfn.XLOOKUP(F3099,ccustos!A:A,ccustos!B:B),"Sem termo")</f>
        <v>SEPAT</v>
      </c>
    </row>
    <row r="3100" spans="1:10" ht="25.5" x14ac:dyDescent="0.25">
      <c r="A3100" s="14">
        <v>14908</v>
      </c>
      <c r="B3100" s="7" t="s">
        <v>236</v>
      </c>
      <c r="C3100" s="7" t="s">
        <v>1290</v>
      </c>
      <c r="D3100" s="7" t="s">
        <v>1734</v>
      </c>
      <c r="E3100" s="7" t="s">
        <v>250</v>
      </c>
      <c r="F3100" s="7" t="s">
        <v>47</v>
      </c>
      <c r="G3100" s="7" t="s">
        <v>1735</v>
      </c>
      <c r="H3100" s="15">
        <v>119.96</v>
      </c>
      <c r="I3100" s="15">
        <v>119.96</v>
      </c>
      <c r="J3100" s="7" t="str">
        <f>IFERROR(_xlfn.XLOOKUP(F3100,ccustos!A:A,ccustos!B:B),"Sem termo")</f>
        <v>CDPROF</v>
      </c>
    </row>
    <row r="3101" spans="1:10" ht="25.5" x14ac:dyDescent="0.25">
      <c r="A3101" s="16">
        <v>14909</v>
      </c>
      <c r="B3101" s="17" t="s">
        <v>236</v>
      </c>
      <c r="C3101" s="17" t="s">
        <v>1290</v>
      </c>
      <c r="D3101" s="17" t="s">
        <v>1734</v>
      </c>
      <c r="E3101" s="17" t="s">
        <v>250</v>
      </c>
      <c r="F3101" s="17" t="s">
        <v>47</v>
      </c>
      <c r="G3101" s="17" t="s">
        <v>1735</v>
      </c>
      <c r="H3101" s="18">
        <v>119.96</v>
      </c>
      <c r="I3101" s="18">
        <v>119.96</v>
      </c>
      <c r="J3101" s="7" t="str">
        <f>IFERROR(_xlfn.XLOOKUP(F3101,ccustos!A:A,ccustos!B:B),"Sem termo")</f>
        <v>CDPROF</v>
      </c>
    </row>
    <row r="3102" spans="1:10" ht="25.5" x14ac:dyDescent="0.25">
      <c r="A3102" s="14">
        <v>14910</v>
      </c>
      <c r="B3102" s="7" t="s">
        <v>236</v>
      </c>
      <c r="C3102" s="7" t="s">
        <v>1290</v>
      </c>
      <c r="D3102" s="7" t="s">
        <v>1734</v>
      </c>
      <c r="E3102" s="7" t="s">
        <v>250</v>
      </c>
      <c r="F3102" s="7" t="s">
        <v>47</v>
      </c>
      <c r="G3102" s="7" t="s">
        <v>1735</v>
      </c>
      <c r="H3102" s="15">
        <v>119.96</v>
      </c>
      <c r="I3102" s="15">
        <v>119.96</v>
      </c>
      <c r="J3102" s="7" t="str">
        <f>IFERROR(_xlfn.XLOOKUP(F3102,ccustos!A:A,ccustos!B:B),"Sem termo")</f>
        <v>CDPROF</v>
      </c>
    </row>
    <row r="3103" spans="1:10" ht="25.5" x14ac:dyDescent="0.25">
      <c r="A3103" s="16">
        <v>14911</v>
      </c>
      <c r="B3103" s="17" t="s">
        <v>236</v>
      </c>
      <c r="C3103" s="17" t="s">
        <v>1290</v>
      </c>
      <c r="D3103" s="17" t="s">
        <v>1734</v>
      </c>
      <c r="E3103" s="17" t="s">
        <v>250</v>
      </c>
      <c r="F3103" s="17" t="s">
        <v>47</v>
      </c>
      <c r="G3103" s="17" t="s">
        <v>1735</v>
      </c>
      <c r="H3103" s="18">
        <v>119.96</v>
      </c>
      <c r="I3103" s="18">
        <v>119.96</v>
      </c>
      <c r="J3103" s="7" t="str">
        <f>IFERROR(_xlfn.XLOOKUP(F3103,ccustos!A:A,ccustos!B:B),"Sem termo")</f>
        <v>CDPROF</v>
      </c>
    </row>
    <row r="3104" spans="1:10" ht="25.5" x14ac:dyDescent="0.25">
      <c r="A3104" s="14">
        <v>14912</v>
      </c>
      <c r="B3104" s="7" t="s">
        <v>236</v>
      </c>
      <c r="C3104" s="7" t="s">
        <v>1290</v>
      </c>
      <c r="D3104" s="7" t="s">
        <v>1734</v>
      </c>
      <c r="E3104" s="7" t="s">
        <v>250</v>
      </c>
      <c r="F3104" s="7" t="s">
        <v>47</v>
      </c>
      <c r="G3104" s="7" t="s">
        <v>1735</v>
      </c>
      <c r="H3104" s="15">
        <v>119.96</v>
      </c>
      <c r="I3104" s="15">
        <v>119.96</v>
      </c>
      <c r="J3104" s="7" t="str">
        <f>IFERROR(_xlfn.XLOOKUP(F3104,ccustos!A:A,ccustos!B:B),"Sem termo")</f>
        <v>CDPROF</v>
      </c>
    </row>
    <row r="3105" spans="1:10" ht="25.5" x14ac:dyDescent="0.25">
      <c r="A3105" s="16">
        <v>14913</v>
      </c>
      <c r="B3105" s="17" t="s">
        <v>236</v>
      </c>
      <c r="C3105" s="17" t="s">
        <v>1290</v>
      </c>
      <c r="D3105" s="17" t="s">
        <v>1734</v>
      </c>
      <c r="E3105" s="17" t="s">
        <v>250</v>
      </c>
      <c r="F3105" s="17" t="s">
        <v>47</v>
      </c>
      <c r="G3105" s="17" t="s">
        <v>1735</v>
      </c>
      <c r="H3105" s="18">
        <v>119.96</v>
      </c>
      <c r="I3105" s="18">
        <v>119.96</v>
      </c>
      <c r="J3105" s="7" t="str">
        <f>IFERROR(_xlfn.XLOOKUP(F3105,ccustos!A:A,ccustos!B:B),"Sem termo")</f>
        <v>CDPROF</v>
      </c>
    </row>
    <row r="3106" spans="1:10" ht="25.5" x14ac:dyDescent="0.25">
      <c r="A3106" s="14">
        <v>14914</v>
      </c>
      <c r="B3106" s="7" t="s">
        <v>236</v>
      </c>
      <c r="C3106" s="7" t="s">
        <v>1290</v>
      </c>
      <c r="D3106" s="7" t="s">
        <v>1734</v>
      </c>
      <c r="E3106" s="7" t="s">
        <v>250</v>
      </c>
      <c r="F3106" s="7" t="s">
        <v>47</v>
      </c>
      <c r="G3106" s="7" t="s">
        <v>1735</v>
      </c>
      <c r="H3106" s="15">
        <v>119.96</v>
      </c>
      <c r="I3106" s="15">
        <v>119.96</v>
      </c>
      <c r="J3106" s="7" t="str">
        <f>IFERROR(_xlfn.XLOOKUP(F3106,ccustos!A:A,ccustos!B:B),"Sem termo")</f>
        <v>CDPROF</v>
      </c>
    </row>
    <row r="3107" spans="1:10" ht="25.5" x14ac:dyDescent="0.25">
      <c r="A3107" s="16">
        <v>14915</v>
      </c>
      <c r="B3107" s="17" t="s">
        <v>236</v>
      </c>
      <c r="C3107" s="17" t="s">
        <v>1290</v>
      </c>
      <c r="D3107" s="17" t="s">
        <v>1734</v>
      </c>
      <c r="E3107" s="17" t="s">
        <v>250</v>
      </c>
      <c r="F3107" s="17" t="s">
        <v>47</v>
      </c>
      <c r="G3107" s="17" t="s">
        <v>1735</v>
      </c>
      <c r="H3107" s="18">
        <v>119.96</v>
      </c>
      <c r="I3107" s="18">
        <v>119.96</v>
      </c>
      <c r="J3107" s="7" t="str">
        <f>IFERROR(_xlfn.XLOOKUP(F3107,ccustos!A:A,ccustos!B:B),"Sem termo")</f>
        <v>CDPROF</v>
      </c>
    </row>
    <row r="3108" spans="1:10" ht="25.5" x14ac:dyDescent="0.25">
      <c r="A3108" s="14">
        <v>14916</v>
      </c>
      <c r="B3108" s="7" t="s">
        <v>236</v>
      </c>
      <c r="C3108" s="7" t="s">
        <v>1290</v>
      </c>
      <c r="D3108" s="7" t="s">
        <v>1734</v>
      </c>
      <c r="E3108" s="7" t="s">
        <v>250</v>
      </c>
      <c r="F3108" s="7" t="s">
        <v>47</v>
      </c>
      <c r="G3108" s="7" t="s">
        <v>1735</v>
      </c>
      <c r="H3108" s="15">
        <v>119.96</v>
      </c>
      <c r="I3108" s="15">
        <v>119.96</v>
      </c>
      <c r="J3108" s="7" t="str">
        <f>IFERROR(_xlfn.XLOOKUP(F3108,ccustos!A:A,ccustos!B:B),"Sem termo")</f>
        <v>CDPROF</v>
      </c>
    </row>
    <row r="3109" spans="1:10" ht="25.5" x14ac:dyDescent="0.25">
      <c r="A3109" s="16">
        <v>14917</v>
      </c>
      <c r="B3109" s="17" t="s">
        <v>236</v>
      </c>
      <c r="C3109" s="17" t="s">
        <v>1290</v>
      </c>
      <c r="D3109" s="17" t="s">
        <v>1734</v>
      </c>
      <c r="E3109" s="17" t="s">
        <v>250</v>
      </c>
      <c r="F3109" s="17" t="s">
        <v>47</v>
      </c>
      <c r="G3109" s="17" t="s">
        <v>1735</v>
      </c>
      <c r="H3109" s="18">
        <v>119.96</v>
      </c>
      <c r="I3109" s="18">
        <v>119.96</v>
      </c>
      <c r="J3109" s="7" t="str">
        <f>IFERROR(_xlfn.XLOOKUP(F3109,ccustos!A:A,ccustos!B:B),"Sem termo")</f>
        <v>CDPROF</v>
      </c>
    </row>
    <row r="3110" spans="1:10" ht="25.5" x14ac:dyDescent="0.25">
      <c r="A3110" s="14">
        <v>14918</v>
      </c>
      <c r="B3110" s="7" t="s">
        <v>236</v>
      </c>
      <c r="C3110" s="7" t="s">
        <v>241</v>
      </c>
      <c r="D3110" s="7" t="s">
        <v>1736</v>
      </c>
      <c r="E3110" s="7" t="s">
        <v>239</v>
      </c>
      <c r="F3110" s="7" t="s">
        <v>20</v>
      </c>
      <c r="G3110" s="7" t="s">
        <v>1737</v>
      </c>
      <c r="H3110" s="15">
        <v>5100</v>
      </c>
      <c r="I3110" s="15">
        <v>5100</v>
      </c>
      <c r="J3110" s="7" t="str">
        <f>IFERROR(_xlfn.XLOOKUP(F3110,ccustos!A:A,ccustos!B:B),"Sem termo")</f>
        <v>CGTI</v>
      </c>
    </row>
    <row r="3111" spans="1:10" ht="25.5" x14ac:dyDescent="0.25">
      <c r="A3111" s="16">
        <v>14919</v>
      </c>
      <c r="B3111" s="17" t="s">
        <v>236</v>
      </c>
      <c r="C3111" s="17" t="s">
        <v>241</v>
      </c>
      <c r="D3111" s="17" t="s">
        <v>1738</v>
      </c>
      <c r="E3111" s="17" t="s">
        <v>239</v>
      </c>
      <c r="F3111" s="17" t="s">
        <v>20</v>
      </c>
      <c r="G3111" s="17" t="s">
        <v>1737</v>
      </c>
      <c r="H3111" s="18">
        <v>8500</v>
      </c>
      <c r="I3111" s="18">
        <v>8500</v>
      </c>
      <c r="J3111" s="7" t="str">
        <f>IFERROR(_xlfn.XLOOKUP(F3111,ccustos!A:A,ccustos!B:B),"Sem termo")</f>
        <v>CGTI</v>
      </c>
    </row>
    <row r="3112" spans="1:10" ht="25.5" x14ac:dyDescent="0.25">
      <c r="A3112" s="14">
        <v>14920</v>
      </c>
      <c r="B3112" s="7" t="s">
        <v>236</v>
      </c>
      <c r="C3112" s="7" t="s">
        <v>241</v>
      </c>
      <c r="D3112" s="7" t="s">
        <v>1739</v>
      </c>
      <c r="E3112" s="7" t="s">
        <v>239</v>
      </c>
      <c r="F3112" s="7" t="s">
        <v>20</v>
      </c>
      <c r="G3112" s="7" t="s">
        <v>1737</v>
      </c>
      <c r="H3112" s="15">
        <v>8500</v>
      </c>
      <c r="I3112" s="15">
        <v>8500</v>
      </c>
      <c r="J3112" s="7" t="str">
        <f>IFERROR(_xlfn.XLOOKUP(F3112,ccustos!A:A,ccustos!B:B),"Sem termo")</f>
        <v>CGTI</v>
      </c>
    </row>
    <row r="3113" spans="1:10" ht="25.5" x14ac:dyDescent="0.25">
      <c r="A3113" s="16">
        <v>14921</v>
      </c>
      <c r="B3113" s="17" t="s">
        <v>236</v>
      </c>
      <c r="C3113" s="17" t="s">
        <v>241</v>
      </c>
      <c r="D3113" s="17" t="s">
        <v>1739</v>
      </c>
      <c r="E3113" s="17" t="s">
        <v>239</v>
      </c>
      <c r="F3113" s="17" t="s">
        <v>20</v>
      </c>
      <c r="G3113" s="17" t="s">
        <v>1737</v>
      </c>
      <c r="H3113" s="18">
        <v>8500</v>
      </c>
      <c r="I3113" s="18">
        <v>8500</v>
      </c>
      <c r="J3113" s="7" t="str">
        <f>IFERROR(_xlfn.XLOOKUP(F3113,ccustos!A:A,ccustos!B:B),"Sem termo")</f>
        <v>CGTI</v>
      </c>
    </row>
    <row r="3114" spans="1:10" ht="25.5" x14ac:dyDescent="0.25">
      <c r="A3114" s="14">
        <v>14922</v>
      </c>
      <c r="B3114" s="7" t="s">
        <v>236</v>
      </c>
      <c r="C3114" s="7" t="s">
        <v>241</v>
      </c>
      <c r="D3114" s="7" t="s">
        <v>1740</v>
      </c>
      <c r="E3114" s="7" t="s">
        <v>239</v>
      </c>
      <c r="F3114" s="7" t="s">
        <v>20</v>
      </c>
      <c r="G3114" s="7" t="s">
        <v>1737</v>
      </c>
      <c r="H3114" s="15">
        <v>11500</v>
      </c>
      <c r="I3114" s="15">
        <v>11500</v>
      </c>
      <c r="J3114" s="7" t="str">
        <f>IFERROR(_xlfn.XLOOKUP(F3114,ccustos!A:A,ccustos!B:B),"Sem termo")</f>
        <v>CGTI</v>
      </c>
    </row>
    <row r="3115" spans="1:10" ht="25.5" x14ac:dyDescent="0.25">
      <c r="A3115" s="16">
        <v>14923</v>
      </c>
      <c r="B3115" s="17" t="s">
        <v>236</v>
      </c>
      <c r="C3115" s="17" t="s">
        <v>241</v>
      </c>
      <c r="D3115" s="17" t="s">
        <v>1741</v>
      </c>
      <c r="E3115" s="17" t="s">
        <v>239</v>
      </c>
      <c r="F3115" s="17" t="s">
        <v>20</v>
      </c>
      <c r="G3115" s="17" t="s">
        <v>1737</v>
      </c>
      <c r="H3115" s="18">
        <v>14500</v>
      </c>
      <c r="I3115" s="18">
        <v>14500</v>
      </c>
      <c r="J3115" s="7" t="str">
        <f>IFERROR(_xlfn.XLOOKUP(F3115,ccustos!A:A,ccustos!B:B),"Sem termo")</f>
        <v>CGTI</v>
      </c>
    </row>
    <row r="3116" spans="1:10" ht="25.5" x14ac:dyDescent="0.25">
      <c r="A3116" s="14">
        <v>14924</v>
      </c>
      <c r="B3116" s="7" t="s">
        <v>236</v>
      </c>
      <c r="C3116" s="7" t="s">
        <v>241</v>
      </c>
      <c r="D3116" s="7" t="s">
        <v>1742</v>
      </c>
      <c r="E3116" s="7" t="s">
        <v>239</v>
      </c>
      <c r="F3116" s="7" t="s">
        <v>20</v>
      </c>
      <c r="G3116" s="7" t="s">
        <v>1737</v>
      </c>
      <c r="H3116" s="15">
        <v>7500</v>
      </c>
      <c r="I3116" s="15">
        <v>7500</v>
      </c>
      <c r="J3116" s="7" t="str">
        <f>IFERROR(_xlfn.XLOOKUP(F3116,ccustos!A:A,ccustos!B:B),"Sem termo")</f>
        <v>CGTI</v>
      </c>
    </row>
    <row r="3117" spans="1:10" ht="25.5" x14ac:dyDescent="0.25">
      <c r="A3117" s="16">
        <v>14925</v>
      </c>
      <c r="B3117" s="17" t="s">
        <v>236</v>
      </c>
      <c r="C3117" s="17" t="s">
        <v>241</v>
      </c>
      <c r="D3117" s="17" t="s">
        <v>1742</v>
      </c>
      <c r="E3117" s="17" t="s">
        <v>239</v>
      </c>
      <c r="F3117" s="17" t="s">
        <v>20</v>
      </c>
      <c r="G3117" s="17" t="s">
        <v>1737</v>
      </c>
      <c r="H3117" s="18">
        <v>7500</v>
      </c>
      <c r="I3117" s="18">
        <v>7500</v>
      </c>
      <c r="J3117" s="7" t="str">
        <f>IFERROR(_xlfn.XLOOKUP(F3117,ccustos!A:A,ccustos!B:B),"Sem termo")</f>
        <v>CGTI</v>
      </c>
    </row>
    <row r="3118" spans="1:10" ht="25.5" x14ac:dyDescent="0.25">
      <c r="A3118" s="14">
        <v>14926</v>
      </c>
      <c r="B3118" s="7" t="s">
        <v>236</v>
      </c>
      <c r="C3118" s="7" t="s">
        <v>241</v>
      </c>
      <c r="D3118" s="7" t="s">
        <v>1743</v>
      </c>
      <c r="E3118" s="7" t="s">
        <v>239</v>
      </c>
      <c r="F3118" s="7" t="s">
        <v>20</v>
      </c>
      <c r="G3118" s="7" t="s">
        <v>1737</v>
      </c>
      <c r="H3118" s="15">
        <v>3150</v>
      </c>
      <c r="I3118" s="15">
        <v>3150</v>
      </c>
      <c r="J3118" s="7" t="str">
        <f>IFERROR(_xlfn.XLOOKUP(F3118,ccustos!A:A,ccustos!B:B),"Sem termo")</f>
        <v>CGTI</v>
      </c>
    </row>
    <row r="3119" spans="1:10" ht="25.5" x14ac:dyDescent="0.25">
      <c r="A3119" s="16">
        <v>14927</v>
      </c>
      <c r="B3119" s="17" t="s">
        <v>236</v>
      </c>
      <c r="C3119" s="17" t="s">
        <v>306</v>
      </c>
      <c r="D3119" s="17" t="s">
        <v>1744</v>
      </c>
      <c r="E3119" s="17" t="s">
        <v>239</v>
      </c>
      <c r="F3119" s="17" t="s">
        <v>20</v>
      </c>
      <c r="G3119" s="17" t="s">
        <v>1737</v>
      </c>
      <c r="H3119" s="18">
        <v>2200</v>
      </c>
      <c r="I3119" s="18">
        <v>2200</v>
      </c>
      <c r="J3119" s="7" t="str">
        <f>IFERROR(_xlfn.XLOOKUP(F3119,ccustos!A:A,ccustos!B:B),"Sem termo")</f>
        <v>CGTI</v>
      </c>
    </row>
    <row r="3120" spans="1:10" ht="25.5" x14ac:dyDescent="0.25">
      <c r="A3120" s="14">
        <v>14928</v>
      </c>
      <c r="B3120" s="7" t="s">
        <v>236</v>
      </c>
      <c r="C3120" s="7" t="s">
        <v>306</v>
      </c>
      <c r="D3120" s="7" t="s">
        <v>1744</v>
      </c>
      <c r="E3120" s="7" t="s">
        <v>239</v>
      </c>
      <c r="F3120" s="7" t="s">
        <v>20</v>
      </c>
      <c r="G3120" s="7" t="s">
        <v>1737</v>
      </c>
      <c r="H3120" s="15">
        <v>2200</v>
      </c>
      <c r="I3120" s="15">
        <v>2200</v>
      </c>
      <c r="J3120" s="7" t="str">
        <f>IFERROR(_xlfn.XLOOKUP(F3120,ccustos!A:A,ccustos!B:B),"Sem termo")</f>
        <v>CGTI</v>
      </c>
    </row>
    <row r="3121" spans="1:10" ht="25.5" x14ac:dyDescent="0.25">
      <c r="A3121" s="16">
        <v>14929</v>
      </c>
      <c r="B3121" s="17" t="s">
        <v>236</v>
      </c>
      <c r="C3121" s="17" t="s">
        <v>306</v>
      </c>
      <c r="D3121" s="17" t="s">
        <v>1744</v>
      </c>
      <c r="E3121" s="17" t="s">
        <v>239</v>
      </c>
      <c r="F3121" s="17" t="s">
        <v>20</v>
      </c>
      <c r="G3121" s="17" t="s">
        <v>1737</v>
      </c>
      <c r="H3121" s="18">
        <v>2200</v>
      </c>
      <c r="I3121" s="18">
        <v>2200</v>
      </c>
      <c r="J3121" s="7" t="str">
        <f>IFERROR(_xlfn.XLOOKUP(F3121,ccustos!A:A,ccustos!B:B),"Sem termo")</f>
        <v>CGTI</v>
      </c>
    </row>
    <row r="3122" spans="1:10" ht="25.5" x14ac:dyDescent="0.25">
      <c r="A3122" s="14">
        <v>14930</v>
      </c>
      <c r="B3122" s="7" t="s">
        <v>236</v>
      </c>
      <c r="C3122" s="7" t="s">
        <v>306</v>
      </c>
      <c r="D3122" s="7" t="s">
        <v>1744</v>
      </c>
      <c r="E3122" s="7" t="s">
        <v>239</v>
      </c>
      <c r="F3122" s="7" t="s">
        <v>20</v>
      </c>
      <c r="G3122" s="7" t="s">
        <v>1737</v>
      </c>
      <c r="H3122" s="15">
        <v>2200</v>
      </c>
      <c r="I3122" s="15">
        <v>2200</v>
      </c>
      <c r="J3122" s="7" t="str">
        <f>IFERROR(_xlfn.XLOOKUP(F3122,ccustos!A:A,ccustos!B:B),"Sem termo")</f>
        <v>CGTI</v>
      </c>
    </row>
    <row r="3123" spans="1:10" ht="25.5" x14ac:dyDescent="0.25">
      <c r="A3123" s="16">
        <v>14931</v>
      </c>
      <c r="B3123" s="17" t="s">
        <v>236</v>
      </c>
      <c r="C3123" s="17" t="s">
        <v>306</v>
      </c>
      <c r="D3123" s="17" t="s">
        <v>1744</v>
      </c>
      <c r="E3123" s="17" t="s">
        <v>239</v>
      </c>
      <c r="F3123" s="17" t="s">
        <v>20</v>
      </c>
      <c r="G3123" s="17" t="s">
        <v>1737</v>
      </c>
      <c r="H3123" s="18">
        <v>2200</v>
      </c>
      <c r="I3123" s="18">
        <v>2200</v>
      </c>
      <c r="J3123" s="7" t="str">
        <f>IFERROR(_xlfn.XLOOKUP(F3123,ccustos!A:A,ccustos!B:B),"Sem termo")</f>
        <v>CGTI</v>
      </c>
    </row>
    <row r="3124" spans="1:10" ht="25.5" x14ac:dyDescent="0.25">
      <c r="A3124" s="14">
        <v>14932</v>
      </c>
      <c r="B3124" s="7" t="s">
        <v>236</v>
      </c>
      <c r="C3124" s="7" t="s">
        <v>306</v>
      </c>
      <c r="D3124" s="7" t="s">
        <v>1744</v>
      </c>
      <c r="E3124" s="7" t="s">
        <v>239</v>
      </c>
      <c r="F3124" s="7" t="s">
        <v>20</v>
      </c>
      <c r="G3124" s="7" t="s">
        <v>1737</v>
      </c>
      <c r="H3124" s="15">
        <v>2200</v>
      </c>
      <c r="I3124" s="15">
        <v>2200</v>
      </c>
      <c r="J3124" s="7" t="str">
        <f>IFERROR(_xlfn.XLOOKUP(F3124,ccustos!A:A,ccustos!B:B),"Sem termo")</f>
        <v>CGTI</v>
      </c>
    </row>
    <row r="3125" spans="1:10" ht="25.5" x14ac:dyDescent="0.25">
      <c r="A3125" s="16">
        <v>14933</v>
      </c>
      <c r="B3125" s="17" t="s">
        <v>236</v>
      </c>
      <c r="C3125" s="17" t="s">
        <v>306</v>
      </c>
      <c r="D3125" s="17" t="s">
        <v>1744</v>
      </c>
      <c r="E3125" s="17" t="s">
        <v>239</v>
      </c>
      <c r="F3125" s="17" t="s">
        <v>20</v>
      </c>
      <c r="G3125" s="17" t="s">
        <v>1737</v>
      </c>
      <c r="H3125" s="18">
        <v>2200</v>
      </c>
      <c r="I3125" s="18">
        <v>2200</v>
      </c>
      <c r="J3125" s="7" t="str">
        <f>IFERROR(_xlfn.XLOOKUP(F3125,ccustos!A:A,ccustos!B:B),"Sem termo")</f>
        <v>CGTI</v>
      </c>
    </row>
    <row r="3126" spans="1:10" ht="25.5" x14ac:dyDescent="0.25">
      <c r="A3126" s="14">
        <v>14934</v>
      </c>
      <c r="B3126" s="7" t="s">
        <v>236</v>
      </c>
      <c r="C3126" s="7" t="s">
        <v>241</v>
      </c>
      <c r="D3126" s="7" t="s">
        <v>1745</v>
      </c>
      <c r="E3126" s="7" t="s">
        <v>239</v>
      </c>
      <c r="F3126" s="7" t="s">
        <v>20</v>
      </c>
      <c r="G3126" s="7" t="s">
        <v>1737</v>
      </c>
      <c r="H3126" s="15">
        <v>5100</v>
      </c>
      <c r="I3126" s="15">
        <v>5100</v>
      </c>
      <c r="J3126" s="7" t="str">
        <f>IFERROR(_xlfn.XLOOKUP(F3126,ccustos!A:A,ccustos!B:B),"Sem termo")</f>
        <v>CGTI</v>
      </c>
    </row>
    <row r="3127" spans="1:10" ht="25.5" x14ac:dyDescent="0.25">
      <c r="A3127" s="16">
        <v>14935</v>
      </c>
      <c r="B3127" s="17" t="s">
        <v>236</v>
      </c>
      <c r="C3127" s="17" t="s">
        <v>337</v>
      </c>
      <c r="D3127" s="17" t="s">
        <v>1746</v>
      </c>
      <c r="E3127" s="17" t="s">
        <v>239</v>
      </c>
      <c r="F3127" s="17" t="s">
        <v>6</v>
      </c>
      <c r="G3127" s="17" t="s">
        <v>1737</v>
      </c>
      <c r="H3127" s="18">
        <v>950</v>
      </c>
      <c r="I3127" s="18">
        <v>950</v>
      </c>
      <c r="J3127" s="7" t="str">
        <f>IFERROR(_xlfn.XLOOKUP(F3127,ccustos!A:A,ccustos!B:B),"Sem termo")</f>
        <v>SEPAT</v>
      </c>
    </row>
    <row r="3128" spans="1:10" ht="25.5" x14ac:dyDescent="0.25">
      <c r="A3128" s="14">
        <v>14936</v>
      </c>
      <c r="B3128" s="7" t="s">
        <v>236</v>
      </c>
      <c r="C3128" s="7" t="s">
        <v>337</v>
      </c>
      <c r="D3128" s="7" t="s">
        <v>1746</v>
      </c>
      <c r="E3128" s="7" t="s">
        <v>239</v>
      </c>
      <c r="F3128" s="7" t="s">
        <v>6</v>
      </c>
      <c r="G3128" s="7" t="s">
        <v>1737</v>
      </c>
      <c r="H3128" s="15">
        <v>950</v>
      </c>
      <c r="I3128" s="15">
        <v>950</v>
      </c>
      <c r="J3128" s="7" t="str">
        <f>IFERROR(_xlfn.XLOOKUP(F3128,ccustos!A:A,ccustos!B:B),"Sem termo")</f>
        <v>SEPAT</v>
      </c>
    </row>
    <row r="3129" spans="1:10" ht="25.5" x14ac:dyDescent="0.25">
      <c r="A3129" s="16">
        <v>14937</v>
      </c>
      <c r="B3129" s="17" t="s">
        <v>236</v>
      </c>
      <c r="C3129" s="17" t="s">
        <v>337</v>
      </c>
      <c r="D3129" s="17" t="s">
        <v>1746</v>
      </c>
      <c r="E3129" s="17" t="s">
        <v>239</v>
      </c>
      <c r="F3129" s="17" t="s">
        <v>6</v>
      </c>
      <c r="G3129" s="17" t="s">
        <v>1737</v>
      </c>
      <c r="H3129" s="18">
        <v>950</v>
      </c>
      <c r="I3129" s="18">
        <v>950</v>
      </c>
      <c r="J3129" s="7" t="str">
        <f>IFERROR(_xlfn.XLOOKUP(F3129,ccustos!A:A,ccustos!B:B),"Sem termo")</f>
        <v>SEPAT</v>
      </c>
    </row>
    <row r="3130" spans="1:10" ht="25.5" x14ac:dyDescent="0.25">
      <c r="A3130" s="14">
        <v>14938</v>
      </c>
      <c r="B3130" s="7" t="s">
        <v>236</v>
      </c>
      <c r="C3130" s="7" t="s">
        <v>337</v>
      </c>
      <c r="D3130" s="7" t="s">
        <v>1746</v>
      </c>
      <c r="E3130" s="7" t="s">
        <v>239</v>
      </c>
      <c r="F3130" s="7" t="s">
        <v>6</v>
      </c>
      <c r="G3130" s="7" t="s">
        <v>1737</v>
      </c>
      <c r="H3130" s="15">
        <v>950</v>
      </c>
      <c r="I3130" s="15">
        <v>950</v>
      </c>
      <c r="J3130" s="7" t="str">
        <f>IFERROR(_xlfn.XLOOKUP(F3130,ccustos!A:A,ccustos!B:B),"Sem termo")</f>
        <v>SEPAT</v>
      </c>
    </row>
    <row r="3131" spans="1:10" ht="25.5" x14ac:dyDescent="0.25">
      <c r="A3131" s="16">
        <v>14939</v>
      </c>
      <c r="B3131" s="17" t="s">
        <v>236</v>
      </c>
      <c r="C3131" s="17" t="s">
        <v>337</v>
      </c>
      <c r="D3131" s="17" t="s">
        <v>1746</v>
      </c>
      <c r="E3131" s="17" t="s">
        <v>239</v>
      </c>
      <c r="F3131" s="17" t="s">
        <v>6</v>
      </c>
      <c r="G3131" s="17" t="s">
        <v>1737</v>
      </c>
      <c r="H3131" s="18">
        <v>950</v>
      </c>
      <c r="I3131" s="18">
        <v>950</v>
      </c>
      <c r="J3131" s="7" t="str">
        <f>IFERROR(_xlfn.XLOOKUP(F3131,ccustos!A:A,ccustos!B:B),"Sem termo")</f>
        <v>SEPAT</v>
      </c>
    </row>
    <row r="3132" spans="1:10" ht="25.5" x14ac:dyDescent="0.25">
      <c r="A3132" s="14">
        <v>14940</v>
      </c>
      <c r="B3132" s="7" t="s">
        <v>236</v>
      </c>
      <c r="C3132" s="7" t="s">
        <v>337</v>
      </c>
      <c r="D3132" s="7" t="s">
        <v>1746</v>
      </c>
      <c r="E3132" s="7" t="s">
        <v>239</v>
      </c>
      <c r="F3132" s="7" t="s">
        <v>6</v>
      </c>
      <c r="G3132" s="7" t="s">
        <v>1737</v>
      </c>
      <c r="H3132" s="15">
        <v>950</v>
      </c>
      <c r="I3132" s="15">
        <v>950</v>
      </c>
      <c r="J3132" s="7" t="str">
        <f>IFERROR(_xlfn.XLOOKUP(F3132,ccustos!A:A,ccustos!B:B),"Sem termo")</f>
        <v>SEPAT</v>
      </c>
    </row>
    <row r="3133" spans="1:10" ht="25.5" x14ac:dyDescent="0.25">
      <c r="A3133" s="16">
        <v>14941</v>
      </c>
      <c r="B3133" s="17" t="s">
        <v>236</v>
      </c>
      <c r="C3133" s="17" t="s">
        <v>337</v>
      </c>
      <c r="D3133" s="17" t="s">
        <v>1746</v>
      </c>
      <c r="E3133" s="17" t="s">
        <v>239</v>
      </c>
      <c r="F3133" s="17" t="s">
        <v>6</v>
      </c>
      <c r="G3133" s="17" t="s">
        <v>1737</v>
      </c>
      <c r="H3133" s="18">
        <v>950</v>
      </c>
      <c r="I3133" s="18">
        <v>950</v>
      </c>
      <c r="J3133" s="7" t="str">
        <f>IFERROR(_xlfn.XLOOKUP(F3133,ccustos!A:A,ccustos!B:B),"Sem termo")</f>
        <v>SEPAT</v>
      </c>
    </row>
    <row r="3134" spans="1:10" ht="25.5" x14ac:dyDescent="0.25">
      <c r="A3134" s="14">
        <v>14942</v>
      </c>
      <c r="B3134" s="7" t="s">
        <v>236</v>
      </c>
      <c r="C3134" s="7" t="s">
        <v>337</v>
      </c>
      <c r="D3134" s="7" t="s">
        <v>1746</v>
      </c>
      <c r="E3134" s="7" t="s">
        <v>239</v>
      </c>
      <c r="F3134" s="7" t="s">
        <v>6</v>
      </c>
      <c r="G3134" s="7" t="s">
        <v>1737</v>
      </c>
      <c r="H3134" s="15">
        <v>950</v>
      </c>
      <c r="I3134" s="15">
        <v>950</v>
      </c>
      <c r="J3134" s="7" t="str">
        <f>IFERROR(_xlfn.XLOOKUP(F3134,ccustos!A:A,ccustos!B:B),"Sem termo")</f>
        <v>SEPAT</v>
      </c>
    </row>
    <row r="3135" spans="1:10" ht="25.5" x14ac:dyDescent="0.25">
      <c r="A3135" s="16">
        <v>14943</v>
      </c>
      <c r="B3135" s="17" t="s">
        <v>236</v>
      </c>
      <c r="C3135" s="17" t="s">
        <v>337</v>
      </c>
      <c r="D3135" s="17" t="s">
        <v>1746</v>
      </c>
      <c r="E3135" s="17" t="s">
        <v>239</v>
      </c>
      <c r="F3135" s="17" t="s">
        <v>6</v>
      </c>
      <c r="G3135" s="17" t="s">
        <v>1737</v>
      </c>
      <c r="H3135" s="18">
        <v>950</v>
      </c>
      <c r="I3135" s="18">
        <v>950</v>
      </c>
      <c r="J3135" s="7" t="str">
        <f>IFERROR(_xlfn.XLOOKUP(F3135,ccustos!A:A,ccustos!B:B),"Sem termo")</f>
        <v>SEPAT</v>
      </c>
    </row>
    <row r="3136" spans="1:10" ht="25.5" x14ac:dyDescent="0.25">
      <c r="A3136" s="14">
        <v>14944</v>
      </c>
      <c r="B3136" s="7" t="s">
        <v>236</v>
      </c>
      <c r="C3136" s="7" t="s">
        <v>337</v>
      </c>
      <c r="D3136" s="7" t="s">
        <v>1746</v>
      </c>
      <c r="E3136" s="7" t="s">
        <v>239</v>
      </c>
      <c r="F3136" s="7" t="s">
        <v>6</v>
      </c>
      <c r="G3136" s="7" t="s">
        <v>1737</v>
      </c>
      <c r="H3136" s="15">
        <v>950</v>
      </c>
      <c r="I3136" s="15">
        <v>950</v>
      </c>
      <c r="J3136" s="7" t="str">
        <f>IFERROR(_xlfn.XLOOKUP(F3136,ccustos!A:A,ccustos!B:B),"Sem termo")</f>
        <v>SEPAT</v>
      </c>
    </row>
    <row r="3137" spans="1:10" ht="25.5" x14ac:dyDescent="0.25">
      <c r="A3137" s="16">
        <v>14945</v>
      </c>
      <c r="B3137" s="17" t="s">
        <v>236</v>
      </c>
      <c r="C3137" s="17" t="s">
        <v>337</v>
      </c>
      <c r="D3137" s="17" t="s">
        <v>1746</v>
      </c>
      <c r="E3137" s="17" t="s">
        <v>239</v>
      </c>
      <c r="F3137" s="17" t="s">
        <v>6</v>
      </c>
      <c r="G3137" s="17" t="s">
        <v>1737</v>
      </c>
      <c r="H3137" s="18">
        <v>950</v>
      </c>
      <c r="I3137" s="18">
        <v>950</v>
      </c>
      <c r="J3137" s="7" t="str">
        <f>IFERROR(_xlfn.XLOOKUP(F3137,ccustos!A:A,ccustos!B:B),"Sem termo")</f>
        <v>SEPAT</v>
      </c>
    </row>
    <row r="3138" spans="1:10" ht="25.5" x14ac:dyDescent="0.25">
      <c r="A3138" s="14">
        <v>14946</v>
      </c>
      <c r="B3138" s="7" t="s">
        <v>236</v>
      </c>
      <c r="C3138" s="7" t="s">
        <v>337</v>
      </c>
      <c r="D3138" s="7" t="s">
        <v>1746</v>
      </c>
      <c r="E3138" s="7" t="s">
        <v>239</v>
      </c>
      <c r="F3138" s="7" t="s">
        <v>6</v>
      </c>
      <c r="G3138" s="7" t="s">
        <v>1737</v>
      </c>
      <c r="H3138" s="15">
        <v>950</v>
      </c>
      <c r="I3138" s="15">
        <v>950</v>
      </c>
      <c r="J3138" s="7" t="str">
        <f>IFERROR(_xlfn.XLOOKUP(F3138,ccustos!A:A,ccustos!B:B),"Sem termo")</f>
        <v>SEPAT</v>
      </c>
    </row>
    <row r="3139" spans="1:10" ht="25.5" x14ac:dyDescent="0.25">
      <c r="A3139" s="16">
        <v>14947</v>
      </c>
      <c r="B3139" s="17" t="s">
        <v>236</v>
      </c>
      <c r="C3139" s="17" t="s">
        <v>337</v>
      </c>
      <c r="D3139" s="17" t="s">
        <v>1746</v>
      </c>
      <c r="E3139" s="17" t="s">
        <v>239</v>
      </c>
      <c r="F3139" s="17" t="s">
        <v>6</v>
      </c>
      <c r="G3139" s="17" t="s">
        <v>1737</v>
      </c>
      <c r="H3139" s="18">
        <v>950</v>
      </c>
      <c r="I3139" s="18">
        <v>950</v>
      </c>
      <c r="J3139" s="7" t="str">
        <f>IFERROR(_xlfn.XLOOKUP(F3139,ccustos!A:A,ccustos!B:B),"Sem termo")</f>
        <v>SEPAT</v>
      </c>
    </row>
    <row r="3140" spans="1:10" ht="25.5" x14ac:dyDescent="0.25">
      <c r="A3140" s="14">
        <v>14948</v>
      </c>
      <c r="B3140" s="7" t="s">
        <v>236</v>
      </c>
      <c r="C3140" s="7" t="s">
        <v>337</v>
      </c>
      <c r="D3140" s="7" t="s">
        <v>1746</v>
      </c>
      <c r="E3140" s="7" t="s">
        <v>239</v>
      </c>
      <c r="F3140" s="7" t="s">
        <v>6</v>
      </c>
      <c r="G3140" s="7" t="s">
        <v>1737</v>
      </c>
      <c r="H3140" s="15">
        <v>950</v>
      </c>
      <c r="I3140" s="15">
        <v>950</v>
      </c>
      <c r="J3140" s="7" t="str">
        <f>IFERROR(_xlfn.XLOOKUP(F3140,ccustos!A:A,ccustos!B:B),"Sem termo")</f>
        <v>SEPAT</v>
      </c>
    </row>
    <row r="3141" spans="1:10" ht="25.5" x14ac:dyDescent="0.25">
      <c r="A3141" s="16">
        <v>14949</v>
      </c>
      <c r="B3141" s="17" t="s">
        <v>236</v>
      </c>
      <c r="C3141" s="17" t="s">
        <v>337</v>
      </c>
      <c r="D3141" s="17" t="s">
        <v>1746</v>
      </c>
      <c r="E3141" s="17" t="s">
        <v>239</v>
      </c>
      <c r="F3141" s="17" t="s">
        <v>6</v>
      </c>
      <c r="G3141" s="17" t="s">
        <v>1737</v>
      </c>
      <c r="H3141" s="18">
        <v>950</v>
      </c>
      <c r="I3141" s="18">
        <v>950</v>
      </c>
      <c r="J3141" s="7" t="str">
        <f>IFERROR(_xlfn.XLOOKUP(F3141,ccustos!A:A,ccustos!B:B),"Sem termo")</f>
        <v>SEPAT</v>
      </c>
    </row>
    <row r="3142" spans="1:10" ht="25.5" x14ac:dyDescent="0.25">
      <c r="A3142" s="14">
        <v>14950</v>
      </c>
      <c r="B3142" s="7" t="s">
        <v>236</v>
      </c>
      <c r="C3142" s="7" t="s">
        <v>337</v>
      </c>
      <c r="D3142" s="7" t="s">
        <v>1746</v>
      </c>
      <c r="E3142" s="7" t="s">
        <v>239</v>
      </c>
      <c r="F3142" s="7" t="s">
        <v>6</v>
      </c>
      <c r="G3142" s="7" t="s">
        <v>1737</v>
      </c>
      <c r="H3142" s="15">
        <v>950</v>
      </c>
      <c r="I3142" s="15">
        <v>950</v>
      </c>
      <c r="J3142" s="7" t="str">
        <f>IFERROR(_xlfn.XLOOKUP(F3142,ccustos!A:A,ccustos!B:B),"Sem termo")</f>
        <v>SEPAT</v>
      </c>
    </row>
    <row r="3143" spans="1:10" ht="25.5" x14ac:dyDescent="0.25">
      <c r="A3143" s="16">
        <v>14951</v>
      </c>
      <c r="B3143" s="17" t="s">
        <v>236</v>
      </c>
      <c r="C3143" s="17" t="s">
        <v>515</v>
      </c>
      <c r="D3143" s="17" t="s">
        <v>1747</v>
      </c>
      <c r="E3143" s="17" t="s">
        <v>335</v>
      </c>
      <c r="F3143" s="17" t="s">
        <v>47</v>
      </c>
      <c r="G3143" s="17" t="s">
        <v>1748</v>
      </c>
      <c r="H3143" s="18">
        <v>387</v>
      </c>
      <c r="I3143" s="18">
        <v>387</v>
      </c>
    </row>
    <row r="3144" spans="1:10" ht="25.5" x14ac:dyDescent="0.25">
      <c r="A3144" s="14">
        <v>14952</v>
      </c>
      <c r="B3144" s="7" t="s">
        <v>236</v>
      </c>
      <c r="C3144" s="7" t="s">
        <v>515</v>
      </c>
      <c r="D3144" s="7" t="s">
        <v>1747</v>
      </c>
      <c r="E3144" s="7" t="s">
        <v>335</v>
      </c>
      <c r="F3144" s="7" t="s">
        <v>47</v>
      </c>
      <c r="G3144" s="7" t="s">
        <v>1748</v>
      </c>
      <c r="H3144" s="15">
        <v>387</v>
      </c>
      <c r="I3144" s="15">
        <v>387</v>
      </c>
    </row>
    <row r="3145" spans="1:10" ht="25.5" x14ac:dyDescent="0.25">
      <c r="A3145" s="16">
        <v>14953</v>
      </c>
      <c r="B3145" s="17" t="s">
        <v>236</v>
      </c>
      <c r="C3145" s="17" t="s">
        <v>515</v>
      </c>
      <c r="D3145" s="17" t="s">
        <v>1747</v>
      </c>
      <c r="E3145" s="17" t="s">
        <v>335</v>
      </c>
      <c r="F3145" s="17" t="s">
        <v>47</v>
      </c>
      <c r="G3145" s="17" t="s">
        <v>1748</v>
      </c>
      <c r="H3145" s="18">
        <v>387</v>
      </c>
      <c r="I3145" s="18">
        <v>387</v>
      </c>
    </row>
    <row r="3146" spans="1:10" ht="25.5" x14ac:dyDescent="0.25">
      <c r="A3146" s="14">
        <v>14954</v>
      </c>
      <c r="B3146" s="7" t="s">
        <v>236</v>
      </c>
      <c r="C3146" s="7" t="s">
        <v>515</v>
      </c>
      <c r="D3146" s="7" t="s">
        <v>1747</v>
      </c>
      <c r="E3146" s="7" t="s">
        <v>335</v>
      </c>
      <c r="F3146" s="7" t="s">
        <v>47</v>
      </c>
      <c r="G3146" s="7" t="s">
        <v>1748</v>
      </c>
      <c r="H3146" s="15">
        <v>387</v>
      </c>
      <c r="I3146" s="15">
        <v>387</v>
      </c>
    </row>
    <row r="3147" spans="1:10" ht="25.5" x14ac:dyDescent="0.25">
      <c r="A3147" s="16">
        <v>14955</v>
      </c>
      <c r="B3147" s="17" t="s">
        <v>236</v>
      </c>
      <c r="C3147" s="17" t="s">
        <v>515</v>
      </c>
      <c r="D3147" s="17" t="s">
        <v>1747</v>
      </c>
      <c r="E3147" s="17" t="s">
        <v>335</v>
      </c>
      <c r="F3147" s="17" t="s">
        <v>47</v>
      </c>
      <c r="G3147" s="17" t="s">
        <v>1748</v>
      </c>
      <c r="H3147" s="18">
        <v>387</v>
      </c>
      <c r="I3147" s="18">
        <v>387</v>
      </c>
    </row>
    <row r="3148" spans="1:10" ht="25.5" x14ac:dyDescent="0.25">
      <c r="A3148" s="14">
        <v>14956</v>
      </c>
      <c r="B3148" s="7" t="s">
        <v>236</v>
      </c>
      <c r="C3148" s="7" t="s">
        <v>515</v>
      </c>
      <c r="D3148" s="7" t="s">
        <v>1747</v>
      </c>
      <c r="E3148" s="7" t="s">
        <v>335</v>
      </c>
      <c r="F3148" s="7" t="s">
        <v>47</v>
      </c>
      <c r="G3148" s="7" t="s">
        <v>1748</v>
      </c>
      <c r="H3148" s="15">
        <v>387</v>
      </c>
      <c r="I3148" s="15">
        <v>387</v>
      </c>
    </row>
    <row r="3149" spans="1:10" ht="25.5" x14ac:dyDescent="0.25">
      <c r="A3149" s="16">
        <v>14957</v>
      </c>
      <c r="B3149" s="17" t="s">
        <v>236</v>
      </c>
      <c r="C3149" s="17" t="s">
        <v>515</v>
      </c>
      <c r="D3149" s="17" t="s">
        <v>1747</v>
      </c>
      <c r="E3149" s="17" t="s">
        <v>335</v>
      </c>
      <c r="F3149" s="17" t="s">
        <v>47</v>
      </c>
      <c r="G3149" s="17" t="s">
        <v>1748</v>
      </c>
      <c r="H3149" s="18">
        <v>387</v>
      </c>
      <c r="I3149" s="18">
        <v>387</v>
      </c>
    </row>
    <row r="3150" spans="1:10" ht="25.5" x14ac:dyDescent="0.25">
      <c r="A3150" s="14">
        <v>14958</v>
      </c>
      <c r="B3150" s="7" t="s">
        <v>236</v>
      </c>
      <c r="C3150" s="7" t="s">
        <v>515</v>
      </c>
      <c r="D3150" s="7" t="s">
        <v>1747</v>
      </c>
      <c r="E3150" s="7" t="s">
        <v>335</v>
      </c>
      <c r="F3150" s="7" t="s">
        <v>47</v>
      </c>
      <c r="G3150" s="7" t="s">
        <v>1748</v>
      </c>
      <c r="H3150" s="15">
        <v>387</v>
      </c>
      <c r="I3150" s="15">
        <v>387</v>
      </c>
    </row>
    <row r="3151" spans="1:10" ht="25.5" x14ac:dyDescent="0.25">
      <c r="A3151" s="16">
        <v>14959</v>
      </c>
      <c r="B3151" s="17" t="s">
        <v>236</v>
      </c>
      <c r="C3151" s="17" t="s">
        <v>515</v>
      </c>
      <c r="D3151" s="17" t="s">
        <v>1747</v>
      </c>
      <c r="E3151" s="17" t="s">
        <v>335</v>
      </c>
      <c r="F3151" s="17" t="s">
        <v>47</v>
      </c>
      <c r="G3151" s="17" t="s">
        <v>1748</v>
      </c>
      <c r="H3151" s="18">
        <v>387</v>
      </c>
      <c r="I3151" s="18">
        <v>387</v>
      </c>
    </row>
    <row r="3152" spans="1:10" ht="25.5" x14ac:dyDescent="0.25">
      <c r="A3152" s="14">
        <v>14960</v>
      </c>
      <c r="B3152" s="7" t="s">
        <v>236</v>
      </c>
      <c r="C3152" s="7" t="s">
        <v>515</v>
      </c>
      <c r="D3152" s="7" t="s">
        <v>1747</v>
      </c>
      <c r="E3152" s="7" t="s">
        <v>335</v>
      </c>
      <c r="F3152" s="7" t="s">
        <v>47</v>
      </c>
      <c r="G3152" s="7" t="s">
        <v>1748</v>
      </c>
      <c r="H3152" s="15">
        <v>387</v>
      </c>
      <c r="I3152" s="15">
        <v>387</v>
      </c>
    </row>
    <row r="3153" spans="1:9" ht="25.5" x14ac:dyDescent="0.25">
      <c r="A3153" s="16">
        <v>14961</v>
      </c>
      <c r="B3153" s="17" t="s">
        <v>236</v>
      </c>
      <c r="C3153" s="17" t="s">
        <v>515</v>
      </c>
      <c r="D3153" s="17" t="s">
        <v>1747</v>
      </c>
      <c r="E3153" s="17" t="s">
        <v>335</v>
      </c>
      <c r="F3153" s="17" t="s">
        <v>47</v>
      </c>
      <c r="G3153" s="17" t="s">
        <v>1748</v>
      </c>
      <c r="H3153" s="18">
        <v>387</v>
      </c>
      <c r="I3153" s="18">
        <v>387</v>
      </c>
    </row>
    <row r="3154" spans="1:9" ht="25.5" x14ac:dyDescent="0.25">
      <c r="A3154" s="14">
        <v>14962</v>
      </c>
      <c r="B3154" s="7" t="s">
        <v>236</v>
      </c>
      <c r="C3154" s="7" t="s">
        <v>515</v>
      </c>
      <c r="D3154" s="7" t="s">
        <v>1747</v>
      </c>
      <c r="E3154" s="7" t="s">
        <v>335</v>
      </c>
      <c r="F3154" s="7" t="s">
        <v>47</v>
      </c>
      <c r="G3154" s="7" t="s">
        <v>1748</v>
      </c>
      <c r="H3154" s="15">
        <v>387</v>
      </c>
      <c r="I3154" s="15">
        <v>387</v>
      </c>
    </row>
    <row r="3155" spans="1:9" ht="25.5" x14ac:dyDescent="0.25">
      <c r="A3155" s="16">
        <v>14963</v>
      </c>
      <c r="B3155" s="17" t="s">
        <v>236</v>
      </c>
      <c r="C3155" s="17" t="s">
        <v>515</v>
      </c>
      <c r="D3155" s="17" t="s">
        <v>1747</v>
      </c>
      <c r="E3155" s="17" t="s">
        <v>335</v>
      </c>
      <c r="F3155" s="17" t="s">
        <v>47</v>
      </c>
      <c r="G3155" s="17" t="s">
        <v>1748</v>
      </c>
      <c r="H3155" s="18">
        <v>387</v>
      </c>
      <c r="I3155" s="18">
        <v>387</v>
      </c>
    </row>
    <row r="3156" spans="1:9" ht="25.5" x14ac:dyDescent="0.25">
      <c r="A3156" s="14">
        <v>14964</v>
      </c>
      <c r="B3156" s="7" t="s">
        <v>236</v>
      </c>
      <c r="C3156" s="7" t="s">
        <v>515</v>
      </c>
      <c r="D3156" s="7" t="s">
        <v>1747</v>
      </c>
      <c r="E3156" s="7" t="s">
        <v>335</v>
      </c>
      <c r="F3156" s="7" t="s">
        <v>47</v>
      </c>
      <c r="G3156" s="7" t="s">
        <v>1748</v>
      </c>
      <c r="H3156" s="15">
        <v>387</v>
      </c>
      <c r="I3156" s="15">
        <v>387</v>
      </c>
    </row>
    <row r="3157" spans="1:9" ht="25.5" x14ac:dyDescent="0.25">
      <c r="A3157" s="16">
        <v>14965</v>
      </c>
      <c r="B3157" s="17" t="s">
        <v>236</v>
      </c>
      <c r="C3157" s="17" t="s">
        <v>515</v>
      </c>
      <c r="D3157" s="17" t="s">
        <v>1747</v>
      </c>
      <c r="E3157" s="17" t="s">
        <v>335</v>
      </c>
      <c r="F3157" s="17" t="s">
        <v>47</v>
      </c>
      <c r="G3157" s="17" t="s">
        <v>1748</v>
      </c>
      <c r="H3157" s="18">
        <v>387</v>
      </c>
      <c r="I3157" s="18">
        <v>387</v>
      </c>
    </row>
  </sheetData>
  <phoneticPr fontId="5" type="noConversion"/>
  <printOptions gridLines="1"/>
  <pageMargins left="0.19685039370078741" right="0.19685039370078741" top="0.19685039370078741" bottom="0.19685039370078741" header="0.31496062992125984" footer="0.31496062992125984"/>
  <pageSetup paperSize="9" scale="86" fitToHeight="21" orientation="landscape" errors="blank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32"/>
  <sheetViews>
    <sheetView workbookViewId="0">
      <selection activeCell="H28" sqref="H28"/>
    </sheetView>
  </sheetViews>
  <sheetFormatPr defaultRowHeight="15" x14ac:dyDescent="0.25"/>
  <cols>
    <col min="1" max="1" width="22.28515625" customWidth="1"/>
    <col min="2" max="2" width="11.28515625" bestFit="1" customWidth="1"/>
    <col min="3" max="3" width="52.42578125" customWidth="1"/>
    <col min="4" max="4" width="27.42578125" bestFit="1" customWidth="1"/>
    <col min="5" max="5" width="11.5703125" customWidth="1"/>
    <col min="6" max="6" width="16.5703125" bestFit="1" customWidth="1"/>
  </cols>
  <sheetData>
    <row r="1" spans="1:6" x14ac:dyDescent="0.25">
      <c r="A1" s="8" t="s">
        <v>138</v>
      </c>
      <c r="B1" s="8" t="s">
        <v>140</v>
      </c>
      <c r="C1" s="8" t="s">
        <v>141</v>
      </c>
      <c r="D1" s="8" t="s">
        <v>110</v>
      </c>
      <c r="E1" s="8" t="s">
        <v>147</v>
      </c>
      <c r="F1" s="8" t="s">
        <v>148</v>
      </c>
    </row>
    <row r="2" spans="1:6" ht="15.75" x14ac:dyDescent="0.25">
      <c r="A2" s="2" t="s">
        <v>103</v>
      </c>
      <c r="B2" s="2" t="s">
        <v>111</v>
      </c>
      <c r="C2" s="3" t="s">
        <v>155</v>
      </c>
      <c r="D2" s="4" t="s">
        <v>112</v>
      </c>
      <c r="E2" s="2">
        <v>46</v>
      </c>
      <c r="F2" s="2" t="s">
        <v>214</v>
      </c>
    </row>
    <row r="3" spans="1:6" ht="15.75" x14ac:dyDescent="0.25">
      <c r="A3" s="2" t="s">
        <v>86</v>
      </c>
      <c r="B3" s="2" t="s">
        <v>113</v>
      </c>
      <c r="C3" s="3" t="s">
        <v>164</v>
      </c>
      <c r="D3" s="4" t="s">
        <v>121</v>
      </c>
      <c r="E3" s="2">
        <v>481</v>
      </c>
      <c r="F3" s="2" t="s">
        <v>215</v>
      </c>
    </row>
    <row r="4" spans="1:6" ht="15.75" x14ac:dyDescent="0.25">
      <c r="A4" s="2" t="s">
        <v>184</v>
      </c>
      <c r="B4" s="2" t="s">
        <v>113</v>
      </c>
      <c r="C4" s="3" t="s">
        <v>156</v>
      </c>
      <c r="D4" s="4" t="s">
        <v>114</v>
      </c>
      <c r="E4" s="2">
        <v>65</v>
      </c>
      <c r="F4" s="2" t="s">
        <v>216</v>
      </c>
    </row>
    <row r="5" spans="1:6" ht="15.75" x14ac:dyDescent="0.25">
      <c r="A5" s="2" t="s">
        <v>100</v>
      </c>
      <c r="B5" s="2" t="s">
        <v>111</v>
      </c>
      <c r="C5" s="3" t="s">
        <v>157</v>
      </c>
      <c r="D5" s="5" t="s">
        <v>142</v>
      </c>
      <c r="E5" s="2">
        <v>331</v>
      </c>
      <c r="F5" s="2" t="s">
        <v>214</v>
      </c>
    </row>
    <row r="6" spans="1:6" ht="15.75" x14ac:dyDescent="0.25">
      <c r="A6" s="2" t="s">
        <v>87</v>
      </c>
      <c r="B6" s="2" t="s">
        <v>111</v>
      </c>
      <c r="C6" s="3" t="s">
        <v>158</v>
      </c>
      <c r="D6" s="4" t="s">
        <v>115</v>
      </c>
      <c r="E6" s="2">
        <v>249</v>
      </c>
      <c r="F6" s="2" t="s">
        <v>214</v>
      </c>
    </row>
    <row r="7" spans="1:6" ht="15.75" x14ac:dyDescent="0.25">
      <c r="A7" s="2" t="s">
        <v>91</v>
      </c>
      <c r="B7" s="2" t="s">
        <v>111</v>
      </c>
      <c r="C7" s="3" t="s">
        <v>159</v>
      </c>
      <c r="D7" s="4" t="s">
        <v>116</v>
      </c>
      <c r="E7" s="2">
        <v>213</v>
      </c>
      <c r="F7" s="2" t="s">
        <v>214</v>
      </c>
    </row>
    <row r="8" spans="1:6" ht="15.75" x14ac:dyDescent="0.25">
      <c r="A8" s="2" t="s">
        <v>99</v>
      </c>
      <c r="B8" s="2" t="s">
        <v>111</v>
      </c>
      <c r="C8" s="3" t="s">
        <v>160</v>
      </c>
      <c r="D8" s="4" t="s">
        <v>117</v>
      </c>
      <c r="E8" s="2">
        <v>456</v>
      </c>
      <c r="F8" s="2" t="s">
        <v>214</v>
      </c>
    </row>
    <row r="9" spans="1:6" ht="15.75" x14ac:dyDescent="0.25">
      <c r="A9" s="2" t="s">
        <v>92</v>
      </c>
      <c r="B9" s="2" t="s">
        <v>111</v>
      </c>
      <c r="C9" s="3" t="s">
        <v>161</v>
      </c>
      <c r="D9" s="4" t="s">
        <v>118</v>
      </c>
      <c r="E9" s="2">
        <v>160</v>
      </c>
      <c r="F9" s="2" t="s">
        <v>214</v>
      </c>
    </row>
    <row r="10" spans="1:6" ht="15.75" x14ac:dyDescent="0.25">
      <c r="A10" s="2" t="s">
        <v>101</v>
      </c>
      <c r="B10" s="2" t="s">
        <v>111</v>
      </c>
      <c r="C10" s="3" t="s">
        <v>162</v>
      </c>
      <c r="D10" s="4" t="s">
        <v>119</v>
      </c>
      <c r="E10" s="2">
        <v>201</v>
      </c>
      <c r="F10" s="2" t="s">
        <v>214</v>
      </c>
    </row>
    <row r="11" spans="1:6" ht="15.75" x14ac:dyDescent="0.25">
      <c r="A11" s="2" t="s">
        <v>102</v>
      </c>
      <c r="B11" s="2" t="s">
        <v>113</v>
      </c>
      <c r="C11" s="3" t="s">
        <v>163</v>
      </c>
      <c r="D11" s="4" t="s">
        <v>120</v>
      </c>
      <c r="E11" s="2">
        <v>188</v>
      </c>
      <c r="F11" s="2" t="s">
        <v>216</v>
      </c>
    </row>
    <row r="12" spans="1:6" ht="15.75" x14ac:dyDescent="0.25">
      <c r="A12" s="2" t="s">
        <v>104</v>
      </c>
      <c r="B12" s="2" t="s">
        <v>113</v>
      </c>
      <c r="C12" s="3" t="s">
        <v>217</v>
      </c>
      <c r="D12" s="5" t="s">
        <v>218</v>
      </c>
      <c r="E12" s="2">
        <v>479</v>
      </c>
      <c r="F12" s="2" t="s">
        <v>216</v>
      </c>
    </row>
    <row r="13" spans="1:6" ht="15.75" x14ac:dyDescent="0.25">
      <c r="A13" s="2" t="s">
        <v>93</v>
      </c>
      <c r="B13" s="2" t="s">
        <v>111</v>
      </c>
      <c r="C13" s="3" t="s">
        <v>165</v>
      </c>
      <c r="D13" s="4" t="s">
        <v>122</v>
      </c>
      <c r="E13" s="2">
        <v>374</v>
      </c>
      <c r="F13" s="2" t="s">
        <v>215</v>
      </c>
    </row>
    <row r="14" spans="1:6" ht="15.75" x14ac:dyDescent="0.25">
      <c r="A14" s="2" t="s">
        <v>94</v>
      </c>
      <c r="B14" s="2" t="s">
        <v>113</v>
      </c>
      <c r="C14" s="3" t="s">
        <v>166</v>
      </c>
      <c r="D14" s="4" t="s">
        <v>128</v>
      </c>
      <c r="E14" s="2">
        <v>266</v>
      </c>
      <c r="F14" s="2" t="s">
        <v>215</v>
      </c>
    </row>
    <row r="15" spans="1:6" ht="15.75" x14ac:dyDescent="0.25">
      <c r="A15" s="2" t="s">
        <v>95</v>
      </c>
      <c r="B15" s="2" t="s">
        <v>111</v>
      </c>
      <c r="C15" s="3" t="s">
        <v>167</v>
      </c>
      <c r="D15" s="4" t="s">
        <v>123</v>
      </c>
      <c r="E15" s="2">
        <v>144</v>
      </c>
      <c r="F15" s="2" t="s">
        <v>215</v>
      </c>
    </row>
    <row r="16" spans="1:6" ht="15.75" x14ac:dyDescent="0.25">
      <c r="A16" s="2" t="s">
        <v>88</v>
      </c>
      <c r="B16" s="2" t="s">
        <v>113</v>
      </c>
      <c r="C16" s="3" t="s">
        <v>168</v>
      </c>
      <c r="D16" s="4" t="s">
        <v>124</v>
      </c>
      <c r="E16" s="2">
        <v>124</v>
      </c>
      <c r="F16" s="2" t="s">
        <v>215</v>
      </c>
    </row>
    <row r="17" spans="1:6" ht="15.75" x14ac:dyDescent="0.25">
      <c r="A17" s="2" t="s">
        <v>105</v>
      </c>
      <c r="B17" s="2" t="s">
        <v>113</v>
      </c>
      <c r="C17" s="3" t="s">
        <v>169</v>
      </c>
      <c r="D17" s="4" t="s">
        <v>125</v>
      </c>
      <c r="E17" s="2">
        <v>464</v>
      </c>
      <c r="F17" s="2" t="s">
        <v>215</v>
      </c>
    </row>
    <row r="18" spans="1:6" ht="15.75" x14ac:dyDescent="0.25">
      <c r="A18" s="2" t="s">
        <v>96</v>
      </c>
      <c r="B18" s="2" t="s">
        <v>111</v>
      </c>
      <c r="C18" s="3" t="s">
        <v>170</v>
      </c>
      <c r="D18" s="4" t="s">
        <v>126</v>
      </c>
      <c r="E18" s="2">
        <v>133</v>
      </c>
      <c r="F18" s="2" t="s">
        <v>215</v>
      </c>
    </row>
    <row r="19" spans="1:6" ht="15.75" x14ac:dyDescent="0.25">
      <c r="A19" s="2" t="s">
        <v>89</v>
      </c>
      <c r="B19" s="2" t="s">
        <v>113</v>
      </c>
      <c r="C19" s="3" t="s">
        <v>171</v>
      </c>
      <c r="D19" s="4" t="s">
        <v>127</v>
      </c>
      <c r="E19" s="2">
        <v>262</v>
      </c>
      <c r="F19" s="2" t="s">
        <v>215</v>
      </c>
    </row>
    <row r="20" spans="1:6" ht="15.75" x14ac:dyDescent="0.25">
      <c r="A20" s="2" t="s">
        <v>97</v>
      </c>
      <c r="B20" s="2" t="s">
        <v>149</v>
      </c>
      <c r="C20" s="3" t="s">
        <v>172</v>
      </c>
      <c r="D20" s="5" t="s">
        <v>150</v>
      </c>
      <c r="E20" s="2">
        <v>193</v>
      </c>
      <c r="F20" s="2" t="s">
        <v>215</v>
      </c>
    </row>
    <row r="21" spans="1:6" ht="15.75" x14ac:dyDescent="0.25">
      <c r="A21" s="2" t="s">
        <v>98</v>
      </c>
      <c r="B21" s="2" t="s">
        <v>113</v>
      </c>
      <c r="C21" s="3" t="s">
        <v>173</v>
      </c>
      <c r="D21" s="4" t="s">
        <v>129</v>
      </c>
      <c r="E21" s="2">
        <v>13</v>
      </c>
      <c r="F21" s="2" t="s">
        <v>215</v>
      </c>
    </row>
    <row r="22" spans="1:6" ht="15.75" x14ac:dyDescent="0.25">
      <c r="A22" s="2" t="s">
        <v>219</v>
      </c>
      <c r="B22" s="2" t="s">
        <v>111</v>
      </c>
      <c r="C22" s="3" t="s">
        <v>180</v>
      </c>
      <c r="D22" s="5" t="s">
        <v>181</v>
      </c>
      <c r="E22" s="2">
        <v>174</v>
      </c>
      <c r="F22" s="2" t="s">
        <v>220</v>
      </c>
    </row>
    <row r="23" spans="1:6" ht="15.75" x14ac:dyDescent="0.25">
      <c r="A23" s="2" t="s">
        <v>221</v>
      </c>
      <c r="B23" s="2" t="s">
        <v>111</v>
      </c>
      <c r="C23" s="3" t="s">
        <v>180</v>
      </c>
      <c r="D23" s="5" t="s">
        <v>181</v>
      </c>
      <c r="E23" s="2">
        <v>174</v>
      </c>
      <c r="F23" s="2" t="s">
        <v>220</v>
      </c>
    </row>
    <row r="24" spans="1:6" ht="15.75" x14ac:dyDescent="0.25">
      <c r="A24" s="2" t="s">
        <v>222</v>
      </c>
      <c r="B24" s="2" t="s">
        <v>223</v>
      </c>
      <c r="C24" s="3" t="s">
        <v>224</v>
      </c>
      <c r="D24" s="5" t="s">
        <v>130</v>
      </c>
      <c r="E24" s="2">
        <v>143</v>
      </c>
      <c r="F24" s="2" t="s">
        <v>220</v>
      </c>
    </row>
    <row r="25" spans="1:6" ht="15.75" x14ac:dyDescent="0.25">
      <c r="A25" s="2" t="s">
        <v>137</v>
      </c>
      <c r="B25" s="2" t="s">
        <v>111</v>
      </c>
      <c r="C25" s="3" t="s">
        <v>235</v>
      </c>
      <c r="D25" s="5" t="s">
        <v>225</v>
      </c>
      <c r="E25" s="2">
        <v>880</v>
      </c>
      <c r="F25" s="2" t="s">
        <v>226</v>
      </c>
    </row>
    <row r="26" spans="1:6" ht="15.75" x14ac:dyDescent="0.25">
      <c r="A26" s="2" t="s">
        <v>106</v>
      </c>
      <c r="B26" s="2" t="s">
        <v>113</v>
      </c>
      <c r="C26" s="3" t="s">
        <v>174</v>
      </c>
      <c r="D26" s="4" t="s">
        <v>131</v>
      </c>
      <c r="E26" s="2">
        <v>184</v>
      </c>
      <c r="F26" s="2" t="s">
        <v>227</v>
      </c>
    </row>
    <row r="27" spans="1:6" ht="15.75" x14ac:dyDescent="0.25">
      <c r="A27" s="2" t="s">
        <v>90</v>
      </c>
      <c r="B27" s="2" t="s">
        <v>111</v>
      </c>
      <c r="C27" s="3" t="s">
        <v>175</v>
      </c>
      <c r="D27" s="4" t="s">
        <v>132</v>
      </c>
      <c r="E27" s="2">
        <v>79</v>
      </c>
      <c r="F27" s="2" t="s">
        <v>228</v>
      </c>
    </row>
    <row r="28" spans="1:6" ht="15.75" x14ac:dyDescent="0.25">
      <c r="A28" s="2" t="s">
        <v>109</v>
      </c>
      <c r="B28" s="2" t="s">
        <v>111</v>
      </c>
      <c r="C28" s="3" t="s">
        <v>176</v>
      </c>
      <c r="D28" s="4" t="s">
        <v>133</v>
      </c>
      <c r="E28" s="2">
        <v>314</v>
      </c>
      <c r="F28" s="2" t="s">
        <v>228</v>
      </c>
    </row>
    <row r="29" spans="1:6" ht="15.75" x14ac:dyDescent="0.25">
      <c r="A29" s="2" t="s">
        <v>85</v>
      </c>
      <c r="B29" s="2" t="s">
        <v>113</v>
      </c>
      <c r="C29" s="3" t="s">
        <v>177</v>
      </c>
      <c r="D29" s="4" t="s">
        <v>134</v>
      </c>
      <c r="E29" s="2">
        <v>546</v>
      </c>
      <c r="F29" s="2" t="s">
        <v>229</v>
      </c>
    </row>
    <row r="30" spans="1:6" ht="15.75" x14ac:dyDescent="0.25">
      <c r="A30" s="2" t="s">
        <v>108</v>
      </c>
      <c r="B30" s="2" t="s">
        <v>111</v>
      </c>
      <c r="C30" s="3" t="s">
        <v>178</v>
      </c>
      <c r="D30" s="4" t="s">
        <v>135</v>
      </c>
      <c r="E30" s="2">
        <v>209</v>
      </c>
      <c r="F30" s="2" t="s">
        <v>228</v>
      </c>
    </row>
    <row r="31" spans="1:6" ht="15.75" x14ac:dyDescent="0.25">
      <c r="A31" s="2" t="s">
        <v>107</v>
      </c>
      <c r="B31" s="2" t="s">
        <v>113</v>
      </c>
      <c r="C31" s="3" t="s">
        <v>179</v>
      </c>
      <c r="D31" s="4" t="s">
        <v>136</v>
      </c>
      <c r="E31" s="2">
        <v>389</v>
      </c>
      <c r="F31" s="2" t="s">
        <v>229</v>
      </c>
    </row>
    <row r="32" spans="1:6" ht="15.75" x14ac:dyDescent="0.25">
      <c r="A32" s="2" t="s">
        <v>188</v>
      </c>
      <c r="B32" s="2" t="s">
        <v>113</v>
      </c>
      <c r="C32" s="3" t="s">
        <v>230</v>
      </c>
      <c r="D32" s="5" t="s">
        <v>189</v>
      </c>
      <c r="E32" s="2">
        <v>981</v>
      </c>
      <c r="F32" s="2" t="s">
        <v>231</v>
      </c>
    </row>
  </sheetData>
  <autoFilter ref="A1:F31" xr:uid="{00000000-0001-0000-0100-000000000000}">
    <sortState xmlns:xlrd2="http://schemas.microsoft.com/office/spreadsheetml/2017/richdata2" ref="A2:F31">
      <sortCondition ref="E1:E31"/>
    </sortState>
  </autoFilter>
  <hyperlinks>
    <hyperlink ref="D2" r:id="rId1" xr:uid="{5AAC4D04-B1D5-4A43-8F51-9C4993AB0AC8}"/>
    <hyperlink ref="D4" r:id="rId2" xr:uid="{00DEDF48-A664-463E-9932-0083F67D647E}"/>
    <hyperlink ref="D5" r:id="rId3" xr:uid="{2EC6AC24-D7DE-41D3-B3D3-C9F349059792}"/>
    <hyperlink ref="D6" r:id="rId4" xr:uid="{30F4DFD6-4DF1-4862-BE3B-5593999E6F33}"/>
    <hyperlink ref="D7" r:id="rId5" xr:uid="{BF9E2DA2-17EE-45EE-ADCE-06A9DAC205E2}"/>
    <hyperlink ref="D8" r:id="rId6" xr:uid="{D6594BB7-4891-49CC-BF4A-131EAEF1DF10}"/>
    <hyperlink ref="D9" r:id="rId7" xr:uid="{D250212D-CE37-4794-A77B-60A7F1A8C5F5}"/>
    <hyperlink ref="D10" r:id="rId8" xr:uid="{83422969-307E-4061-B70A-4A81DACBF8F0}"/>
    <hyperlink ref="D11" r:id="rId9" xr:uid="{620B5D4D-51A1-4938-82AA-50A76375017B}"/>
    <hyperlink ref="D3" r:id="rId10" xr:uid="{8788E3AA-5844-44ED-B8FA-E3D9CA6070E5}"/>
    <hyperlink ref="D32" r:id="rId11" xr:uid="{44AE5EDD-81E7-4FA9-9F36-BE39910A7396}"/>
    <hyperlink ref="D25" r:id="rId12" xr:uid="{60D6DF92-0A6B-499D-B168-BC5A343058D0}"/>
    <hyperlink ref="D14" r:id="rId13" xr:uid="{7DAF4BC6-8187-4EDA-98EB-AC59EE8CFEAE}"/>
    <hyperlink ref="D31" r:id="rId14" xr:uid="{8D6DC81A-18F1-4B9E-98FA-FF1621F2934B}"/>
    <hyperlink ref="D30" r:id="rId15" xr:uid="{1C83093A-FE88-4934-92D6-58D13334D5BB}"/>
    <hyperlink ref="D29" r:id="rId16" xr:uid="{5AFD81AB-93C9-4E2F-9D54-B6E4B4AEACCC}"/>
    <hyperlink ref="D28" r:id="rId17" xr:uid="{955C3F9A-5A13-46D8-AD6F-7B52E989C1B8}"/>
    <hyperlink ref="D27" r:id="rId18" xr:uid="{09C62D26-FF2D-4967-8321-8A8E6298A509}"/>
    <hyperlink ref="D26" r:id="rId19" xr:uid="{BB5DA5C3-5D6A-45F4-A706-F95FEBB231FC}"/>
    <hyperlink ref="D21" r:id="rId20" xr:uid="{340E4411-ECA9-45EA-A6B6-8FE5CDDBD484}"/>
    <hyperlink ref="D20" r:id="rId21" xr:uid="{474EE71C-E7E9-4CA1-922D-3FE241AF908B}"/>
    <hyperlink ref="D19" r:id="rId22" xr:uid="{F176414E-4023-4A74-9EEA-A8B606150698}"/>
    <hyperlink ref="D18" r:id="rId23" xr:uid="{6094D673-777A-4122-9E3D-2DEB4F6748C2}"/>
    <hyperlink ref="D17" r:id="rId24" xr:uid="{50832E67-A625-4681-96D4-12633CB9CA70}"/>
    <hyperlink ref="D16" r:id="rId25" xr:uid="{9C145FC4-934E-4847-A904-97B3EC1C2242}"/>
    <hyperlink ref="D15" r:id="rId26" xr:uid="{EE1363D5-714E-42EB-A3BB-44968EE9331B}"/>
    <hyperlink ref="D13" r:id="rId27" xr:uid="{69A8CA8B-84FA-4BDF-A5B4-983538E8D9BA}"/>
    <hyperlink ref="D12" r:id="rId28" xr:uid="{CDC8A341-4BAE-4388-88CC-27DF8D203305}"/>
    <hyperlink ref="D22" r:id="rId29" xr:uid="{D7802235-9F76-41AF-AAEB-69EF109492CF}"/>
    <hyperlink ref="D23" r:id="rId30" xr:uid="{FAB07C2B-D65F-4604-961B-101712B0E277}"/>
    <hyperlink ref="D24" r:id="rId31" xr:uid="{A7A02DB5-96CD-4DCB-A6B1-65CB3AD73133}"/>
  </hyperlinks>
  <pageMargins left="0.511811024" right="0.511811024" top="0.78740157499999996" bottom="0.78740157499999996" header="0.31496062000000002" footer="0.31496062000000002"/>
  <pageSetup paperSize="9" orientation="portrait"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B106"/>
  <sheetViews>
    <sheetView topLeftCell="A70" workbookViewId="0">
      <selection activeCell="H95" sqref="H95"/>
    </sheetView>
  </sheetViews>
  <sheetFormatPr defaultRowHeight="15" x14ac:dyDescent="0.25"/>
  <cols>
    <col min="1" max="1" width="32.7109375" customWidth="1"/>
    <col min="2" max="2" width="20.140625" bestFit="1" customWidth="1"/>
  </cols>
  <sheetData>
    <row r="1" spans="1:2" x14ac:dyDescent="0.25">
      <c r="A1" s="13" t="s">
        <v>139</v>
      </c>
      <c r="B1" s="13" t="s">
        <v>138</v>
      </c>
    </row>
    <row r="2" spans="1:2" x14ac:dyDescent="0.25">
      <c r="A2" s="2" t="s">
        <v>205</v>
      </c>
      <c r="B2" s="2" t="s">
        <v>188</v>
      </c>
    </row>
    <row r="3" spans="1:2" x14ac:dyDescent="0.25">
      <c r="A3" s="2" t="s">
        <v>45</v>
      </c>
      <c r="B3" s="2" t="s">
        <v>85</v>
      </c>
    </row>
    <row r="4" spans="1:2" x14ac:dyDescent="0.25">
      <c r="A4" s="2" t="s">
        <v>31</v>
      </c>
      <c r="B4" s="2" t="s">
        <v>188</v>
      </c>
    </row>
    <row r="5" spans="1:2" x14ac:dyDescent="0.25">
      <c r="A5" s="2" t="s">
        <v>20</v>
      </c>
      <c r="B5" s="2" t="s">
        <v>87</v>
      </c>
    </row>
    <row r="6" spans="1:2" x14ac:dyDescent="0.25">
      <c r="A6" s="2" t="s">
        <v>57</v>
      </c>
      <c r="B6" s="2" t="s">
        <v>85</v>
      </c>
    </row>
    <row r="7" spans="1:2" x14ac:dyDescent="0.25">
      <c r="A7" s="2" t="s">
        <v>78</v>
      </c>
      <c r="B7" s="2" t="s">
        <v>87</v>
      </c>
    </row>
    <row r="8" spans="1:2" x14ac:dyDescent="0.25">
      <c r="A8" s="2" t="s">
        <v>206</v>
      </c>
      <c r="B8" s="2" t="s">
        <v>87</v>
      </c>
    </row>
    <row r="9" spans="1:2" x14ac:dyDescent="0.25">
      <c r="A9" s="2" t="s">
        <v>182</v>
      </c>
      <c r="B9" s="2" t="s">
        <v>188</v>
      </c>
    </row>
    <row r="10" spans="1:2" x14ac:dyDescent="0.25">
      <c r="A10" s="2" t="s">
        <v>71</v>
      </c>
      <c r="B10" s="2" t="s">
        <v>85</v>
      </c>
    </row>
    <row r="11" spans="1:2" x14ac:dyDescent="0.25">
      <c r="A11" s="2" t="s">
        <v>213</v>
      </c>
      <c r="B11" s="2" t="s">
        <v>222</v>
      </c>
    </row>
    <row r="12" spans="1:2" x14ac:dyDescent="0.25">
      <c r="A12" s="2" t="s">
        <v>211</v>
      </c>
      <c r="B12" s="2" t="s">
        <v>219</v>
      </c>
    </row>
    <row r="13" spans="1:2" x14ac:dyDescent="0.25">
      <c r="A13" s="2" t="s">
        <v>232</v>
      </c>
      <c r="B13" s="2" t="s">
        <v>221</v>
      </c>
    </row>
    <row r="14" spans="1:2" x14ac:dyDescent="0.25">
      <c r="A14" s="2" t="s">
        <v>80</v>
      </c>
      <c r="B14" s="2" t="s">
        <v>85</v>
      </c>
    </row>
    <row r="15" spans="1:2" x14ac:dyDescent="0.25">
      <c r="A15" s="2" t="s">
        <v>73</v>
      </c>
      <c r="B15" s="2" t="s">
        <v>221</v>
      </c>
    </row>
    <row r="16" spans="1:2" x14ac:dyDescent="0.25">
      <c r="A16" s="2" t="s">
        <v>233</v>
      </c>
      <c r="B16" s="2" t="s">
        <v>221</v>
      </c>
    </row>
    <row r="17" spans="1:2" x14ac:dyDescent="0.25">
      <c r="A17" s="2" t="s">
        <v>207</v>
      </c>
      <c r="B17" s="2" t="s">
        <v>188</v>
      </c>
    </row>
    <row r="18" spans="1:2" x14ac:dyDescent="0.25">
      <c r="A18" s="2" t="s">
        <v>70</v>
      </c>
      <c r="B18" s="2" t="s">
        <v>90</v>
      </c>
    </row>
    <row r="19" spans="1:2" x14ac:dyDescent="0.25">
      <c r="A19" s="2" t="s">
        <v>69</v>
      </c>
      <c r="B19" s="2" t="s">
        <v>85</v>
      </c>
    </row>
    <row r="20" spans="1:2" x14ac:dyDescent="0.25">
      <c r="A20" s="2" t="s">
        <v>37</v>
      </c>
      <c r="B20" s="2" t="s">
        <v>106</v>
      </c>
    </row>
    <row r="21" spans="1:2" x14ac:dyDescent="0.25">
      <c r="A21" s="2" t="s">
        <v>83</v>
      </c>
      <c r="B21" s="2" t="s">
        <v>137</v>
      </c>
    </row>
    <row r="22" spans="1:2" x14ac:dyDescent="0.25">
      <c r="A22" s="2" t="s">
        <v>29</v>
      </c>
      <c r="B22" s="2" t="s">
        <v>91</v>
      </c>
    </row>
    <row r="23" spans="1:2" x14ac:dyDescent="0.25">
      <c r="A23" s="2" t="s">
        <v>49</v>
      </c>
      <c r="B23" s="2" t="s">
        <v>91</v>
      </c>
    </row>
    <row r="24" spans="1:2" x14ac:dyDescent="0.25">
      <c r="A24" s="2" t="s">
        <v>26</v>
      </c>
      <c r="B24" s="2" t="s">
        <v>92</v>
      </c>
    </row>
    <row r="25" spans="1:2" x14ac:dyDescent="0.25">
      <c r="A25" s="2" t="s">
        <v>61</v>
      </c>
      <c r="B25" s="2" t="s">
        <v>85</v>
      </c>
    </row>
    <row r="26" spans="1:2" x14ac:dyDescent="0.25">
      <c r="A26" s="2" t="s">
        <v>32</v>
      </c>
      <c r="B26" s="2" t="s">
        <v>93</v>
      </c>
    </row>
    <row r="27" spans="1:2" x14ac:dyDescent="0.25">
      <c r="A27" s="2" t="s">
        <v>54</v>
      </c>
      <c r="B27" s="2" t="s">
        <v>94</v>
      </c>
    </row>
    <row r="28" spans="1:2" x14ac:dyDescent="0.25">
      <c r="A28" s="2" t="s">
        <v>60</v>
      </c>
      <c r="B28" s="2" t="s">
        <v>95</v>
      </c>
    </row>
    <row r="29" spans="1:2" x14ac:dyDescent="0.25">
      <c r="A29" s="2" t="s">
        <v>53</v>
      </c>
      <c r="B29" s="2" t="s">
        <v>96</v>
      </c>
    </row>
    <row r="30" spans="1:2" x14ac:dyDescent="0.25">
      <c r="A30" s="2" t="s">
        <v>55</v>
      </c>
      <c r="B30" s="2" t="s">
        <v>97</v>
      </c>
    </row>
    <row r="31" spans="1:2" x14ac:dyDescent="0.25">
      <c r="A31" s="2" t="s">
        <v>48</v>
      </c>
      <c r="B31" s="2" t="s">
        <v>98</v>
      </c>
    </row>
    <row r="32" spans="1:2" x14ac:dyDescent="0.25">
      <c r="A32" s="2" t="s">
        <v>81</v>
      </c>
      <c r="B32" s="2" t="s">
        <v>85</v>
      </c>
    </row>
    <row r="33" spans="1:2" x14ac:dyDescent="0.25">
      <c r="A33" s="2" t="s">
        <v>66</v>
      </c>
      <c r="B33" s="2" t="s">
        <v>91</v>
      </c>
    </row>
    <row r="34" spans="1:2" x14ac:dyDescent="0.25">
      <c r="A34" s="2" t="s">
        <v>185</v>
      </c>
      <c r="B34" s="2" t="s">
        <v>184</v>
      </c>
    </row>
    <row r="35" spans="1:2" x14ac:dyDescent="0.25">
      <c r="A35" s="2" t="s">
        <v>186</v>
      </c>
      <c r="B35" s="2" t="s">
        <v>184</v>
      </c>
    </row>
    <row r="36" spans="1:2" x14ac:dyDescent="0.25">
      <c r="A36" s="2" t="s">
        <v>30</v>
      </c>
      <c r="B36" s="2" t="s">
        <v>99</v>
      </c>
    </row>
    <row r="37" spans="1:2" x14ac:dyDescent="0.25">
      <c r="A37" s="2" t="s">
        <v>34</v>
      </c>
      <c r="B37" s="2" t="s">
        <v>99</v>
      </c>
    </row>
    <row r="38" spans="1:2" x14ac:dyDescent="0.25">
      <c r="A38" s="2" t="s">
        <v>58</v>
      </c>
      <c r="B38" s="2" t="s">
        <v>85</v>
      </c>
    </row>
    <row r="39" spans="1:2" x14ac:dyDescent="0.25">
      <c r="A39" s="2" t="s">
        <v>36</v>
      </c>
      <c r="B39" s="2" t="s">
        <v>85</v>
      </c>
    </row>
    <row r="40" spans="1:2" x14ac:dyDescent="0.25">
      <c r="A40" s="2" t="s">
        <v>187</v>
      </c>
      <c r="B40" s="2" t="s">
        <v>184</v>
      </c>
    </row>
    <row r="41" spans="1:2" x14ac:dyDescent="0.25">
      <c r="A41" s="2" t="s">
        <v>44</v>
      </c>
      <c r="B41" s="2" t="s">
        <v>99</v>
      </c>
    </row>
    <row r="42" spans="1:2" x14ac:dyDescent="0.25">
      <c r="A42" s="2" t="s">
        <v>47</v>
      </c>
      <c r="B42" s="2" t="s">
        <v>100</v>
      </c>
    </row>
    <row r="43" spans="1:2" x14ac:dyDescent="0.25">
      <c r="A43" s="2" t="s">
        <v>38</v>
      </c>
      <c r="B43" s="2" t="s">
        <v>100</v>
      </c>
    </row>
    <row r="44" spans="1:2" x14ac:dyDescent="0.25">
      <c r="A44" s="2" t="s">
        <v>28</v>
      </c>
      <c r="B44" s="2" t="s">
        <v>101</v>
      </c>
    </row>
    <row r="45" spans="1:2" x14ac:dyDescent="0.25">
      <c r="A45" s="2" t="s">
        <v>33</v>
      </c>
      <c r="B45" s="2" t="s">
        <v>101</v>
      </c>
    </row>
    <row r="46" spans="1:2" x14ac:dyDescent="0.25">
      <c r="A46" s="2" t="s">
        <v>39</v>
      </c>
      <c r="B46" s="2" t="s">
        <v>102</v>
      </c>
    </row>
    <row r="47" spans="1:2" x14ac:dyDescent="0.25">
      <c r="A47" s="2" t="s">
        <v>52</v>
      </c>
      <c r="B47" s="2" t="s">
        <v>102</v>
      </c>
    </row>
    <row r="48" spans="1:2" x14ac:dyDescent="0.25">
      <c r="A48" s="2" t="s">
        <v>64</v>
      </c>
      <c r="B48" s="2" t="s">
        <v>85</v>
      </c>
    </row>
    <row r="49" spans="1:2" x14ac:dyDescent="0.25">
      <c r="A49" s="2" t="s">
        <v>67</v>
      </c>
      <c r="B49" s="2" t="s">
        <v>100</v>
      </c>
    </row>
    <row r="50" spans="1:2" x14ac:dyDescent="0.25">
      <c r="A50" s="2" t="s">
        <v>51</v>
      </c>
      <c r="B50" s="2" t="s">
        <v>102</v>
      </c>
    </row>
    <row r="51" spans="1:2" x14ac:dyDescent="0.25">
      <c r="A51" s="2" t="s">
        <v>40</v>
      </c>
      <c r="B51" s="2" t="s">
        <v>101</v>
      </c>
    </row>
    <row r="52" spans="1:2" x14ac:dyDescent="0.25">
      <c r="A52" s="2" t="s">
        <v>27</v>
      </c>
      <c r="B52" s="2" t="s">
        <v>103</v>
      </c>
    </row>
    <row r="53" spans="1:2" x14ac:dyDescent="0.25">
      <c r="A53" s="2" t="s">
        <v>23</v>
      </c>
      <c r="B53" s="2" t="s">
        <v>103</v>
      </c>
    </row>
    <row r="54" spans="1:2" x14ac:dyDescent="0.25">
      <c r="A54" s="2" t="s">
        <v>50</v>
      </c>
      <c r="B54" s="2" t="s">
        <v>85</v>
      </c>
    </row>
    <row r="55" spans="1:2" x14ac:dyDescent="0.25">
      <c r="A55" s="2" t="s">
        <v>22</v>
      </c>
      <c r="B55" s="2" t="s">
        <v>104</v>
      </c>
    </row>
    <row r="56" spans="1:2" x14ac:dyDescent="0.25">
      <c r="A56" s="2" t="s">
        <v>21</v>
      </c>
      <c r="B56" s="2" t="s">
        <v>104</v>
      </c>
    </row>
    <row r="57" spans="1:2" x14ac:dyDescent="0.25">
      <c r="A57" s="2" t="s">
        <v>208</v>
      </c>
      <c r="B57" s="2" t="s">
        <v>104</v>
      </c>
    </row>
    <row r="58" spans="1:2" x14ac:dyDescent="0.25">
      <c r="A58" s="2" t="s">
        <v>46</v>
      </c>
      <c r="B58" s="2" t="s">
        <v>103</v>
      </c>
    </row>
    <row r="59" spans="1:2" x14ac:dyDescent="0.25">
      <c r="A59" s="2" t="s">
        <v>25</v>
      </c>
      <c r="B59" s="2" t="s">
        <v>104</v>
      </c>
    </row>
    <row r="60" spans="1:2" x14ac:dyDescent="0.25">
      <c r="A60" s="2" t="s">
        <v>35</v>
      </c>
      <c r="B60" s="2" t="s">
        <v>105</v>
      </c>
    </row>
    <row r="61" spans="1:2" x14ac:dyDescent="0.25">
      <c r="A61" s="2" t="s">
        <v>42</v>
      </c>
      <c r="B61" s="2" t="s">
        <v>85</v>
      </c>
    </row>
    <row r="62" spans="1:2" x14ac:dyDescent="0.25">
      <c r="A62" s="2" t="s">
        <v>15</v>
      </c>
      <c r="B62" s="2" t="s">
        <v>85</v>
      </c>
    </row>
    <row r="63" spans="1:2" x14ac:dyDescent="0.25">
      <c r="A63" s="2" t="s">
        <v>17</v>
      </c>
      <c r="B63" s="2" t="s">
        <v>85</v>
      </c>
    </row>
    <row r="64" spans="1:2" x14ac:dyDescent="0.25">
      <c r="A64" s="2" t="s">
        <v>12</v>
      </c>
      <c r="B64" s="2" t="s">
        <v>85</v>
      </c>
    </row>
    <row r="65" spans="1:2" x14ac:dyDescent="0.25">
      <c r="A65" s="2" t="s">
        <v>14</v>
      </c>
      <c r="B65" s="2" t="s">
        <v>85</v>
      </c>
    </row>
    <row r="66" spans="1:2" x14ac:dyDescent="0.25">
      <c r="A66" s="2" t="s">
        <v>41</v>
      </c>
      <c r="B66" s="2" t="s">
        <v>85</v>
      </c>
    </row>
    <row r="67" spans="1:2" x14ac:dyDescent="0.25">
      <c r="A67" s="2" t="s">
        <v>11</v>
      </c>
      <c r="B67" s="2" t="s">
        <v>105</v>
      </c>
    </row>
    <row r="68" spans="1:2" x14ac:dyDescent="0.25">
      <c r="A68" s="2" t="s">
        <v>7</v>
      </c>
      <c r="B68" s="2" t="s">
        <v>85</v>
      </c>
    </row>
    <row r="69" spans="1:2" x14ac:dyDescent="0.25">
      <c r="A69" s="2" t="s">
        <v>59</v>
      </c>
      <c r="B69" s="2" t="s">
        <v>85</v>
      </c>
    </row>
    <row r="70" spans="1:2" x14ac:dyDescent="0.25">
      <c r="A70" s="2" t="s">
        <v>24</v>
      </c>
      <c r="B70" s="2" t="s">
        <v>105</v>
      </c>
    </row>
    <row r="71" spans="1:2" x14ac:dyDescent="0.25">
      <c r="A71" s="2" t="s">
        <v>84</v>
      </c>
      <c r="B71" s="2" t="s">
        <v>105</v>
      </c>
    </row>
    <row r="72" spans="1:2" x14ac:dyDescent="0.25">
      <c r="A72" s="2" t="s">
        <v>75</v>
      </c>
      <c r="B72" s="2" t="s">
        <v>105</v>
      </c>
    </row>
    <row r="73" spans="1:2" x14ac:dyDescent="0.25">
      <c r="A73" s="2" t="s">
        <v>68</v>
      </c>
      <c r="B73" s="2" t="s">
        <v>105</v>
      </c>
    </row>
    <row r="74" spans="1:2" x14ac:dyDescent="0.25">
      <c r="A74" s="2" t="s">
        <v>72</v>
      </c>
      <c r="B74" s="2" t="s">
        <v>85</v>
      </c>
    </row>
    <row r="75" spans="1:2" x14ac:dyDescent="0.25">
      <c r="A75" s="2" t="s">
        <v>79</v>
      </c>
      <c r="B75" s="2" t="s">
        <v>105</v>
      </c>
    </row>
    <row r="76" spans="1:2" x14ac:dyDescent="0.25">
      <c r="A76" s="2" t="s">
        <v>3</v>
      </c>
      <c r="B76" s="2" t="s">
        <v>107</v>
      </c>
    </row>
    <row r="77" spans="1:2" x14ac:dyDescent="0.25">
      <c r="A77" s="2" t="s">
        <v>77</v>
      </c>
      <c r="B77" s="2" t="s">
        <v>105</v>
      </c>
    </row>
    <row r="78" spans="1:2" x14ac:dyDescent="0.25">
      <c r="A78" s="2" t="s">
        <v>13</v>
      </c>
      <c r="B78" s="2" t="s">
        <v>108</v>
      </c>
    </row>
    <row r="79" spans="1:2" x14ac:dyDescent="0.25">
      <c r="A79" s="2" t="s">
        <v>62</v>
      </c>
      <c r="B79" s="2" t="s">
        <v>107</v>
      </c>
    </row>
    <row r="80" spans="1:2" x14ac:dyDescent="0.25">
      <c r="A80" s="2" t="s">
        <v>65</v>
      </c>
      <c r="B80" s="2" t="s">
        <v>105</v>
      </c>
    </row>
    <row r="81" spans="1:2" x14ac:dyDescent="0.25">
      <c r="A81" s="2" t="s">
        <v>56</v>
      </c>
      <c r="B81" s="2" t="s">
        <v>108</v>
      </c>
    </row>
    <row r="82" spans="1:2" x14ac:dyDescent="0.25">
      <c r="A82" s="2" t="s">
        <v>19</v>
      </c>
      <c r="B82" s="2" t="s">
        <v>109</v>
      </c>
    </row>
    <row r="83" spans="1:2" x14ac:dyDescent="0.25">
      <c r="A83" s="2" t="s">
        <v>2</v>
      </c>
      <c r="B83" s="2" t="s">
        <v>109</v>
      </c>
    </row>
    <row r="84" spans="1:2" x14ac:dyDescent="0.25">
      <c r="A84" s="2" t="s">
        <v>4</v>
      </c>
      <c r="B84" s="2" t="s">
        <v>85</v>
      </c>
    </row>
    <row r="85" spans="1:2" x14ac:dyDescent="0.25">
      <c r="A85" s="2" t="s">
        <v>212</v>
      </c>
      <c r="B85" s="2" t="s">
        <v>219</v>
      </c>
    </row>
    <row r="86" spans="1:2" x14ac:dyDescent="0.25">
      <c r="A86" s="2" t="s">
        <v>10</v>
      </c>
      <c r="B86" s="2" t="s">
        <v>85</v>
      </c>
    </row>
    <row r="87" spans="1:2" x14ac:dyDescent="0.25">
      <c r="A87" s="2" t="s">
        <v>8</v>
      </c>
      <c r="B87" s="2" t="s">
        <v>105</v>
      </c>
    </row>
    <row r="88" spans="1:2" x14ac:dyDescent="0.25">
      <c r="A88" s="2" t="s">
        <v>209</v>
      </c>
      <c r="B88" s="2" t="s">
        <v>105</v>
      </c>
    </row>
    <row r="89" spans="1:2" x14ac:dyDescent="0.25">
      <c r="A89" s="2" t="s">
        <v>0</v>
      </c>
      <c r="B89" s="2" t="s">
        <v>85</v>
      </c>
    </row>
    <row r="90" spans="1:2" x14ac:dyDescent="0.25">
      <c r="A90" s="2" t="s">
        <v>6</v>
      </c>
      <c r="B90" s="2" t="s">
        <v>85</v>
      </c>
    </row>
    <row r="91" spans="1:2" x14ac:dyDescent="0.25">
      <c r="A91" s="2" t="s">
        <v>1</v>
      </c>
      <c r="B91" s="2" t="s">
        <v>85</v>
      </c>
    </row>
    <row r="92" spans="1:2" x14ac:dyDescent="0.25">
      <c r="A92" s="2" t="s">
        <v>16</v>
      </c>
      <c r="B92" s="2" t="s">
        <v>85</v>
      </c>
    </row>
    <row r="93" spans="1:2" x14ac:dyDescent="0.25">
      <c r="A93" s="2" t="s">
        <v>43</v>
      </c>
      <c r="B93" s="2" t="s">
        <v>85</v>
      </c>
    </row>
    <row r="94" spans="1:2" x14ac:dyDescent="0.25">
      <c r="A94" s="2" t="s">
        <v>9</v>
      </c>
      <c r="B94" s="2" t="s">
        <v>105</v>
      </c>
    </row>
    <row r="95" spans="1:2" x14ac:dyDescent="0.25">
      <c r="A95" s="2" t="s">
        <v>5</v>
      </c>
      <c r="B95" s="2" t="s">
        <v>85</v>
      </c>
    </row>
    <row r="96" spans="1:2" x14ac:dyDescent="0.25">
      <c r="A96" s="2" t="s">
        <v>82</v>
      </c>
      <c r="B96" s="2" t="s">
        <v>85</v>
      </c>
    </row>
    <row r="97" spans="1:2" x14ac:dyDescent="0.25">
      <c r="A97" s="2" t="s">
        <v>63</v>
      </c>
      <c r="B97" s="2" t="s">
        <v>85</v>
      </c>
    </row>
    <row r="98" spans="1:2" x14ac:dyDescent="0.25">
      <c r="A98" s="2" t="s">
        <v>76</v>
      </c>
      <c r="B98" s="2" t="s">
        <v>85</v>
      </c>
    </row>
    <row r="99" spans="1:2" x14ac:dyDescent="0.25">
      <c r="A99" s="2" t="s">
        <v>18</v>
      </c>
      <c r="B99" s="2" t="s">
        <v>105</v>
      </c>
    </row>
    <row r="100" spans="1:2" x14ac:dyDescent="0.25">
      <c r="A100" s="2" t="s">
        <v>74</v>
      </c>
      <c r="B100" s="2" t="s">
        <v>105</v>
      </c>
    </row>
    <row r="101" spans="1:2" x14ac:dyDescent="0.25">
      <c r="A101" s="2" t="s">
        <v>210</v>
      </c>
      <c r="B101" s="2" t="s">
        <v>86</v>
      </c>
    </row>
    <row r="102" spans="1:2" x14ac:dyDescent="0.25">
      <c r="A102" s="2" t="s">
        <v>183</v>
      </c>
      <c r="B102" s="2" t="s">
        <v>87</v>
      </c>
    </row>
    <row r="103" spans="1:2" x14ac:dyDescent="0.25">
      <c r="A103" s="19" t="s">
        <v>193</v>
      </c>
      <c r="B103" s="2" t="s">
        <v>85</v>
      </c>
    </row>
    <row r="104" spans="1:2" x14ac:dyDescent="0.25">
      <c r="A104" s="2" t="s">
        <v>191</v>
      </c>
      <c r="B104" s="2" t="s">
        <v>85</v>
      </c>
    </row>
    <row r="105" spans="1:2" x14ac:dyDescent="0.25">
      <c r="A105" s="2" t="s">
        <v>192</v>
      </c>
      <c r="B105" s="2" t="s">
        <v>85</v>
      </c>
    </row>
    <row r="106" spans="1:2" x14ac:dyDescent="0.25">
      <c r="A106" s="2" t="s">
        <v>190</v>
      </c>
      <c r="B106" s="2" t="s">
        <v>234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3C4E-98EC-4522-B59B-915719710D42}">
  <sheetPr codeName="Planilha4"/>
  <dimension ref="A1:C12"/>
  <sheetViews>
    <sheetView workbookViewId="0">
      <selection activeCell="H11" sqref="H11"/>
    </sheetView>
  </sheetViews>
  <sheetFormatPr defaultRowHeight="15" x14ac:dyDescent="0.25"/>
  <cols>
    <col min="1" max="1" width="20.42578125" customWidth="1"/>
    <col min="2" max="2" width="22.7109375" customWidth="1"/>
    <col min="3" max="3" width="31.7109375" customWidth="1"/>
  </cols>
  <sheetData>
    <row r="1" spans="1:3" ht="16.5" thickBot="1" x14ac:dyDescent="0.3">
      <c r="A1" s="11" t="s">
        <v>194</v>
      </c>
      <c r="B1" s="12" t="s">
        <v>195</v>
      </c>
      <c r="C1" s="12" t="s">
        <v>202</v>
      </c>
    </row>
    <row r="2" spans="1:3" ht="16.5" thickBot="1" x14ac:dyDescent="0.3">
      <c r="A2" s="9">
        <v>10707</v>
      </c>
      <c r="B2" s="10" t="s">
        <v>196</v>
      </c>
      <c r="C2" s="10" t="s">
        <v>203</v>
      </c>
    </row>
    <row r="3" spans="1:3" ht="32.25" thickBot="1" x14ac:dyDescent="0.3">
      <c r="A3" s="9">
        <v>12209</v>
      </c>
      <c r="B3" s="10" t="s">
        <v>197</v>
      </c>
      <c r="C3" s="10" t="s">
        <v>204</v>
      </c>
    </row>
    <row r="4" spans="1:3" ht="16.5" thickBot="1" x14ac:dyDescent="0.3">
      <c r="A4" s="9">
        <v>11198</v>
      </c>
      <c r="B4" s="10" t="s">
        <v>197</v>
      </c>
      <c r="C4" s="10" t="s">
        <v>0</v>
      </c>
    </row>
    <row r="5" spans="1:3" ht="32.25" thickBot="1" x14ac:dyDescent="0.3">
      <c r="A5" s="9">
        <v>11073</v>
      </c>
      <c r="B5" s="10" t="s">
        <v>197</v>
      </c>
      <c r="C5" s="10" t="s">
        <v>204</v>
      </c>
    </row>
    <row r="6" spans="1:3" ht="32.25" thickBot="1" x14ac:dyDescent="0.3">
      <c r="A6" s="9">
        <v>11511</v>
      </c>
      <c r="B6" s="10" t="s">
        <v>197</v>
      </c>
      <c r="C6" s="10" t="s">
        <v>204</v>
      </c>
    </row>
    <row r="7" spans="1:3" ht="32.25" thickBot="1" x14ac:dyDescent="0.3">
      <c r="A7" s="9">
        <v>10378</v>
      </c>
      <c r="B7" s="10" t="s">
        <v>198</v>
      </c>
      <c r="C7" s="10" t="s">
        <v>31</v>
      </c>
    </row>
    <row r="8" spans="1:3" ht="32.25" thickBot="1" x14ac:dyDescent="0.3">
      <c r="A8" s="9">
        <v>10379</v>
      </c>
      <c r="B8" s="10" t="s">
        <v>199</v>
      </c>
      <c r="C8" s="10" t="s">
        <v>0</v>
      </c>
    </row>
    <row r="9" spans="1:3" ht="16.5" thickBot="1" x14ac:dyDescent="0.3">
      <c r="A9" s="9">
        <v>10362</v>
      </c>
      <c r="B9" s="10" t="s">
        <v>200</v>
      </c>
      <c r="C9" s="10" t="s">
        <v>0</v>
      </c>
    </row>
    <row r="10" spans="1:3" ht="16.5" thickBot="1" x14ac:dyDescent="0.3">
      <c r="A10" s="9">
        <v>10361</v>
      </c>
      <c r="B10" s="10" t="s">
        <v>200</v>
      </c>
      <c r="C10" s="10" t="s">
        <v>0</v>
      </c>
    </row>
    <row r="11" spans="1:3" ht="16.5" thickBot="1" x14ac:dyDescent="0.3">
      <c r="A11" s="9">
        <v>10360</v>
      </c>
      <c r="B11" s="10" t="s">
        <v>200</v>
      </c>
      <c r="C11" s="10" t="s">
        <v>0</v>
      </c>
    </row>
    <row r="12" spans="1:3" ht="16.5" thickBot="1" x14ac:dyDescent="0.3">
      <c r="A12" s="9">
        <v>13103</v>
      </c>
      <c r="B12" s="10" t="s">
        <v>201</v>
      </c>
      <c r="C12" s="10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acervo</vt:lpstr>
      <vt:lpstr>responsavel</vt:lpstr>
      <vt:lpstr>ccustos</vt:lpstr>
      <vt:lpstr>Planilha1</vt:lpstr>
      <vt:lpstr>acervo!Area_de_impressao</vt:lpstr>
      <vt:lpstr>custos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Rodrigues de Sousa Junior</dc:creator>
  <cp:lastModifiedBy>Antonio Rodrigues de Sousa Junior</cp:lastModifiedBy>
  <cp:lastPrinted>2024-11-22T19:26:30Z</cp:lastPrinted>
  <dcterms:created xsi:type="dcterms:W3CDTF">2023-11-14T13:32:50Z</dcterms:created>
  <dcterms:modified xsi:type="dcterms:W3CDTF">2025-04-23T18:27:21Z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15.2.9.0</vt:lpwstr>
  </property>
</Properties>
</file>